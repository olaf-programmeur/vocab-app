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 xmlns:r="http://schemas.openxmlformats.org/officeDocument/2006/relationships" name="Suivi" sheetId="15" state="visible" r:id="rId15"/>
    <sheet xmlns:r="http://schemas.openxmlformats.org/officeDocument/2006/relationships" name="Revue_tags" sheetId="16" state="visible" r:id="rId16"/>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 name="_xlnm._FilterDatabase" localSheetId="14" hidden="1">'Suivi'!$A$1:$J$1420</definedName>
    <definedName name="_xlnm._FilterDatabase" localSheetId="15" hidden="1">'Revue_tags'!$A$1:$G$79</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10">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
      <patternFill patternType="solid">
        <fgColor rgb="00FCEBEB"/>
      </patternFill>
    </fill>
    <fill>
      <patternFill patternType="solid">
        <fgColor rgb="00FAEEDA"/>
      </patternFill>
    </fill>
  </fills>
  <borders count="1">
    <border>
      <left/>
      <right/>
      <top/>
      <bottom/>
      <diagonal/>
    </border>
  </borders>
  <cellStyleXfs count="2">
    <xf numFmtId="0" fontId="0" fillId="0" borderId="0"/>
    <xf numFmtId="0" fontId="6" fillId="0" borderId="0"/>
  </cellStyleXfs>
  <cellXfs count="34">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xf numFmtId="0" fontId="12" fillId="7" borderId="0" applyAlignment="1" pivotButton="0" quotePrefix="0" xfId="0">
      <alignment horizontal="center"/>
    </xf>
    <xf numFmtId="0" fontId="13" fillId="0" borderId="0" pivotButton="0" quotePrefix="0" xfId="0"/>
    <xf numFmtId="0" fontId="13" fillId="8" borderId="0" pivotButton="0" quotePrefix="0" xfId="0"/>
    <xf numFmtId="0" fontId="13" fillId="9" borderId="0" pivotButton="0" quotePrefix="0" xfId="0"/>
    <xf numFmtId="0" fontId="13" fillId="0" borderId="0" applyAlignment="1" pivotButton="0" quotePrefix="0" xfId="0">
      <alignment/>
    </xf>
  </cellXfs>
  <cellStyles count="2">
    <cellStyle name="Normal" xfId="0" builtinId="0"/>
    <cellStyle name="Lien hypertexte" xfId="1" builtinId="8"/>
  </cellStyles>
  <dxfs count="6">
    <dxf>
      <fill>
        <patternFill>
          <bgColor rgb="FFFF0000"/>
        </patternFill>
      </fill>
    </dxf>
    <dxf>
      <fill>
        <patternFill>
          <bgColor rgb="FFFF0000"/>
        </patternFill>
      </fill>
    </dxf>
    <dxf>
      <fill>
        <patternFill>
          <bgColor rgb="FFFF0000"/>
        </patternFill>
      </fill>
    </dxf>
    <dxf>
      <fill>
        <patternFill>
          <bgColor rgb="FFFF0000"/>
        </patternFill>
      </fill>
    </dxf>
    <dxf>
      <fill>
        <patternFill patternType="solid">
          <fgColor rgb="00FCEBEB"/>
        </patternFill>
      </fill>
    </dxf>
    <dxf>
      <fill>
        <patternFill patternType="solid">
          <fgColor rgb="00EAF3D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30"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30"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30" t="inlineStr">
        <is>
          <t>chose</t>
        </is>
      </c>
    </row>
    <row r="1400">
      <c r="A1400" t="inlineStr">
        <is>
          <t>v_habiter</t>
        </is>
      </c>
      <c r="B1400" t="inlineStr">
        <is>
          <t>habiter</t>
        </is>
      </c>
      <c r="D1400" t="inlineStr">
        <is>
          <t>Avoir son domicile, sa maison dans un endroit comme un village ou une ville.</t>
        </is>
      </c>
      <c r="S1400" s="30" t="inlineStr">
        <is>
          <t>action</t>
        </is>
      </c>
    </row>
    <row r="1401">
      <c r="A1401" t="inlineStr">
        <is>
          <t>v_eclairer</t>
        </is>
      </c>
      <c r="B1401" t="inlineStr">
        <is>
          <t>éclairer</t>
        </is>
      </c>
      <c r="D1401" t="inlineStr">
        <is>
          <t>Mettre ou donner de la lumière dans une pièce (cuisine / salon / chambre / bureau)</t>
        </is>
      </c>
      <c r="S1401" s="30" t="inlineStr">
        <is>
          <t>action</t>
        </is>
      </c>
    </row>
    <row r="1402">
      <c r="A1402" t="inlineStr">
        <is>
          <t>souper</t>
        </is>
      </c>
      <c r="B1402" t="inlineStr">
        <is>
          <t>le souper</t>
        </is>
      </c>
      <c r="D1402" t="inlineStr">
        <is>
          <t>Le repas du soir.</t>
        </is>
      </c>
      <c r="S1402" s="30" t="inlineStr">
        <is>
          <t>chose</t>
        </is>
      </c>
    </row>
    <row r="1403">
      <c r="A1403" t="inlineStr">
        <is>
          <t>pommier</t>
        </is>
      </c>
      <c r="B1403" t="inlineStr">
        <is>
          <t>le pommier</t>
        </is>
      </c>
      <c r="D1403" t="inlineStr">
        <is>
          <t>L'arbre sur lequel pousse les pommes</t>
        </is>
      </c>
      <c r="S1403" s="30" t="inlineStr">
        <is>
          <t>chose</t>
        </is>
      </c>
    </row>
    <row r="1404">
      <c r="A1404" t="inlineStr">
        <is>
          <t>v_griller</t>
        </is>
      </c>
      <c r="B1404" t="inlineStr">
        <is>
          <t>griller</t>
        </is>
      </c>
      <c r="D1404" t="inlineStr">
        <is>
          <t>Cuire un aliment sur un gril, dans une poêle avec de l'huile.</t>
        </is>
      </c>
      <c r="S1404" s="30"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30"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30" t="inlineStr">
        <is>
          <t>chose</t>
        </is>
      </c>
    </row>
    <row r="1407">
      <c r="A1407" t="inlineStr">
        <is>
          <t>v_conduire</t>
        </is>
      </c>
      <c r="B1407" t="inlineStr">
        <is>
          <t>conduire</t>
        </is>
      </c>
      <c r="D1407" t="inlineStr">
        <is>
          <t>Se déplacer au moyen d'un véhicule (voiture)  ++  Diriger et contrôler un véhicule.</t>
        </is>
      </c>
      <c r="S1407" s="30"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30" t="inlineStr">
        <is>
          <t>chose</t>
        </is>
      </c>
    </row>
    <row r="1409">
      <c r="A1409" t="inlineStr">
        <is>
          <t>v_traverser</t>
        </is>
      </c>
      <c r="B1409" t="inlineStr">
        <is>
          <t>traverser</t>
        </is>
      </c>
      <c r="D1409" t="inlineStr">
        <is>
          <t>Passer d'un côté à l'autre d'une rue, d'un pont, d'une rivière.</t>
        </is>
      </c>
      <c r="S1409" s="30" t="inlineStr">
        <is>
          <t>action</t>
        </is>
      </c>
    </row>
    <row r="1410">
      <c r="A1410" t="inlineStr">
        <is>
          <t>v_avaler</t>
        </is>
      </c>
      <c r="B1410" t="inlineStr">
        <is>
          <t>avaler</t>
        </is>
      </c>
      <c r="S1410" s="30"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30"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30" t="inlineStr">
        <is>
          <t>personne</t>
        </is>
      </c>
    </row>
    <row r="1413">
      <c r="A1413" t="inlineStr">
        <is>
          <t>v_chauffer</t>
        </is>
      </c>
      <c r="B1413" t="inlineStr">
        <is>
          <t>chauffer</t>
        </is>
      </c>
      <c r="S1413" s="30" t="inlineStr">
        <is>
          <t>action</t>
        </is>
      </c>
    </row>
    <row r="1414">
      <c r="A1414" t="inlineStr">
        <is>
          <t>v_transporter</t>
        </is>
      </c>
      <c r="B1414" t="inlineStr">
        <is>
          <t>transporter</t>
        </is>
      </c>
      <c r="S1414" s="30" t="inlineStr">
        <is>
          <t>action</t>
        </is>
      </c>
    </row>
    <row r="1415">
      <c r="A1415" t="inlineStr">
        <is>
          <t>parquet</t>
        </is>
      </c>
      <c r="B1415" t="inlineStr">
        <is>
          <t>le parquet</t>
        </is>
      </c>
      <c r="S1415" s="30" t="inlineStr">
        <is>
          <t>chose</t>
        </is>
      </c>
    </row>
    <row r="1416">
      <c r="A1416" t="inlineStr">
        <is>
          <t>v_ramper</t>
        </is>
      </c>
      <c r="B1416" t="inlineStr">
        <is>
          <t>ramper</t>
        </is>
      </c>
      <c r="S1416" s="30"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30"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30"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30"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30"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30" t="inlineStr">
        <is>
          <t>sandwich</t>
        </is>
      </c>
      <c r="B2" s="26">
        <f>IFERROR(INDEX(Mots!$B:$B,MATCH($A2,Mots!$A:$A,0)),"introuvable")</f>
        <v/>
      </c>
      <c r="C2" s="30" t="inlineStr">
        <is>
          <t>a_emporter</t>
        </is>
      </c>
    </row>
    <row r="3">
      <c r="A3" s="30" t="inlineStr">
        <is>
          <t>lettre</t>
        </is>
      </c>
      <c r="B3" s="26">
        <f>IFERROR(INDEX(Mots!$B:$B,MATCH($A3,Mots!$A:$A,0)),"introuvable")</f>
        <v/>
      </c>
      <c r="C3" s="30" t="inlineStr">
        <is>
          <t>bureau</t>
        </is>
      </c>
    </row>
    <row r="4">
      <c r="A4" s="30" t="inlineStr">
        <is>
          <t>reunion</t>
        </is>
      </c>
      <c r="B4" s="26">
        <f>IFERROR(INDEX(Mots!$B:$B,MATCH($A4,Mots!$A:$A,0)),"introuvable")</f>
        <v/>
      </c>
      <c r="C4" s="30" t="inlineStr">
        <is>
          <t>bureau</t>
        </is>
      </c>
    </row>
    <row r="5">
      <c r="A5" s="30" t="inlineStr">
        <is>
          <t>m_bureau</t>
        </is>
      </c>
      <c r="B5" s="26">
        <f>IFERROR(INDEX(Mots!$B:$B,MATCH($A5,Mots!$A:$A,0)),"introuvable")</f>
        <v/>
      </c>
      <c r="C5" s="30" t="inlineStr">
        <is>
          <t>bureau</t>
        </is>
      </c>
    </row>
    <row r="6">
      <c r="A6" s="30" t="inlineStr">
        <is>
          <t>rapport</t>
        </is>
      </c>
      <c r="B6" s="26">
        <f>IFERROR(INDEX(Mots!$B:$B,MATCH($A6,Mots!$A:$A,0)),"introuvable")</f>
        <v/>
      </c>
      <c r="C6" s="30" t="inlineStr">
        <is>
          <t>bureau</t>
        </is>
      </c>
    </row>
    <row r="7">
      <c r="A7" s="30" t="inlineStr">
        <is>
          <t>entreprise</t>
        </is>
      </c>
      <c r="B7" s="26">
        <f>IFERROR(INDEX(Mots!$B:$B,MATCH($A7,Mots!$A:$A,0)),"introuvable")</f>
        <v/>
      </c>
      <c r="C7" s="30" t="inlineStr">
        <is>
          <t>bureau</t>
        </is>
      </c>
    </row>
    <row r="8">
      <c r="A8" s="30" t="inlineStr">
        <is>
          <t>equipe</t>
        </is>
      </c>
      <c r="B8" s="26">
        <f>IFERROR(INDEX(Mots!$B:$B,MATCH($A8,Mots!$A:$A,0)),"introuvable")</f>
        <v/>
      </c>
      <c r="C8" s="30" t="inlineStr">
        <is>
          <t>bureau</t>
        </is>
      </c>
    </row>
    <row r="9">
      <c r="A9" s="30" t="inlineStr">
        <is>
          <t>famille</t>
        </is>
      </c>
      <c r="B9" s="26">
        <f>IFERROR(INDEX(Mots!$B:$B,MATCH($A9,Mots!$A:$A,0)),"introuvable")</f>
        <v/>
      </c>
      <c r="C9" s="30" t="inlineStr">
        <is>
          <t>family_members</t>
        </is>
      </c>
    </row>
    <row r="10">
      <c r="A10" s="30" t="inlineStr">
        <is>
          <t>mari_et_femme</t>
        </is>
      </c>
      <c r="B10" s="26">
        <f>IFERROR(INDEX(Mots!$B:$B,MATCH($A10,Mots!$A:$A,0)),"introuvable")</f>
        <v/>
      </c>
      <c r="C10" s="30" t="inlineStr">
        <is>
          <t>family_members</t>
        </is>
      </c>
    </row>
    <row r="11">
      <c r="A11" s="30" t="inlineStr">
        <is>
          <t>mere</t>
        </is>
      </c>
      <c r="B11" s="26">
        <f>IFERROR(INDEX(Mots!$B:$B,MATCH($A11,Mots!$A:$A,0)),"introuvable")</f>
        <v/>
      </c>
      <c r="C11" s="30" t="inlineStr">
        <is>
          <t>family_members</t>
        </is>
      </c>
    </row>
    <row r="12">
      <c r="A12" s="30" t="inlineStr">
        <is>
          <t>pere</t>
        </is>
      </c>
      <c r="B12" s="26">
        <f>IFERROR(INDEX(Mots!$B:$B,MATCH($A12,Mots!$A:$A,0)),"introuvable")</f>
        <v/>
      </c>
      <c r="C12" s="30" t="inlineStr">
        <is>
          <t>family_members</t>
        </is>
      </c>
    </row>
    <row r="13">
      <c r="A13" s="30" t="inlineStr">
        <is>
          <t>enfants</t>
        </is>
      </c>
      <c r="B13" s="26">
        <f>IFERROR(INDEX(Mots!$B:$B,MATCH($A13,Mots!$A:$A,0)),"introuvable")</f>
        <v/>
      </c>
      <c r="C13" s="30" t="inlineStr">
        <is>
          <t>family_members</t>
        </is>
      </c>
    </row>
    <row r="14">
      <c r="A14" s="30" t="inlineStr">
        <is>
          <t>bebe</t>
        </is>
      </c>
      <c r="B14" s="26">
        <f>IFERROR(INDEX(Mots!$B:$B,MATCH($A14,Mots!$A:$A,0)),"introuvable")</f>
        <v/>
      </c>
      <c r="C14" s="30" t="inlineStr">
        <is>
          <t>family_members</t>
        </is>
      </c>
    </row>
    <row r="15">
      <c r="A15" s="30" t="inlineStr">
        <is>
          <t>fille</t>
        </is>
      </c>
      <c r="B15" s="26">
        <f>IFERROR(INDEX(Mots!$B:$B,MATCH($A15,Mots!$A:$A,0)),"introuvable")</f>
        <v/>
      </c>
      <c r="C15" s="30" t="inlineStr">
        <is>
          <t>family_members</t>
        </is>
      </c>
    </row>
    <row r="16">
      <c r="A16" s="30" t="inlineStr">
        <is>
          <t>fils</t>
        </is>
      </c>
      <c r="B16" s="26">
        <f>IFERROR(INDEX(Mots!$B:$B,MATCH($A16,Mots!$A:$A,0)),"introuvable")</f>
        <v/>
      </c>
      <c r="C16" s="30" t="inlineStr">
        <is>
          <t>family_members</t>
        </is>
      </c>
    </row>
    <row r="17">
      <c r="A17" s="30" t="inlineStr">
        <is>
          <t>grand_mere</t>
        </is>
      </c>
      <c r="B17" s="26">
        <f>IFERROR(INDEX(Mots!$B:$B,MATCH($A17,Mots!$A:$A,0)),"introuvable")</f>
        <v/>
      </c>
      <c r="C17" s="30" t="inlineStr">
        <is>
          <t>family_members</t>
        </is>
      </c>
    </row>
    <row r="18">
      <c r="A18" s="30" t="inlineStr">
        <is>
          <t>grand_pere</t>
        </is>
      </c>
      <c r="B18" s="26">
        <f>IFERROR(INDEX(Mots!$B:$B,MATCH($A18,Mots!$A:$A,0)),"introuvable")</f>
        <v/>
      </c>
      <c r="C18" s="30" t="inlineStr">
        <is>
          <t>family_members</t>
        </is>
      </c>
    </row>
    <row r="19">
      <c r="A19" s="30" t="inlineStr">
        <is>
          <t>soeur</t>
        </is>
      </c>
      <c r="B19" s="26">
        <f>IFERROR(INDEX(Mots!$B:$B,MATCH($A19,Mots!$A:$A,0)),"introuvable")</f>
        <v/>
      </c>
      <c r="C19" s="30" t="inlineStr">
        <is>
          <t>family_members</t>
        </is>
      </c>
    </row>
    <row r="20">
      <c r="A20" s="30" t="inlineStr">
        <is>
          <t>frere</t>
        </is>
      </c>
      <c r="B20" s="26">
        <f>IFERROR(INDEX(Mots!$B:$B,MATCH($A20,Mots!$A:$A,0)),"introuvable")</f>
        <v/>
      </c>
      <c r="C20" s="30" t="inlineStr">
        <is>
          <t>family_members</t>
        </is>
      </c>
    </row>
    <row r="21">
      <c r="A21" s="30" t="inlineStr">
        <is>
          <t>tante</t>
        </is>
      </c>
      <c r="B21" s="26">
        <f>IFERROR(INDEX(Mots!$B:$B,MATCH($A21,Mots!$A:$A,0)),"introuvable")</f>
        <v/>
      </c>
      <c r="C21" s="30" t="inlineStr">
        <is>
          <t>family_members</t>
        </is>
      </c>
    </row>
    <row r="22">
      <c r="A22" s="30" t="inlineStr">
        <is>
          <t>oncle</t>
        </is>
      </c>
      <c r="B22" s="26">
        <f>IFERROR(INDEX(Mots!$B:$B,MATCH($A22,Mots!$A:$A,0)),"introuvable")</f>
        <v/>
      </c>
      <c r="C22" s="30" t="inlineStr">
        <is>
          <t>family_members</t>
        </is>
      </c>
    </row>
    <row r="23">
      <c r="A23" s="30" t="inlineStr">
        <is>
          <t>homme</t>
        </is>
      </c>
      <c r="B23" s="26">
        <f>IFERROR(INDEX(Mots!$B:$B,MATCH($A23,Mots!$A:$A,0)),"introuvable")</f>
        <v/>
      </c>
      <c r="C23" s="30" t="inlineStr">
        <is>
          <t>family_members</t>
        </is>
      </c>
    </row>
    <row r="24">
      <c r="A24" s="30" t="inlineStr">
        <is>
          <t>femme</t>
        </is>
      </c>
      <c r="B24" s="26">
        <f>IFERROR(INDEX(Mots!$B:$B,MATCH($A24,Mots!$A:$A,0)),"introuvable")</f>
        <v/>
      </c>
      <c r="C24" s="30" t="inlineStr">
        <is>
          <t>family_members</t>
        </is>
      </c>
    </row>
    <row r="25">
      <c r="A25" s="30" t="inlineStr">
        <is>
          <t>pelouse</t>
        </is>
      </c>
      <c r="B25" s="26">
        <f>IFERROR(INDEX(Mots!$B:$B,MATCH($A25,Mots!$A:$A,0)),"introuvable")</f>
        <v/>
      </c>
      <c r="C25" s="30" t="inlineStr">
        <is>
          <t>terrasse_maison</t>
        </is>
      </c>
    </row>
    <row r="26">
      <c r="A26" s="30" t="inlineStr">
        <is>
          <t>table_de_jardin</t>
        </is>
      </c>
      <c r="B26" s="26">
        <f>IFERROR(INDEX(Mots!$B:$B,MATCH($A26,Mots!$A:$A,0)),"introuvable")</f>
        <v/>
      </c>
      <c r="C26" s="30" t="inlineStr">
        <is>
          <t>terrasse_maison</t>
        </is>
      </c>
    </row>
    <row r="27">
      <c r="A27" s="30" t="inlineStr">
        <is>
          <t>haie_de_thujas</t>
        </is>
      </c>
      <c r="B27" s="26">
        <f>IFERROR(INDEX(Mots!$B:$B,MATCH($A27,Mots!$A:$A,0)),"introuvable")</f>
        <v/>
      </c>
      <c r="C27" s="30" t="inlineStr">
        <is>
          <t>terrasse_maison</t>
        </is>
      </c>
    </row>
    <row r="28">
      <c r="A28" s="30" t="inlineStr">
        <is>
          <t>arrosage_automatique</t>
        </is>
      </c>
      <c r="B28" s="26">
        <f>IFERROR(INDEX(Mots!$B:$B,MATCH($A28,Mots!$A:$A,0)),"introuvable")</f>
        <v/>
      </c>
      <c r="C28" s="30" t="inlineStr">
        <is>
          <t>terrasse_maison</t>
        </is>
      </c>
    </row>
    <row r="29">
      <c r="A29" s="30" t="inlineStr">
        <is>
          <t>tondeuse_a_gazon</t>
        </is>
      </c>
      <c r="B29" s="26">
        <f>IFERROR(INDEX(Mots!$B:$B,MATCH($A29,Mots!$A:$A,0)),"introuvable")</f>
        <v/>
      </c>
      <c r="C29" s="30" t="inlineStr">
        <is>
          <t>terrasse_maison</t>
        </is>
      </c>
    </row>
    <row r="30">
      <c r="A30" s="30" t="inlineStr">
        <is>
          <t>essence_pour_tondeuse</t>
        </is>
      </c>
      <c r="B30" s="26">
        <f>IFERROR(INDEX(Mots!$B:$B,MATCH($A30,Mots!$A:$A,0)),"introuvable")</f>
        <v/>
      </c>
      <c r="C30" s="30" t="inlineStr">
        <is>
          <t>terrasse_maison</t>
        </is>
      </c>
    </row>
    <row r="31">
      <c r="A31" s="30" t="inlineStr">
        <is>
          <t>debroussailleuse</t>
        </is>
      </c>
      <c r="B31" s="26">
        <f>IFERROR(INDEX(Mots!$B:$B,MATCH($A31,Mots!$A:$A,0)),"introuvable")</f>
        <v/>
      </c>
      <c r="C31" s="30" t="inlineStr">
        <is>
          <t>terrasse_maison</t>
        </is>
      </c>
    </row>
    <row r="32">
      <c r="A32" s="30" t="inlineStr">
        <is>
          <t>fil_debroussailleuse</t>
        </is>
      </c>
      <c r="B32" s="26">
        <f>IFERROR(INDEX(Mots!$B:$B,MATCH($A32,Mots!$A:$A,0)),"introuvable")</f>
        <v/>
      </c>
      <c r="C32" s="30" t="inlineStr">
        <is>
          <t>terrasse_maison</t>
        </is>
      </c>
    </row>
    <row r="33">
      <c r="A33" s="30" t="inlineStr">
        <is>
          <t>don_honneur</t>
        </is>
      </c>
      <c r="B33" s="26">
        <f>IFERROR(INDEX(Mots!$B:$B,MATCH($A33,Mots!$A:$A,0)),"introuvable")</f>
        <v/>
      </c>
      <c r="C33" s="30" t="inlineStr">
        <is>
          <t>divers_musique</t>
        </is>
      </c>
    </row>
    <row r="34">
      <c r="A34" s="30" t="inlineStr">
        <is>
          <t>le_defile</t>
        </is>
      </c>
      <c r="B34" s="26">
        <f>IFERROR(INDEX(Mots!$B:$B,MATCH($A34,Mots!$A:$A,0)),"introuvable")</f>
        <v/>
      </c>
      <c r="C34" s="30" t="inlineStr">
        <is>
          <t>divers_musique</t>
        </is>
      </c>
    </row>
    <row r="35">
      <c r="A35" s="30" t="inlineStr">
        <is>
          <t>asm</t>
        </is>
      </c>
      <c r="B35" s="26">
        <f>IFERROR(INDEX(Mots!$B:$B,MATCH($A35,Mots!$A:$A,0)),"introuvable")</f>
        <v/>
      </c>
      <c r="C35" s="30" t="inlineStr">
        <is>
          <t>divers_musique</t>
        </is>
      </c>
    </row>
    <row r="36">
      <c r="A36" s="30" t="inlineStr">
        <is>
          <t>acmv</t>
        </is>
      </c>
      <c r="B36" s="26">
        <f>IFERROR(INDEX(Mots!$B:$B,MATCH($A36,Mots!$A:$A,0)),"introuvable")</f>
        <v/>
      </c>
      <c r="C36" s="30" t="inlineStr">
        <is>
          <t>divers_musique</t>
        </is>
      </c>
    </row>
    <row r="37">
      <c r="A37" s="30" t="inlineStr">
        <is>
          <t>fmvc</t>
        </is>
      </c>
      <c r="B37" s="26">
        <f>IFERROR(INDEX(Mots!$B:$B,MATCH($A37,Mots!$A:$A,0)),"introuvable")</f>
        <v/>
      </c>
      <c r="C37" s="30" t="inlineStr">
        <is>
          <t>divers_musique</t>
        </is>
      </c>
    </row>
    <row r="38">
      <c r="A38" s="30" t="inlineStr">
        <is>
          <t>yvan_maistre</t>
        </is>
      </c>
      <c r="B38" s="26">
        <f>IFERROR(INDEX(Mots!$B:$B,MATCH($A38,Mots!$A:$A,0)),"introuvable")</f>
        <v/>
      </c>
      <c r="C38" s="30" t="inlineStr">
        <is>
          <t>divers_musique</t>
        </is>
      </c>
      <c r="D38" s="30" t="inlineStr">
        <is>
          <t>divers</t>
        </is>
      </c>
    </row>
    <row r="39">
      <c r="A39" s="30" t="inlineStr">
        <is>
          <t>baguette</t>
        </is>
      </c>
      <c r="B39" s="26">
        <f>IFERROR(INDEX(Mots!$B:$B,MATCH($A39,Mots!$A:$A,0)),"introuvable")</f>
        <v/>
      </c>
      <c r="C39" s="30" t="inlineStr">
        <is>
          <t>divers_musique</t>
        </is>
      </c>
    </row>
    <row r="40">
      <c r="A40" s="30" t="inlineStr">
        <is>
          <t>chanson</t>
        </is>
      </c>
      <c r="B40" s="26">
        <f>IFERROR(INDEX(Mots!$B:$B,MATCH($A40,Mots!$A:$A,0)),"introuvable")</f>
        <v/>
      </c>
      <c r="C40" s="30" t="inlineStr">
        <is>
          <t>divers_musique</t>
        </is>
      </c>
    </row>
    <row r="41">
      <c r="A41" s="30" t="inlineStr">
        <is>
          <t>chorale</t>
        </is>
      </c>
      <c r="B41" s="26">
        <f>IFERROR(INDEX(Mots!$B:$B,MATCH($A41,Mots!$A:$A,0)),"introuvable")</f>
        <v/>
      </c>
      <c r="C41" s="30" t="inlineStr">
        <is>
          <t>divers_musique</t>
        </is>
      </c>
    </row>
    <row r="42">
      <c r="A42" s="30" t="inlineStr">
        <is>
          <t>danse</t>
        </is>
      </c>
      <c r="B42" s="26">
        <f>IFERROR(INDEX(Mots!$B:$B,MATCH($A42,Mots!$A:$A,0)),"introuvable")</f>
        <v/>
      </c>
      <c r="C42" s="30" t="inlineStr">
        <is>
          <t>divers_musique</t>
        </is>
      </c>
    </row>
    <row r="43">
      <c r="A43" s="30" t="inlineStr">
        <is>
          <t>melodie</t>
        </is>
      </c>
      <c r="B43" s="26">
        <f>IFERROR(INDEX(Mots!$B:$B,MATCH($A43,Mots!$A:$A,0)),"introuvable")</f>
        <v/>
      </c>
      <c r="C43" s="30" t="inlineStr">
        <is>
          <t>divers_musique</t>
        </is>
      </c>
    </row>
    <row r="44">
      <c r="A44" s="30" t="inlineStr">
        <is>
          <t>partition</t>
        </is>
      </c>
      <c r="B44" s="26">
        <f>IFERROR(INDEX(Mots!$B:$B,MATCH($A44,Mots!$A:$A,0)),"introuvable")</f>
        <v/>
      </c>
      <c r="C44" s="30" t="inlineStr">
        <is>
          <t>divers_musique</t>
        </is>
      </c>
    </row>
    <row r="45">
      <c r="A45" s="30" t="inlineStr">
        <is>
          <t>repetition</t>
        </is>
      </c>
      <c r="B45" s="26">
        <f>IFERROR(INDEX(Mots!$B:$B,MATCH($A45,Mots!$A:$A,0)),"introuvable")</f>
        <v/>
      </c>
      <c r="C45" s="30" t="inlineStr">
        <is>
          <t>divers_musique</t>
        </is>
      </c>
    </row>
    <row r="46">
      <c r="A46" s="30" t="inlineStr">
        <is>
          <t>scene</t>
        </is>
      </c>
      <c r="B46" s="26">
        <f>IFERROR(INDEX(Mots!$B:$B,MATCH($A46,Mots!$A:$A,0)),"introuvable")</f>
        <v/>
      </c>
      <c r="C46" s="30" t="inlineStr">
        <is>
          <t>divers_musique</t>
        </is>
      </c>
    </row>
    <row r="47">
      <c r="A47" s="30" t="inlineStr">
        <is>
          <t>directeur</t>
        </is>
      </c>
      <c r="B47" s="26">
        <f>IFERROR(INDEX(Mots!$B:$B,MATCH($A47,Mots!$A:$A,0)),"introuvable")</f>
        <v/>
      </c>
      <c r="C47" s="30" t="inlineStr">
        <is>
          <t>divers_musique</t>
        </is>
      </c>
    </row>
    <row r="48">
      <c r="A48" s="30" t="inlineStr">
        <is>
          <t>concert</t>
        </is>
      </c>
      <c r="B48" s="26">
        <f>IFERROR(INDEX(Mots!$B:$B,MATCH($A48,Mots!$A:$A,0)),"introuvable")</f>
        <v/>
      </c>
      <c r="C48" s="30" t="inlineStr">
        <is>
          <t>divers_musique</t>
        </is>
      </c>
    </row>
    <row r="49">
      <c r="A49" s="30" t="inlineStr">
        <is>
          <t>public</t>
        </is>
      </c>
      <c r="B49" s="26">
        <f>IFERROR(INDEX(Mots!$B:$B,MATCH($A49,Mots!$A:$A,0)),"introuvable")</f>
        <v/>
      </c>
      <c r="C49" s="30" t="inlineStr">
        <is>
          <t>divers_musique</t>
        </is>
      </c>
    </row>
    <row r="50">
      <c r="A50" s="30" t="inlineStr">
        <is>
          <t>son</t>
        </is>
      </c>
      <c r="B50" s="26">
        <f>IFERROR(INDEX(Mots!$B:$B,MATCH($A50,Mots!$A:$A,0)),"introuvable")</f>
        <v/>
      </c>
      <c r="C50" s="30" t="inlineStr">
        <is>
          <t>divers_musique</t>
        </is>
      </c>
    </row>
    <row r="51">
      <c r="A51" s="30" t="inlineStr">
        <is>
          <t>souffle</t>
        </is>
      </c>
      <c r="B51" s="26">
        <f>IFERROR(INDEX(Mots!$B:$B,MATCH($A51,Mots!$A:$A,0)),"introuvable")</f>
        <v/>
      </c>
      <c r="C51" s="30" t="inlineStr">
        <is>
          <t>divers_musique</t>
        </is>
      </c>
    </row>
    <row r="52">
      <c r="A52" s="30" t="inlineStr">
        <is>
          <t>applaudissements</t>
        </is>
      </c>
      <c r="B52" s="26">
        <f>IFERROR(INDEX(Mots!$B:$B,MATCH($A52,Mots!$A:$A,0)),"introuvable")</f>
        <v/>
      </c>
      <c r="C52" s="30" t="inlineStr">
        <is>
          <t>divers_musique</t>
        </is>
      </c>
    </row>
    <row r="53">
      <c r="A53" s="30" t="inlineStr">
        <is>
          <t>cuisine</t>
        </is>
      </c>
      <c r="B53" s="26">
        <f>IFERROR(INDEX(Mots!$B:$B,MATCH($A53,Mots!$A:$A,0)),"introuvable")</f>
        <v/>
      </c>
      <c r="C53" s="30" t="inlineStr">
        <is>
          <t>cuisine_maison</t>
        </is>
      </c>
    </row>
    <row r="54">
      <c r="A54" s="30" t="inlineStr">
        <is>
          <t>frigo</t>
        </is>
      </c>
      <c r="B54" s="26">
        <f>IFERROR(INDEX(Mots!$B:$B,MATCH($A54,Mots!$A:$A,0)),"introuvable")</f>
        <v/>
      </c>
      <c r="C54" s="30" t="inlineStr">
        <is>
          <t>cuisine_maison</t>
        </is>
      </c>
    </row>
    <row r="55">
      <c r="A55" s="30" t="inlineStr">
        <is>
          <t>lave_vaisselle</t>
        </is>
      </c>
      <c r="B55" s="26">
        <f>IFERROR(INDEX(Mots!$B:$B,MATCH($A55,Mots!$A:$A,0)),"introuvable")</f>
        <v/>
      </c>
      <c r="C55" s="30" t="inlineStr">
        <is>
          <t>cuisine_maison</t>
        </is>
      </c>
    </row>
    <row r="56">
      <c r="A56" s="30" t="inlineStr">
        <is>
          <t>four</t>
        </is>
      </c>
      <c r="B56" s="26">
        <f>IFERROR(INDEX(Mots!$B:$B,MATCH($A56,Mots!$A:$A,0)),"introuvable")</f>
        <v/>
      </c>
      <c r="C56" s="30" t="inlineStr">
        <is>
          <t>cuisine_maison</t>
        </is>
      </c>
    </row>
    <row r="57">
      <c r="A57" s="30" t="inlineStr">
        <is>
          <t>micro_onde</t>
        </is>
      </c>
      <c r="B57" s="26">
        <f>IFERROR(INDEX(Mots!$B:$B,MATCH($A57,Mots!$A:$A,0)),"introuvable")</f>
        <v/>
      </c>
      <c r="C57" s="30" t="inlineStr">
        <is>
          <t>cuisine_maison</t>
        </is>
      </c>
    </row>
    <row r="58">
      <c r="A58" s="30" t="inlineStr">
        <is>
          <t>cuisiniere_vitroceram</t>
        </is>
      </c>
      <c r="B58" s="26">
        <f>IFERROR(INDEX(Mots!$B:$B,MATCH($A58,Mots!$A:$A,0)),"introuvable")</f>
        <v/>
      </c>
      <c r="C58" s="30" t="inlineStr">
        <is>
          <t>cuisine_maison</t>
        </is>
      </c>
    </row>
    <row r="59">
      <c r="A59" s="30" t="inlineStr">
        <is>
          <t>machine_a_cafe</t>
        </is>
      </c>
      <c r="B59" s="26">
        <f>IFERROR(INDEX(Mots!$B:$B,MATCH($A59,Mots!$A:$A,0)),"introuvable")</f>
        <v/>
      </c>
      <c r="C59" s="30" t="inlineStr">
        <is>
          <t>cuisine_maison</t>
        </is>
      </c>
    </row>
    <row r="60">
      <c r="A60" s="30" t="inlineStr">
        <is>
          <t>verre</t>
        </is>
      </c>
      <c r="B60" s="26">
        <f>IFERROR(INDEX(Mots!$B:$B,MATCH($A60,Mots!$A:$A,0)),"introuvable")</f>
        <v/>
      </c>
      <c r="C60" s="30" t="inlineStr">
        <is>
          <t>cuisine_maison</t>
        </is>
      </c>
    </row>
    <row r="61">
      <c r="A61" s="30" t="inlineStr">
        <is>
          <t>tasse</t>
        </is>
      </c>
      <c r="B61" s="26">
        <f>IFERROR(INDEX(Mots!$B:$B,MATCH($A61,Mots!$A:$A,0)),"introuvable")</f>
        <v/>
      </c>
      <c r="C61" s="30" t="inlineStr">
        <is>
          <t>cuisine_maison</t>
        </is>
      </c>
    </row>
    <row r="62">
      <c r="A62" s="30" t="inlineStr">
        <is>
          <t>bouteilles</t>
        </is>
      </c>
      <c r="B62" s="26">
        <f>IFERROR(INDEX(Mots!$B:$B,MATCH($A62,Mots!$A:$A,0)),"introuvable")</f>
        <v/>
      </c>
      <c r="C62" s="30" t="inlineStr">
        <is>
          <t>cuisine_maison</t>
        </is>
      </c>
    </row>
    <row r="63">
      <c r="A63" s="30" t="inlineStr">
        <is>
          <t>pot_ou_une_mesure</t>
        </is>
      </c>
      <c r="B63" s="26">
        <f>IFERROR(INDEX(Mots!$B:$B,MATCH($A63,Mots!$A:$A,0)),"introuvable")</f>
        <v/>
      </c>
      <c r="C63" s="30" t="inlineStr">
        <is>
          <t>cuisine_maison</t>
        </is>
      </c>
    </row>
    <row r="64">
      <c r="A64" s="30" t="inlineStr">
        <is>
          <t>assiette</t>
        </is>
      </c>
      <c r="B64" s="26">
        <f>IFERROR(INDEX(Mots!$B:$B,MATCH($A64,Mots!$A:$A,0)),"introuvable")</f>
        <v/>
      </c>
      <c r="C64" s="30" t="inlineStr">
        <is>
          <t>cuisine_maison</t>
        </is>
      </c>
    </row>
    <row r="65">
      <c r="A65" s="30" t="inlineStr">
        <is>
          <t>fourchette</t>
        </is>
      </c>
      <c r="B65" s="26">
        <f>IFERROR(INDEX(Mots!$B:$B,MATCH($A65,Mots!$A:$A,0)),"introuvable")</f>
        <v/>
      </c>
      <c r="C65" s="30" t="inlineStr">
        <is>
          <t>cuisine_maison</t>
        </is>
      </c>
    </row>
    <row r="66">
      <c r="A66" s="30" t="inlineStr">
        <is>
          <t>cuillere</t>
        </is>
      </c>
      <c r="B66" s="26">
        <f>IFERROR(INDEX(Mots!$B:$B,MATCH($A66,Mots!$A:$A,0)),"introuvable")</f>
        <v/>
      </c>
      <c r="C66" s="30" t="inlineStr">
        <is>
          <t>cuisine_maison</t>
        </is>
      </c>
    </row>
    <row r="67">
      <c r="A67" s="30" t="inlineStr">
        <is>
          <t>couteau</t>
        </is>
      </c>
      <c r="B67" s="26">
        <f>IFERROR(INDEX(Mots!$B:$B,MATCH($A67,Mots!$A:$A,0)),"introuvable")</f>
        <v/>
      </c>
      <c r="C67" s="30" t="inlineStr">
        <is>
          <t>cuisine_maison</t>
        </is>
      </c>
    </row>
    <row r="68">
      <c r="A68" s="30" t="inlineStr">
        <is>
          <t>casserole</t>
        </is>
      </c>
      <c r="B68" s="26">
        <f>IFERROR(INDEX(Mots!$B:$B,MATCH($A68,Mots!$A:$A,0)),"introuvable")</f>
        <v/>
      </c>
      <c r="C68" s="30" t="inlineStr">
        <is>
          <t>cuisine_maison</t>
        </is>
      </c>
    </row>
    <row r="69">
      <c r="A69" s="30" t="inlineStr">
        <is>
          <t>marmitte</t>
        </is>
      </c>
      <c r="B69" s="26">
        <f>IFERROR(INDEX(Mots!$B:$B,MATCH($A69,Mots!$A:$A,0)),"introuvable")</f>
        <v/>
      </c>
      <c r="C69" s="30" t="inlineStr">
        <is>
          <t>cuisine_maison</t>
        </is>
      </c>
    </row>
    <row r="70">
      <c r="A70" s="30" t="inlineStr">
        <is>
          <t>poele</t>
        </is>
      </c>
      <c r="B70" s="26">
        <f>IFERROR(INDEX(Mots!$B:$B,MATCH($A70,Mots!$A:$A,0)),"introuvable")</f>
        <v/>
      </c>
      <c r="C70" s="30" t="inlineStr">
        <is>
          <t>cuisine_maison</t>
        </is>
      </c>
    </row>
    <row r="71">
      <c r="A71" s="30" t="inlineStr">
        <is>
          <t>evier_ou_plonge</t>
        </is>
      </c>
      <c r="B71" s="26">
        <f>IFERROR(INDEX(Mots!$B:$B,MATCH($A71,Mots!$A:$A,0)),"introuvable")</f>
        <v/>
      </c>
      <c r="C71" s="30" t="inlineStr">
        <is>
          <t>cuisine_maison</t>
        </is>
      </c>
    </row>
    <row r="72">
      <c r="A72" s="30" t="inlineStr">
        <is>
          <t>caquelon_rechaud</t>
        </is>
      </c>
      <c r="B72" s="26">
        <f>IFERROR(INDEX(Mots!$B:$B,MATCH($A72,Mots!$A:$A,0)),"introuvable")</f>
        <v/>
      </c>
      <c r="C72" s="30" t="inlineStr">
        <is>
          <t>cuisine_maison</t>
        </is>
      </c>
    </row>
    <row r="73">
      <c r="A73" s="30" t="inlineStr">
        <is>
          <t>four_a_raclette</t>
        </is>
      </c>
      <c r="B73" s="26">
        <f>IFERROR(INDEX(Mots!$B:$B,MATCH($A73,Mots!$A:$A,0)),"introuvable")</f>
        <v/>
      </c>
      <c r="C73" s="30" t="inlineStr">
        <is>
          <t>cuisine_maison</t>
        </is>
      </c>
    </row>
    <row r="74">
      <c r="A74" s="30" t="inlineStr">
        <is>
          <t>robinet</t>
        </is>
      </c>
      <c r="B74" s="26">
        <f>IFERROR(INDEX(Mots!$B:$B,MATCH($A74,Mots!$A:$A,0)),"introuvable")</f>
        <v/>
      </c>
      <c r="C74" s="30" t="inlineStr">
        <is>
          <t>cuisine_maison</t>
        </is>
      </c>
    </row>
    <row r="75">
      <c r="A75" s="30" t="inlineStr">
        <is>
          <t>table</t>
        </is>
      </c>
      <c r="B75" s="26">
        <f>IFERROR(INDEX(Mots!$B:$B,MATCH($A75,Mots!$A:$A,0)),"introuvable")</f>
        <v/>
      </c>
      <c r="C75" s="30" t="inlineStr">
        <is>
          <t>cuisine_maison</t>
        </is>
      </c>
    </row>
    <row r="76">
      <c r="A76" s="30" t="inlineStr">
        <is>
          <t>chaise</t>
        </is>
      </c>
      <c r="B76" s="26">
        <f>IFERROR(INDEX(Mots!$B:$B,MATCH($A76,Mots!$A:$A,0)),"introuvable")</f>
        <v/>
      </c>
      <c r="C76" s="30" t="inlineStr">
        <is>
          <t>cuisine_maison</t>
        </is>
      </c>
    </row>
    <row r="77">
      <c r="A77" s="30" t="inlineStr">
        <is>
          <t>buffet</t>
        </is>
      </c>
      <c r="B77" s="26">
        <f>IFERROR(INDEX(Mots!$B:$B,MATCH($A77,Mots!$A:$A,0)),"introuvable")</f>
        <v/>
      </c>
      <c r="C77" s="30" t="inlineStr">
        <is>
          <t>cuisine_maison</t>
        </is>
      </c>
    </row>
    <row r="78">
      <c r="A78" s="30" t="inlineStr">
        <is>
          <t>vaisselle</t>
        </is>
      </c>
      <c r="B78" s="26">
        <f>IFERROR(INDEX(Mots!$B:$B,MATCH($A78,Mots!$A:$A,0)),"introuvable")</f>
        <v/>
      </c>
      <c r="C78" s="30" t="inlineStr">
        <is>
          <t>cuisine_maison</t>
        </is>
      </c>
    </row>
    <row r="79">
      <c r="A79" s="30" t="inlineStr">
        <is>
          <t>dossier</t>
        </is>
      </c>
      <c r="B79" s="26">
        <f>IFERROR(INDEX(Mots!$B:$B,MATCH($A79,Mots!$A:$A,0)),"introuvable")</f>
        <v/>
      </c>
      <c r="C79" s="30" t="inlineStr">
        <is>
          <t>sdb_maison_2</t>
        </is>
      </c>
    </row>
    <row r="80">
      <c r="A80" s="30" t="inlineStr">
        <is>
          <t>lave_linge</t>
        </is>
      </c>
      <c r="B80" s="26">
        <f>IFERROR(INDEX(Mots!$B:$B,MATCH($A80,Mots!$A:$A,0)),"introuvable")</f>
        <v/>
      </c>
      <c r="C80" s="30" t="inlineStr">
        <is>
          <t>entretien</t>
        </is>
      </c>
      <c r="D80" s="30" t="inlineStr">
        <is>
          <t>buanderie_maison</t>
        </is>
      </c>
    </row>
    <row r="81">
      <c r="A81" s="30" t="inlineStr">
        <is>
          <t>seche_linge</t>
        </is>
      </c>
      <c r="B81" s="26">
        <f>IFERROR(INDEX(Mots!$B:$B,MATCH($A81,Mots!$A:$A,0)),"introuvable")</f>
        <v/>
      </c>
      <c r="C81" s="30" t="inlineStr">
        <is>
          <t>entretien</t>
        </is>
      </c>
      <c r="D81" s="30" t="inlineStr">
        <is>
          <t>buanderie_maison</t>
        </is>
      </c>
    </row>
    <row r="82">
      <c r="A82" s="30" t="inlineStr">
        <is>
          <t>fer_a_repasser</t>
        </is>
      </c>
      <c r="B82" s="26">
        <f>IFERROR(INDEX(Mots!$B:$B,MATCH($A82,Mots!$A:$A,0)),"introuvable")</f>
        <v/>
      </c>
      <c r="C82" s="30" t="inlineStr">
        <is>
          <t>entretien</t>
        </is>
      </c>
      <c r="D82" s="30" t="inlineStr">
        <is>
          <t>buanderie_maison</t>
        </is>
      </c>
    </row>
    <row r="83">
      <c r="A83" s="30" t="inlineStr">
        <is>
          <t>salon</t>
        </is>
      </c>
      <c r="B83" s="26">
        <f>IFERROR(INDEX(Mots!$B:$B,MATCH($A83,Mots!$A:$A,0)),"introuvable")</f>
        <v/>
      </c>
      <c r="C83" s="30" t="inlineStr">
        <is>
          <t>salon_maison</t>
        </is>
      </c>
    </row>
    <row r="84">
      <c r="A84" s="30" t="inlineStr">
        <is>
          <t>canape</t>
        </is>
      </c>
      <c r="B84" s="26">
        <f>IFERROR(INDEX(Mots!$B:$B,MATCH($A84,Mots!$A:$A,0)),"introuvable")</f>
        <v/>
      </c>
      <c r="C84" s="30" t="inlineStr">
        <is>
          <t>salon_maison</t>
        </is>
      </c>
    </row>
    <row r="85">
      <c r="A85" s="30" t="inlineStr">
        <is>
          <t>fauteuil</t>
        </is>
      </c>
      <c r="B85" s="26">
        <f>IFERROR(INDEX(Mots!$B:$B,MATCH($A85,Mots!$A:$A,0)),"introuvable")</f>
        <v/>
      </c>
      <c r="C85" s="30" t="inlineStr">
        <is>
          <t>salon_maison</t>
        </is>
      </c>
    </row>
    <row r="86">
      <c r="A86" s="30" t="inlineStr">
        <is>
          <t>meuble</t>
        </is>
      </c>
      <c r="B86" s="26">
        <f>IFERROR(INDEX(Mots!$B:$B,MATCH($A86,Mots!$A:$A,0)),"introuvable")</f>
        <v/>
      </c>
      <c r="C86" s="30" t="inlineStr">
        <is>
          <t>salon_maison</t>
        </is>
      </c>
    </row>
    <row r="87">
      <c r="A87" s="30" t="inlineStr">
        <is>
          <t>television</t>
        </is>
      </c>
      <c r="B87" s="26">
        <f>IFERROR(INDEX(Mots!$B:$B,MATCH($A87,Mots!$A:$A,0)),"introuvable")</f>
        <v/>
      </c>
      <c r="C87" s="30" t="inlineStr">
        <is>
          <t>salon_maison</t>
        </is>
      </c>
    </row>
    <row r="88">
      <c r="A88" s="30" t="inlineStr">
        <is>
          <t>lampe</t>
        </is>
      </c>
      <c r="B88" s="26">
        <f>IFERROR(INDEX(Mots!$B:$B,MATCH($A88,Mots!$A:$A,0)),"introuvable")</f>
        <v/>
      </c>
      <c r="C88" s="30" t="inlineStr">
        <is>
          <t>salon_maison</t>
        </is>
      </c>
    </row>
    <row r="89">
      <c r="A89" s="30" t="inlineStr">
        <is>
          <t>portee_et_mesures</t>
        </is>
      </c>
      <c r="B89" s="26">
        <f>IFERROR(INDEX(Mots!$B:$B,MATCH($A89,Mots!$A:$A,0)),"introuvable")</f>
        <v/>
      </c>
      <c r="C89" s="30" t="inlineStr">
        <is>
          <t>solfège_musique</t>
        </is>
      </c>
    </row>
    <row r="90">
      <c r="A90" s="30" t="inlineStr">
        <is>
          <t>cle_de_sol</t>
        </is>
      </c>
      <c r="B90" s="26">
        <f>IFERROR(INDEX(Mots!$B:$B,MATCH($A90,Mots!$A:$A,0)),"introuvable")</f>
        <v/>
      </c>
      <c r="C90" s="30" t="inlineStr">
        <is>
          <t>solfège_musique</t>
        </is>
      </c>
    </row>
    <row r="91">
      <c r="A91" s="30" t="inlineStr">
        <is>
          <t>figures_notes</t>
        </is>
      </c>
      <c r="B91" s="26">
        <f>IFERROR(INDEX(Mots!$B:$B,MATCH($A91,Mots!$A:$A,0)),"introuvable")</f>
        <v/>
      </c>
      <c r="C91" s="30" t="inlineStr">
        <is>
          <t>solfège_musique</t>
        </is>
      </c>
    </row>
    <row r="92">
      <c r="A92" s="30" t="inlineStr">
        <is>
          <t>alterations</t>
        </is>
      </c>
      <c r="B92" s="26">
        <f>IFERROR(INDEX(Mots!$B:$B,MATCH($A92,Mots!$A:$A,0)),"introuvable")</f>
        <v/>
      </c>
      <c r="C92" s="30" t="inlineStr">
        <is>
          <t>solfège_musique</t>
        </is>
      </c>
    </row>
    <row r="93">
      <c r="A93" s="30" t="inlineStr">
        <is>
          <t>silences</t>
        </is>
      </c>
      <c r="B93" s="26">
        <f>IFERROR(INDEX(Mots!$B:$B,MATCH($A93,Mots!$A:$A,0)),"introuvable")</f>
        <v/>
      </c>
      <c r="C93" s="30" t="inlineStr">
        <is>
          <t>solfège_musique</t>
        </is>
      </c>
    </row>
    <row r="94">
      <c r="A94" s="30" t="inlineStr">
        <is>
          <t>les_nuances</t>
        </is>
      </c>
      <c r="B94" s="26">
        <f>IFERROR(INDEX(Mots!$B:$B,MATCH($A94,Mots!$A:$A,0)),"introuvable")</f>
        <v/>
      </c>
      <c r="C94" s="30" t="inlineStr">
        <is>
          <t>solfège_musique</t>
        </is>
      </c>
    </row>
    <row r="95">
      <c r="A95" s="30" t="inlineStr">
        <is>
          <t>crescendo_decrescendo</t>
        </is>
      </c>
      <c r="B95" s="26">
        <f>IFERROR(INDEX(Mots!$B:$B,MATCH($A95,Mots!$A:$A,0)),"introuvable")</f>
        <v/>
      </c>
      <c r="C95" s="30" t="inlineStr">
        <is>
          <t>solfège_musique</t>
        </is>
      </c>
    </row>
    <row r="96">
      <c r="A96" s="30" t="inlineStr">
        <is>
          <t>seconde</t>
        </is>
      </c>
      <c r="B96" s="26">
        <f>IFERROR(INDEX(Mots!$B:$B,MATCH($A96,Mots!$A:$A,0)),"introuvable")</f>
        <v/>
      </c>
      <c r="C96" s="30" t="inlineStr">
        <is>
          <t>mots_le_temps</t>
        </is>
      </c>
    </row>
    <row r="97">
      <c r="A97" s="30" t="inlineStr">
        <is>
          <t>minute</t>
        </is>
      </c>
      <c r="B97" s="26">
        <f>IFERROR(INDEX(Mots!$B:$B,MATCH($A97,Mots!$A:$A,0)),"introuvable")</f>
        <v/>
      </c>
      <c r="C97" s="30" t="inlineStr">
        <is>
          <t>mots_le_temps</t>
        </is>
      </c>
    </row>
    <row r="98">
      <c r="A98" s="30" t="inlineStr">
        <is>
          <t>heure</t>
        </is>
      </c>
      <c r="B98" s="26">
        <f>IFERROR(INDEX(Mots!$B:$B,MATCH($A98,Mots!$A:$A,0)),"introuvable")</f>
        <v/>
      </c>
      <c r="C98" s="30" t="inlineStr">
        <is>
          <t>mots_le_temps</t>
        </is>
      </c>
    </row>
    <row r="99">
      <c r="A99" s="30" t="inlineStr">
        <is>
          <t>jour</t>
        </is>
      </c>
      <c r="B99" s="26">
        <f>IFERROR(INDEX(Mots!$B:$B,MATCH($A99,Mots!$A:$A,0)),"introuvable")</f>
        <v/>
      </c>
      <c r="C99" s="30" t="inlineStr">
        <is>
          <t>mots_le_temps</t>
        </is>
      </c>
    </row>
    <row r="100">
      <c r="A100" s="30" t="inlineStr">
        <is>
          <t>matin</t>
        </is>
      </c>
      <c r="B100" s="26">
        <f>IFERROR(INDEX(Mots!$B:$B,MATCH($A100,Mots!$A:$A,0)),"introuvable")</f>
        <v/>
      </c>
      <c r="C100" s="30" t="inlineStr">
        <is>
          <t>mots_le_temps</t>
        </is>
      </c>
    </row>
    <row r="101">
      <c r="A101" s="30" t="inlineStr">
        <is>
          <t>soir</t>
        </is>
      </c>
      <c r="B101" s="26">
        <f>IFERROR(INDEX(Mots!$B:$B,MATCH($A101,Mots!$A:$A,0)),"introuvable")</f>
        <v/>
      </c>
      <c r="C101" s="30" t="inlineStr">
        <is>
          <t>mots_le_temps</t>
        </is>
      </c>
    </row>
    <row r="102">
      <c r="A102" s="30" t="inlineStr">
        <is>
          <t>nuit</t>
        </is>
      </c>
      <c r="B102" s="26">
        <f>IFERROR(INDEX(Mots!$B:$B,MATCH($A102,Mots!$A:$A,0)),"introuvable")</f>
        <v/>
      </c>
      <c r="C102" s="30" t="inlineStr">
        <is>
          <t>mots_le_temps</t>
        </is>
      </c>
    </row>
    <row r="103">
      <c r="A103" s="30" t="inlineStr">
        <is>
          <t>semaine</t>
        </is>
      </c>
      <c r="B103" s="26">
        <f>IFERROR(INDEX(Mots!$B:$B,MATCH($A103,Mots!$A:$A,0)),"introuvable")</f>
        <v/>
      </c>
      <c r="C103" s="30" t="inlineStr">
        <is>
          <t>mots_le_temps</t>
        </is>
      </c>
    </row>
    <row r="104">
      <c r="A104" s="30" t="inlineStr">
        <is>
          <t>mois</t>
        </is>
      </c>
      <c r="B104" s="26">
        <f>IFERROR(INDEX(Mots!$B:$B,MATCH($A104,Mots!$A:$A,0)),"introuvable")</f>
        <v/>
      </c>
      <c r="C104" s="30" t="inlineStr">
        <is>
          <t>mots_le_temps</t>
        </is>
      </c>
    </row>
    <row r="105">
      <c r="A105" s="30" t="inlineStr">
        <is>
          <t>annee</t>
        </is>
      </c>
      <c r="B105" s="26">
        <f>IFERROR(INDEX(Mots!$B:$B,MATCH($A105,Mots!$A:$A,0)),"introuvable")</f>
        <v/>
      </c>
      <c r="C105" s="30" t="inlineStr">
        <is>
          <t>mots_le_temps</t>
        </is>
      </c>
    </row>
    <row r="106">
      <c r="A106" s="30" t="inlineStr">
        <is>
          <t>siecle</t>
        </is>
      </c>
      <c r="B106" s="26">
        <f>IFERROR(INDEX(Mots!$B:$B,MATCH($A106,Mots!$A:$A,0)),"introuvable")</f>
        <v/>
      </c>
      <c r="C106" s="30" t="inlineStr">
        <is>
          <t>mots_le_temps</t>
        </is>
      </c>
    </row>
    <row r="107">
      <c r="A107" s="30" t="inlineStr">
        <is>
          <t>printemps</t>
        </is>
      </c>
      <c r="B107" s="26">
        <f>IFERROR(INDEX(Mots!$B:$B,MATCH($A107,Mots!$A:$A,0)),"introuvable")</f>
        <v/>
      </c>
      <c r="C107" s="30" t="inlineStr">
        <is>
          <t>mots_le_temps</t>
        </is>
      </c>
    </row>
    <row r="108">
      <c r="A108" s="30" t="inlineStr">
        <is>
          <t>ete</t>
        </is>
      </c>
      <c r="B108" s="26">
        <f>IFERROR(INDEX(Mots!$B:$B,MATCH($A108,Mots!$A:$A,0)),"introuvable")</f>
        <v/>
      </c>
      <c r="C108" s="30" t="inlineStr">
        <is>
          <t>mots_le_temps</t>
        </is>
      </c>
    </row>
    <row r="109">
      <c r="A109" s="30" t="inlineStr">
        <is>
          <t>automne</t>
        </is>
      </c>
      <c r="B109" s="26">
        <f>IFERROR(INDEX(Mots!$B:$B,MATCH($A109,Mots!$A:$A,0)),"introuvable")</f>
        <v/>
      </c>
      <c r="C109" s="30" t="inlineStr">
        <is>
          <t>mots_le_temps</t>
        </is>
      </c>
    </row>
    <row r="110">
      <c r="A110" s="30" t="inlineStr">
        <is>
          <t>hiver</t>
        </is>
      </c>
      <c r="B110" s="26">
        <f>IFERROR(INDEX(Mots!$B:$B,MATCH($A110,Mots!$A:$A,0)),"introuvable")</f>
        <v/>
      </c>
      <c r="C110" s="30" t="inlineStr">
        <is>
          <t>mots_le_temps</t>
        </is>
      </c>
    </row>
    <row r="111">
      <c r="A111" s="30" t="inlineStr">
        <is>
          <t>saison</t>
        </is>
      </c>
      <c r="B111" s="26">
        <f>IFERROR(INDEX(Mots!$B:$B,MATCH($A111,Mots!$A:$A,0)),"introuvable")</f>
        <v/>
      </c>
      <c r="C111" s="30" t="inlineStr">
        <is>
          <t>mots_le_temps</t>
        </is>
      </c>
    </row>
    <row r="112">
      <c r="A112" s="30" t="inlineStr">
        <is>
          <t>date</t>
        </is>
      </c>
      <c r="B112" s="26">
        <f>IFERROR(INDEX(Mots!$B:$B,MATCH($A112,Mots!$A:$A,0)),"introuvable")</f>
        <v/>
      </c>
      <c r="C112" s="30" t="inlineStr">
        <is>
          <t>mots_le_temps</t>
        </is>
      </c>
    </row>
    <row r="113">
      <c r="A113" s="30" t="inlineStr">
        <is>
          <t>anniversaire</t>
        </is>
      </c>
      <c r="B113" s="26">
        <f>IFERROR(INDEX(Mots!$B:$B,MATCH($A113,Mots!$A:$A,0)),"introuvable")</f>
        <v/>
      </c>
      <c r="C113" s="30" t="inlineStr">
        <is>
          <t>mots_le_temps</t>
        </is>
      </c>
    </row>
    <row r="114">
      <c r="A114" s="30" t="inlineStr">
        <is>
          <t>aujourd_hui</t>
        </is>
      </c>
      <c r="B114" s="26">
        <f>IFERROR(INDEX(Mots!$B:$B,MATCH($A114,Mots!$A:$A,0)),"introuvable")</f>
        <v/>
      </c>
      <c r="C114" s="30" t="inlineStr">
        <is>
          <t>mots_le_temps</t>
        </is>
      </c>
    </row>
    <row r="115">
      <c r="A115" s="30" t="inlineStr">
        <is>
          <t>hier</t>
        </is>
      </c>
      <c r="B115" s="26">
        <f>IFERROR(INDEX(Mots!$B:$B,MATCH($A115,Mots!$A:$A,0)),"introuvable")</f>
        <v/>
      </c>
      <c r="C115" s="30" t="inlineStr">
        <is>
          <t>mots_le_temps</t>
        </is>
      </c>
    </row>
    <row r="116">
      <c r="A116" s="30" t="inlineStr">
        <is>
          <t>demain</t>
        </is>
      </c>
      <c r="B116" s="26">
        <f>IFERROR(INDEX(Mots!$B:$B,MATCH($A116,Mots!$A:$A,0)),"introuvable")</f>
        <v/>
      </c>
      <c r="C116" s="30" t="inlineStr">
        <is>
          <t>mots_le_temps</t>
        </is>
      </c>
    </row>
    <row r="117">
      <c r="A117" s="30" t="inlineStr">
        <is>
          <t>maintenant</t>
        </is>
      </c>
      <c r="B117" s="26">
        <f>IFERROR(INDEX(Mots!$B:$B,MATCH($A117,Mots!$A:$A,0)),"introuvable")</f>
        <v/>
      </c>
      <c r="C117" s="30" t="inlineStr">
        <is>
          <t>mots_le_temps</t>
        </is>
      </c>
    </row>
    <row r="118">
      <c r="A118" s="30" t="inlineStr">
        <is>
          <t>calendrier</t>
        </is>
      </c>
      <c r="B118" s="26">
        <f>IFERROR(INDEX(Mots!$B:$B,MATCH($A118,Mots!$A:$A,0)),"introuvable")</f>
        <v/>
      </c>
      <c r="C118" s="30" t="inlineStr">
        <is>
          <t>mots_le_temps</t>
        </is>
      </c>
    </row>
    <row r="119">
      <c r="A119" s="30" t="inlineStr">
        <is>
          <t>agenda</t>
        </is>
      </c>
      <c r="B119" s="26">
        <f>IFERROR(INDEX(Mots!$B:$B,MATCH($A119,Mots!$A:$A,0)),"introuvable")</f>
        <v/>
      </c>
      <c r="C119" s="30" t="inlineStr">
        <is>
          <t>mots_le_temps</t>
        </is>
      </c>
    </row>
    <row r="120">
      <c r="A120" s="30" t="inlineStr">
        <is>
          <t>duree</t>
        </is>
      </c>
      <c r="B120" s="26">
        <f>IFERROR(INDEX(Mots!$B:$B,MATCH($A120,Mots!$A:$A,0)),"introuvable")</f>
        <v/>
      </c>
      <c r="C120" s="30" t="inlineStr">
        <is>
          <t>mots_le_temps</t>
        </is>
      </c>
    </row>
    <row r="121">
      <c r="A121" s="30" t="inlineStr">
        <is>
          <t>tot</t>
        </is>
      </c>
      <c r="B121" s="26">
        <f>IFERROR(INDEX(Mots!$B:$B,MATCH($A121,Mots!$A:$A,0)),"introuvable")</f>
        <v/>
      </c>
      <c r="C121" s="30" t="inlineStr">
        <is>
          <t>mots_le_temps</t>
        </is>
      </c>
    </row>
    <row r="122">
      <c r="A122" s="30" t="inlineStr">
        <is>
          <t>tard</t>
        </is>
      </c>
      <c r="B122" s="26">
        <f>IFERROR(INDEX(Mots!$B:$B,MATCH($A122,Mots!$A:$A,0)),"introuvable")</f>
        <v/>
      </c>
      <c r="C122" s="30" t="inlineStr">
        <is>
          <t>mots_le_temps</t>
        </is>
      </c>
    </row>
    <row r="123">
      <c r="A123" s="30" t="inlineStr">
        <is>
          <t>toujours</t>
        </is>
      </c>
      <c r="B123" s="26">
        <f>IFERROR(INDEX(Mots!$B:$B,MATCH($A123,Mots!$A:$A,0)),"introuvable")</f>
        <v/>
      </c>
      <c r="C123" s="30" t="inlineStr">
        <is>
          <t>mots_le_temps</t>
        </is>
      </c>
    </row>
    <row r="124">
      <c r="A124" s="30" t="inlineStr">
        <is>
          <t>jamais</t>
        </is>
      </c>
      <c r="B124" s="26">
        <f>IFERROR(INDEX(Mots!$B:$B,MATCH($A124,Mots!$A:$A,0)),"introuvable")</f>
        <v/>
      </c>
      <c r="C124" s="30" t="inlineStr">
        <is>
          <t>mots_le_temps</t>
        </is>
      </c>
    </row>
    <row r="125">
      <c r="A125" s="30" t="inlineStr">
        <is>
          <t>souvent</t>
        </is>
      </c>
      <c r="B125" s="26">
        <f>IFERROR(INDEX(Mots!$B:$B,MATCH($A125,Mots!$A:$A,0)),"introuvable")</f>
        <v/>
      </c>
      <c r="C125" s="30" t="inlineStr">
        <is>
          <t>mots_le_temps</t>
        </is>
      </c>
    </row>
    <row r="126">
      <c r="A126" s="30" t="inlineStr">
        <is>
          <t>parfois</t>
        </is>
      </c>
      <c r="B126" s="26">
        <f>IFERROR(INDEX(Mots!$B:$B,MATCH($A126,Mots!$A:$A,0)),"introuvable")</f>
        <v/>
      </c>
      <c r="C126" s="30" t="inlineStr">
        <is>
          <t>mots_le_temps</t>
        </is>
      </c>
    </row>
    <row r="127">
      <c r="A127" s="30" t="inlineStr">
        <is>
          <t>paire</t>
        </is>
      </c>
      <c r="B127" s="26">
        <f>IFERROR(INDEX(Mots!$B:$B,MATCH($A127,Mots!$A:$A,0)),"introuvable")</f>
        <v/>
      </c>
      <c r="C127" s="30" t="inlineStr">
        <is>
          <t>mots_le_temps</t>
        </is>
      </c>
    </row>
    <row r="128">
      <c r="A128" s="30" t="inlineStr">
        <is>
          <t>douzaine</t>
        </is>
      </c>
      <c r="B128" s="26">
        <f>IFERROR(INDEX(Mots!$B:$B,MATCH($A128,Mots!$A:$A,0)),"introuvable")</f>
        <v/>
      </c>
      <c r="C128" s="30" t="inlineStr">
        <is>
          <t>mots_le_temps</t>
        </is>
      </c>
    </row>
    <row r="129">
      <c r="A129" s="30" t="inlineStr">
        <is>
          <t>centaine</t>
        </is>
      </c>
      <c r="B129" s="26">
        <f>IFERROR(INDEX(Mots!$B:$B,MATCH($A129,Mots!$A:$A,0)),"introuvable")</f>
        <v/>
      </c>
      <c r="C129" s="30" t="inlineStr">
        <is>
          <t>mots_le_temps</t>
        </is>
      </c>
    </row>
    <row r="130">
      <c r="A130" s="30" t="inlineStr">
        <is>
          <t>ventre</t>
        </is>
      </c>
      <c r="B130" s="26">
        <f>IFERROR(INDEX(Mots!$B:$B,MATCH($A130,Mots!$A:$A,0)),"introuvable")</f>
        <v/>
      </c>
      <c r="C130" s="30" t="inlineStr">
        <is>
          <t>tronc</t>
        </is>
      </c>
    </row>
    <row r="131">
      <c r="A131" s="30" t="inlineStr">
        <is>
          <t>dos</t>
        </is>
      </c>
      <c r="B131" s="26">
        <f>IFERROR(INDEX(Mots!$B:$B,MATCH($A131,Mots!$A:$A,0)),"introuvable")</f>
        <v/>
      </c>
      <c r="C131" s="30" t="inlineStr">
        <is>
          <t>tronc</t>
        </is>
      </c>
    </row>
    <row r="132">
      <c r="A132" s="30" t="inlineStr">
        <is>
          <t>coeur</t>
        </is>
      </c>
      <c r="B132" s="26">
        <f>IFERROR(INDEX(Mots!$B:$B,MATCH($A132,Mots!$A:$A,0)),"introuvable")</f>
        <v/>
      </c>
      <c r="C132" s="30" t="inlineStr">
        <is>
          <t>tronc</t>
        </is>
      </c>
    </row>
    <row r="133">
      <c r="A133" s="30" t="inlineStr">
        <is>
          <t>poitrine</t>
        </is>
      </c>
      <c r="B133" s="26">
        <f>IFERROR(INDEX(Mots!$B:$B,MATCH($A133,Mots!$A:$A,0)),"introuvable")</f>
        <v/>
      </c>
      <c r="C133" s="30" t="inlineStr">
        <is>
          <t>tronc</t>
        </is>
      </c>
    </row>
    <row r="134">
      <c r="A134" s="30" t="inlineStr">
        <is>
          <t>torse</t>
        </is>
      </c>
      <c r="B134" s="26">
        <f>IFERROR(INDEX(Mots!$B:$B,MATCH($A134,Mots!$A:$A,0)),"introuvable")</f>
        <v/>
      </c>
      <c r="C134" s="30" t="inlineStr">
        <is>
          <t>tronc</t>
        </is>
      </c>
    </row>
    <row r="135">
      <c r="A135" s="30" t="inlineStr">
        <is>
          <t>epaule</t>
        </is>
      </c>
      <c r="B135" s="26">
        <f>IFERROR(INDEX(Mots!$B:$B,MATCH($A135,Mots!$A:$A,0)),"introuvable")</f>
        <v/>
      </c>
      <c r="C135" s="30" t="inlineStr">
        <is>
          <t>tronc</t>
        </is>
      </c>
    </row>
    <row r="136">
      <c r="A136" s="30" t="inlineStr">
        <is>
          <t>tete</t>
        </is>
      </c>
      <c r="B136" s="26">
        <f>IFERROR(INDEX(Mots!$B:$B,MATCH($A136,Mots!$A:$A,0)),"introuvable")</f>
        <v/>
      </c>
      <c r="C136" s="30" t="inlineStr">
        <is>
          <t>visage</t>
        </is>
      </c>
    </row>
    <row r="137">
      <c r="A137" s="30" t="inlineStr">
        <is>
          <t>cheveux</t>
        </is>
      </c>
      <c r="B137" s="26">
        <f>IFERROR(INDEX(Mots!$B:$B,MATCH($A137,Mots!$A:$A,0)),"introuvable")</f>
        <v/>
      </c>
      <c r="C137" s="30" t="inlineStr">
        <is>
          <t>visage</t>
        </is>
      </c>
    </row>
    <row r="138">
      <c r="A138" s="30" t="inlineStr">
        <is>
          <t>oeil</t>
        </is>
      </c>
      <c r="B138" s="26">
        <f>IFERROR(INDEX(Mots!$B:$B,MATCH($A138,Mots!$A:$A,0)),"introuvable")</f>
        <v/>
      </c>
      <c r="C138" s="30" t="inlineStr">
        <is>
          <t>visage</t>
        </is>
      </c>
    </row>
    <row r="139">
      <c r="A139" s="30" t="inlineStr">
        <is>
          <t>nez</t>
        </is>
      </c>
      <c r="B139" s="26">
        <f>IFERROR(INDEX(Mots!$B:$B,MATCH($A139,Mots!$A:$A,0)),"introuvable")</f>
        <v/>
      </c>
      <c r="C139" s="30" t="inlineStr">
        <is>
          <t>visage</t>
        </is>
      </c>
    </row>
    <row r="140">
      <c r="A140" s="30" t="inlineStr">
        <is>
          <t>bouche</t>
        </is>
      </c>
      <c r="B140" s="26">
        <f>IFERROR(INDEX(Mots!$B:$B,MATCH($A140,Mots!$A:$A,0)),"introuvable")</f>
        <v/>
      </c>
      <c r="C140" s="30" t="inlineStr">
        <is>
          <t>visage</t>
        </is>
      </c>
    </row>
    <row r="141">
      <c r="A141" s="30" t="inlineStr">
        <is>
          <t>dent</t>
        </is>
      </c>
      <c r="B141" s="26">
        <f>IFERROR(INDEX(Mots!$B:$B,MATCH($A141,Mots!$A:$A,0)),"introuvable")</f>
        <v/>
      </c>
      <c r="C141" s="30" t="inlineStr">
        <is>
          <t>visage</t>
        </is>
      </c>
    </row>
    <row r="142">
      <c r="A142" s="30" t="inlineStr">
        <is>
          <t>oreille</t>
        </is>
      </c>
      <c r="B142" s="26">
        <f>IFERROR(INDEX(Mots!$B:$B,MATCH($A142,Mots!$A:$A,0)),"introuvable")</f>
        <v/>
      </c>
      <c r="C142" s="30" t="inlineStr">
        <is>
          <t>visage</t>
        </is>
      </c>
    </row>
    <row r="143">
      <c r="A143" s="30" t="inlineStr">
        <is>
          <t>joue</t>
        </is>
      </c>
      <c r="B143" s="26">
        <f>IFERROR(INDEX(Mots!$B:$B,MATCH($A143,Mots!$A:$A,0)),"introuvable")</f>
        <v/>
      </c>
      <c r="C143" s="30" t="inlineStr">
        <is>
          <t>visage</t>
        </is>
      </c>
    </row>
    <row r="144">
      <c r="A144" s="30" t="inlineStr">
        <is>
          <t>langue</t>
        </is>
      </c>
      <c r="B144" s="26">
        <f>IFERROR(INDEX(Mots!$B:$B,MATCH($A144,Mots!$A:$A,0)),"introuvable")</f>
        <v/>
      </c>
      <c r="C144" s="30" t="inlineStr">
        <is>
          <t>visage</t>
        </is>
      </c>
    </row>
    <row r="145">
      <c r="A145" s="30" t="inlineStr">
        <is>
          <t>levre</t>
        </is>
      </c>
      <c r="B145" s="26">
        <f>IFERROR(INDEX(Mots!$B:$B,MATCH($A145,Mots!$A:$A,0)),"introuvable")</f>
        <v/>
      </c>
      <c r="C145" s="30" t="inlineStr">
        <is>
          <t>visage</t>
        </is>
      </c>
    </row>
    <row r="146">
      <c r="A146" s="30" t="inlineStr">
        <is>
          <t>cou</t>
        </is>
      </c>
      <c r="B146" s="26">
        <f>IFERROR(INDEX(Mots!$B:$B,MATCH($A146,Mots!$A:$A,0)),"introuvable")</f>
        <v/>
      </c>
      <c r="C146" s="30" t="inlineStr">
        <is>
          <t>visage</t>
        </is>
      </c>
    </row>
    <row r="147">
      <c r="A147" s="30" t="inlineStr">
        <is>
          <t>front</t>
        </is>
      </c>
      <c r="B147" s="26">
        <f>IFERROR(INDEX(Mots!$B:$B,MATCH($A147,Mots!$A:$A,0)),"introuvable")</f>
        <v/>
      </c>
      <c r="C147" s="30" t="inlineStr">
        <is>
          <t>visage</t>
        </is>
      </c>
    </row>
    <row r="148">
      <c r="A148" s="30" t="inlineStr">
        <is>
          <t>casquette</t>
        </is>
      </c>
      <c r="B148" s="26">
        <f>IFERROR(INDEX(Mots!$B:$B,MATCH($A148,Mots!$A:$A,0)),"introuvable")</f>
        <v/>
      </c>
      <c r="C148" s="30" t="inlineStr">
        <is>
          <t>accessoires</t>
        </is>
      </c>
    </row>
    <row r="149">
      <c r="A149" s="30" t="inlineStr">
        <is>
          <t>ceinture</t>
        </is>
      </c>
      <c r="B149" s="26">
        <f>IFERROR(INDEX(Mots!$B:$B,MATCH($A149,Mots!$A:$A,0)),"introuvable")</f>
        <v/>
      </c>
      <c r="C149" s="30" t="inlineStr">
        <is>
          <t>accessoires</t>
        </is>
      </c>
    </row>
    <row r="150">
      <c r="A150" s="30" t="inlineStr">
        <is>
          <t>bonnet</t>
        </is>
      </c>
      <c r="B150" s="26">
        <f>IFERROR(INDEX(Mots!$B:$B,MATCH($A150,Mots!$A:$A,0)),"introuvable")</f>
        <v/>
      </c>
      <c r="C150" s="30" t="inlineStr">
        <is>
          <t>accessoires</t>
        </is>
      </c>
    </row>
    <row r="151">
      <c r="A151" s="30" t="inlineStr">
        <is>
          <t>gant</t>
        </is>
      </c>
      <c r="B151" s="26">
        <f>IFERROR(INDEX(Mots!$B:$B,MATCH($A151,Mots!$A:$A,0)),"introuvable")</f>
        <v/>
      </c>
      <c r="C151" s="30" t="inlineStr">
        <is>
          <t>accessoires</t>
        </is>
      </c>
    </row>
    <row r="152">
      <c r="A152" s="30" t="inlineStr">
        <is>
          <t>echarpe</t>
        </is>
      </c>
      <c r="B152" s="26">
        <f>IFERROR(INDEX(Mots!$B:$B,MATCH($A152,Mots!$A:$A,0)),"introuvable")</f>
        <v/>
      </c>
      <c r="C152" s="30" t="inlineStr">
        <is>
          <t>accessoires</t>
        </is>
      </c>
    </row>
    <row r="153">
      <c r="A153" s="30" t="inlineStr">
        <is>
          <t>sourdine_cup</t>
        </is>
      </c>
      <c r="B153" s="26">
        <f>IFERROR(INDEX(Mots!$B:$B,MATCH($A153,Mots!$A:$A,0)),"introuvable")</f>
        <v/>
      </c>
      <c r="C153" s="30" t="inlineStr">
        <is>
          <t>accessoires_musique</t>
        </is>
      </c>
    </row>
    <row r="154">
      <c r="A154" s="30" t="inlineStr">
        <is>
          <t>sourdine_straignt_ou_metal</t>
        </is>
      </c>
      <c r="B154" s="26">
        <f>IFERROR(INDEX(Mots!$B:$B,MATCH($A154,Mots!$A:$A,0)),"introuvable")</f>
        <v/>
      </c>
      <c r="C154" s="30" t="inlineStr">
        <is>
          <t>accessoires_musique</t>
        </is>
      </c>
    </row>
    <row r="155">
      <c r="A155" s="30" t="inlineStr">
        <is>
          <t>embouchure</t>
        </is>
      </c>
      <c r="B155" s="26">
        <f>IFERROR(INDEX(Mots!$B:$B,MATCH($A155,Mots!$A:$A,0)),"introuvable")</f>
        <v/>
      </c>
      <c r="C155" s="30" t="inlineStr">
        <is>
          <t>accessoires_musique</t>
        </is>
      </c>
    </row>
    <row r="156">
      <c r="A156" s="30" t="inlineStr">
        <is>
          <t>pistons</t>
        </is>
      </c>
      <c r="B156" s="26">
        <f>IFERROR(INDEX(Mots!$B:$B,MATCH($A156,Mots!$A:$A,0)),"introuvable")</f>
        <v/>
      </c>
      <c r="C156" s="30" t="inlineStr">
        <is>
          <t>accessoires_musique</t>
        </is>
      </c>
    </row>
    <row r="157">
      <c r="A157" s="30" t="inlineStr">
        <is>
          <t>coulisse</t>
        </is>
      </c>
      <c r="B157" s="26">
        <f>IFERROR(INDEX(Mots!$B:$B,MATCH($A157,Mots!$A:$A,0)),"introuvable")</f>
        <v/>
      </c>
      <c r="C157" s="30" t="inlineStr">
        <is>
          <t>accessoires_musique</t>
        </is>
      </c>
    </row>
    <row r="158">
      <c r="A158" s="30" t="inlineStr">
        <is>
          <t>coffre_instrument</t>
        </is>
      </c>
      <c r="B158" s="26">
        <f>IFERROR(INDEX(Mots!$B:$B,MATCH($A158,Mots!$A:$A,0)),"introuvable")</f>
        <v/>
      </c>
      <c r="C158" s="30" t="inlineStr">
        <is>
          <t>accessoires_musique</t>
        </is>
      </c>
    </row>
    <row r="159">
      <c r="A159" s="30" t="inlineStr">
        <is>
          <t>huile_instrument</t>
        </is>
      </c>
      <c r="B159" s="26">
        <f>IFERROR(INDEX(Mots!$B:$B,MATCH($A159,Mots!$A:$A,0)),"introuvable")</f>
        <v/>
      </c>
      <c r="C159" s="30" t="inlineStr">
        <is>
          <t>accessoires_musique</t>
        </is>
      </c>
    </row>
    <row r="160">
      <c r="A160" s="30" t="inlineStr">
        <is>
          <t>graisse_instrument</t>
        </is>
      </c>
      <c r="B160" s="26">
        <f>IFERROR(INDEX(Mots!$B:$B,MATCH($A160,Mots!$A:$A,0)),"introuvable")</f>
        <v/>
      </c>
      <c r="C160" s="30" t="inlineStr">
        <is>
          <t>accessoires_musique</t>
        </is>
      </c>
    </row>
    <row r="161">
      <c r="A161" s="30" t="inlineStr">
        <is>
          <t>brosses_instrument</t>
        </is>
      </c>
      <c r="B161" s="26">
        <f>IFERROR(INDEX(Mots!$B:$B,MATCH($A161,Mots!$A:$A,0)),"introuvable")</f>
        <v/>
      </c>
      <c r="C161" s="30" t="inlineStr">
        <is>
          <t>accessoires_musique</t>
        </is>
      </c>
    </row>
    <row r="162">
      <c r="A162" s="30" t="inlineStr">
        <is>
          <t>pupitre</t>
        </is>
      </c>
      <c r="B162" s="26">
        <f>IFERROR(INDEX(Mots!$B:$B,MATCH($A162,Mots!$A:$A,0)),"introuvable")</f>
        <v/>
      </c>
      <c r="C162" s="30" t="inlineStr">
        <is>
          <t>accessoires_musique</t>
        </is>
      </c>
    </row>
    <row r="163">
      <c r="A163" s="30" t="inlineStr">
        <is>
          <t>uniforme</t>
        </is>
      </c>
      <c r="B163" s="26">
        <f>IFERROR(INDEX(Mots!$B:$B,MATCH($A163,Mots!$A:$A,0)),"introuvable")</f>
        <v/>
      </c>
      <c r="C163" s="30" t="inlineStr">
        <is>
          <t>divers_musique</t>
        </is>
      </c>
    </row>
    <row r="164">
      <c r="A164" s="30" t="inlineStr">
        <is>
          <t>pates</t>
        </is>
      </c>
      <c r="B164" s="26">
        <f>IFERROR(INDEX(Mots!$B:$B,MATCH($A164,Mots!$A:$A,0)),"introuvable")</f>
        <v/>
      </c>
      <c r="C164" s="30" t="inlineStr">
        <is>
          <t>accompagnements</t>
        </is>
      </c>
      <c r="D164" s="30" t="inlineStr">
        <is>
          <t>denrees_base</t>
        </is>
      </c>
    </row>
    <row r="165">
      <c r="A165" s="30" t="inlineStr">
        <is>
          <t>riz</t>
        </is>
      </c>
      <c r="B165" s="26">
        <f>IFERROR(INDEX(Mots!$B:$B,MATCH($A165,Mots!$A:$A,0)),"introuvable")</f>
        <v/>
      </c>
      <c r="C165" s="30" t="inlineStr">
        <is>
          <t>accompagnements</t>
        </is>
      </c>
      <c r="D165" s="30" t="inlineStr">
        <is>
          <t>denrees_base</t>
        </is>
      </c>
    </row>
    <row r="166">
      <c r="A166" s="30" t="inlineStr">
        <is>
          <t>bagheera</t>
        </is>
      </c>
      <c r="B166" s="26">
        <f>IFERROR(INDEX(Mots!$B:$B,MATCH($A166,Mots!$A:$A,0)),"introuvable")</f>
        <v/>
      </c>
      <c r="C166" s="30" t="inlineStr">
        <is>
          <t>animaux_compagnons</t>
        </is>
      </c>
    </row>
    <row r="167">
      <c r="A167" s="30" t="inlineStr">
        <is>
          <t>naya</t>
        </is>
      </c>
      <c r="B167" s="26">
        <f>IFERROR(INDEX(Mots!$B:$B,MATCH($A167,Mots!$A:$A,0)),"introuvable")</f>
        <v/>
      </c>
      <c r="C167" s="30" t="inlineStr">
        <is>
          <t>animaux_compagnons</t>
        </is>
      </c>
    </row>
    <row r="168">
      <c r="A168" s="30" t="inlineStr">
        <is>
          <t>vache</t>
        </is>
      </c>
      <c r="B168" s="26">
        <f>IFERROR(INDEX(Mots!$B:$B,MATCH($A168,Mots!$A:$A,0)),"introuvable")</f>
        <v/>
      </c>
      <c r="C168" s="30" t="inlineStr">
        <is>
          <t>ferme</t>
        </is>
      </c>
    </row>
    <row r="169">
      <c r="A169" s="30" t="inlineStr">
        <is>
          <t>cochon</t>
        </is>
      </c>
      <c r="B169" s="26">
        <f>IFERROR(INDEX(Mots!$B:$B,MATCH($A169,Mots!$A:$A,0)),"introuvable")</f>
        <v/>
      </c>
      <c r="C169" s="30" t="inlineStr">
        <is>
          <t>ferme</t>
        </is>
      </c>
    </row>
    <row r="170">
      <c r="A170" s="30" t="inlineStr">
        <is>
          <t>mouton</t>
        </is>
      </c>
      <c r="B170" s="26">
        <f>IFERROR(INDEX(Mots!$B:$B,MATCH($A170,Mots!$A:$A,0)),"introuvable")</f>
        <v/>
      </c>
      <c r="C170" s="30" t="inlineStr">
        <is>
          <t>ferme</t>
        </is>
      </c>
    </row>
    <row r="171">
      <c r="A171" s="30" t="inlineStr">
        <is>
          <t>poule</t>
        </is>
      </c>
      <c r="B171" s="26">
        <f>IFERROR(INDEX(Mots!$B:$B,MATCH($A171,Mots!$A:$A,0)),"introuvable")</f>
        <v/>
      </c>
      <c r="C171" s="30" t="inlineStr">
        <is>
          <t>ferme</t>
        </is>
      </c>
    </row>
    <row r="172">
      <c r="A172" s="30" t="inlineStr">
        <is>
          <t>chevre</t>
        </is>
      </c>
      <c r="B172" s="26">
        <f>IFERROR(INDEX(Mots!$B:$B,MATCH($A172,Mots!$A:$A,0)),"introuvable")</f>
        <v/>
      </c>
      <c r="C172" s="30" t="inlineStr">
        <is>
          <t>ferme</t>
        </is>
      </c>
    </row>
    <row r="173">
      <c r="A173" s="30" t="inlineStr">
        <is>
          <t>cheval</t>
        </is>
      </c>
      <c r="B173" s="26">
        <f>IFERROR(INDEX(Mots!$B:$B,MATCH($A173,Mots!$A:$A,0)),"introuvable")</f>
        <v/>
      </c>
      <c r="C173" s="30" t="inlineStr">
        <is>
          <t>ferme</t>
        </is>
      </c>
    </row>
    <row r="174">
      <c r="A174" s="30" t="inlineStr">
        <is>
          <t>bassin</t>
        </is>
      </c>
      <c r="B174" s="26">
        <f>IFERROR(INDEX(Mots!$B:$B,MATCH($A174,Mots!$A:$A,0)),"introuvable")</f>
        <v/>
      </c>
      <c r="C174" s="30" t="inlineStr">
        <is>
          <t>ferme</t>
        </is>
      </c>
    </row>
    <row r="175">
      <c r="A175" s="30" t="inlineStr">
        <is>
          <t>chat</t>
        </is>
      </c>
      <c r="B175" s="26">
        <f>IFERROR(INDEX(Mots!$B:$B,MATCH($A175,Mots!$A:$A,0)),"introuvable")</f>
        <v/>
      </c>
      <c r="C175" s="30" t="inlineStr">
        <is>
          <t>domestiques</t>
        </is>
      </c>
    </row>
    <row r="176">
      <c r="A176" s="30" t="inlineStr">
        <is>
          <t>chien</t>
        </is>
      </c>
      <c r="B176" s="26">
        <f>IFERROR(INDEX(Mots!$B:$B,MATCH($A176,Mots!$A:$A,0)),"introuvable")</f>
        <v/>
      </c>
      <c r="C176" s="30" t="inlineStr">
        <is>
          <t>domestiques</t>
        </is>
      </c>
    </row>
    <row r="177">
      <c r="A177" s="30" t="inlineStr">
        <is>
          <t>lapin</t>
        </is>
      </c>
      <c r="B177" s="26">
        <f>IFERROR(INDEX(Mots!$B:$B,MATCH($A177,Mots!$A:$A,0)),"introuvable")</f>
        <v/>
      </c>
      <c r="C177" s="30" t="inlineStr">
        <is>
          <t>domestiques</t>
        </is>
      </c>
    </row>
    <row r="178">
      <c r="A178" s="30" t="inlineStr">
        <is>
          <t>souris</t>
        </is>
      </c>
      <c r="B178" s="26">
        <f>IFERROR(INDEX(Mots!$B:$B,MATCH($A178,Mots!$A:$A,0)),"introuvable")</f>
        <v/>
      </c>
      <c r="C178" s="30" t="inlineStr">
        <is>
          <t>sauvages</t>
        </is>
      </c>
    </row>
    <row r="179">
      <c r="A179" s="30" t="inlineStr">
        <is>
          <t>ecureuil</t>
        </is>
      </c>
      <c r="B179" s="26">
        <f>IFERROR(INDEX(Mots!$B:$B,MATCH($A179,Mots!$A:$A,0)),"introuvable")</f>
        <v/>
      </c>
      <c r="C179" s="30" t="inlineStr">
        <is>
          <t>sauvages</t>
        </is>
      </c>
    </row>
    <row r="180">
      <c r="A180" s="30" t="inlineStr">
        <is>
          <t>marmotte</t>
        </is>
      </c>
      <c r="B180" s="26">
        <f>IFERROR(INDEX(Mots!$B:$B,MATCH($A180,Mots!$A:$A,0)),"introuvable")</f>
        <v/>
      </c>
      <c r="C180" s="30" t="inlineStr">
        <is>
          <t>sauvages</t>
        </is>
      </c>
    </row>
    <row r="181">
      <c r="A181" s="30" t="inlineStr">
        <is>
          <t>loup</t>
        </is>
      </c>
      <c r="B181" s="26">
        <f>IFERROR(INDEX(Mots!$B:$B,MATCH($A181,Mots!$A:$A,0)),"introuvable")</f>
        <v/>
      </c>
      <c r="C181" s="30" t="inlineStr">
        <is>
          <t>sauvages</t>
        </is>
      </c>
    </row>
    <row r="182">
      <c r="A182" s="30" t="inlineStr">
        <is>
          <t>chevreuil</t>
        </is>
      </c>
      <c r="B182" s="26">
        <f>IFERROR(INDEX(Mots!$B:$B,MATCH($A182,Mots!$A:$A,0)),"introuvable")</f>
        <v/>
      </c>
      <c r="C182" s="30" t="inlineStr">
        <is>
          <t>sauvages</t>
        </is>
      </c>
    </row>
    <row r="183">
      <c r="A183" s="30" t="inlineStr">
        <is>
          <t>chamois</t>
        </is>
      </c>
      <c r="B183" s="26">
        <f>IFERROR(INDEX(Mots!$B:$B,MATCH($A183,Mots!$A:$A,0)),"introuvable")</f>
        <v/>
      </c>
      <c r="C183" s="30" t="inlineStr">
        <is>
          <t>sauvages</t>
        </is>
      </c>
    </row>
    <row r="184">
      <c r="A184" s="30" t="inlineStr">
        <is>
          <t>biche</t>
        </is>
      </c>
      <c r="B184" s="26">
        <f>IFERROR(INDEX(Mots!$B:$B,MATCH($A184,Mots!$A:$A,0)),"introuvable")</f>
        <v/>
      </c>
      <c r="C184" s="30" t="inlineStr">
        <is>
          <t>sauvages</t>
        </is>
      </c>
    </row>
    <row r="185">
      <c r="A185" s="30" t="inlineStr">
        <is>
          <t>cerf</t>
        </is>
      </c>
      <c r="B185" s="26">
        <f>IFERROR(INDEX(Mots!$B:$B,MATCH($A185,Mots!$A:$A,0)),"introuvable")</f>
        <v/>
      </c>
      <c r="C185" s="30" t="inlineStr">
        <is>
          <t>sauvages</t>
        </is>
      </c>
    </row>
    <row r="186">
      <c r="A186" s="30" t="inlineStr">
        <is>
          <t>bouquetin</t>
        </is>
      </c>
      <c r="B186" s="26">
        <f>IFERROR(INDEX(Mots!$B:$B,MATCH($A186,Mots!$A:$A,0)),"introuvable")</f>
        <v/>
      </c>
      <c r="C186" s="30" t="inlineStr">
        <is>
          <t>sauvages</t>
        </is>
      </c>
    </row>
    <row r="187">
      <c r="A187" s="30" t="inlineStr">
        <is>
          <t>poisson</t>
        </is>
      </c>
      <c r="B187" s="26">
        <f>IFERROR(INDEX(Mots!$B:$B,MATCH($A187,Mots!$A:$A,0)),"introuvable")</f>
        <v/>
      </c>
      <c r="C187" s="30" t="inlineStr">
        <is>
          <t>sauvages</t>
        </is>
      </c>
    </row>
    <row r="188">
      <c r="A188" s="30" t="inlineStr">
        <is>
          <t>serpent</t>
        </is>
      </c>
      <c r="B188" s="26">
        <f>IFERROR(INDEX(Mots!$B:$B,MATCH($A188,Mots!$A:$A,0)),"introuvable")</f>
        <v/>
      </c>
      <c r="C188" s="30" t="inlineStr">
        <is>
          <t>sauvages</t>
        </is>
      </c>
    </row>
    <row r="189">
      <c r="A189" s="30" t="inlineStr">
        <is>
          <t>elephant</t>
        </is>
      </c>
      <c r="B189" s="26">
        <f>IFERROR(INDEX(Mots!$B:$B,MATCH($A189,Mots!$A:$A,0)),"introuvable")</f>
        <v/>
      </c>
      <c r="C189" s="30" t="inlineStr">
        <is>
          <t>sauvages</t>
        </is>
      </c>
    </row>
    <row r="190">
      <c r="A190" s="30" t="inlineStr">
        <is>
          <t>lion</t>
        </is>
      </c>
      <c r="B190" s="26">
        <f>IFERROR(INDEX(Mots!$B:$B,MATCH($A190,Mots!$A:$A,0)),"introuvable")</f>
        <v/>
      </c>
      <c r="C190" s="30" t="inlineStr">
        <is>
          <t>sauvages</t>
        </is>
      </c>
    </row>
    <row r="191">
      <c r="A191" s="30" t="inlineStr">
        <is>
          <t>tigre</t>
        </is>
      </c>
      <c r="B191" s="26">
        <f>IFERROR(INDEX(Mots!$B:$B,MATCH($A191,Mots!$A:$A,0)),"introuvable")</f>
        <v/>
      </c>
      <c r="C191" s="30" t="inlineStr">
        <is>
          <t>sauvages</t>
        </is>
      </c>
    </row>
    <row r="192">
      <c r="A192" s="30" t="inlineStr">
        <is>
          <t>fourrure</t>
        </is>
      </c>
      <c r="B192" s="26">
        <f>IFERROR(INDEX(Mots!$B:$B,MATCH($A192,Mots!$A:$A,0)),"introuvable")</f>
        <v/>
      </c>
      <c r="C192" s="30" t="inlineStr">
        <is>
          <t>sauvages</t>
        </is>
      </c>
    </row>
    <row r="193">
      <c r="A193" s="30" t="inlineStr">
        <is>
          <t>grenouille</t>
        </is>
      </c>
      <c r="B193" s="26">
        <f>IFERROR(INDEX(Mots!$B:$B,MATCH($A193,Mots!$A:$A,0)),"introuvable")</f>
        <v/>
      </c>
      <c r="C193" s="30" t="inlineStr">
        <is>
          <t>sauvages</t>
        </is>
      </c>
    </row>
    <row r="194">
      <c r="A194" s="30" t="inlineStr">
        <is>
          <t>trompe</t>
        </is>
      </c>
      <c r="B194" s="26">
        <f>IFERROR(INDEX(Mots!$B:$B,MATCH($A194,Mots!$A:$A,0)),"introuvable")</f>
        <v/>
      </c>
      <c r="C194" s="30" t="inlineStr">
        <is>
          <t>sauvages</t>
        </is>
      </c>
    </row>
    <row r="195">
      <c r="A195" s="30" t="inlineStr">
        <is>
          <t>canard</t>
        </is>
      </c>
      <c r="B195" s="26">
        <f>IFERROR(INDEX(Mots!$B:$B,MATCH($A195,Mots!$A:$A,0)),"introuvable")</f>
        <v/>
      </c>
      <c r="C195" s="30" t="inlineStr">
        <is>
          <t>sauvages</t>
        </is>
      </c>
    </row>
    <row r="196">
      <c r="A196" s="30" t="inlineStr">
        <is>
          <t>fauve</t>
        </is>
      </c>
      <c r="B196" s="26">
        <f>IFERROR(INDEX(Mots!$B:$B,MATCH($A196,Mots!$A:$A,0)),"introuvable")</f>
        <v/>
      </c>
      <c r="C196" s="30" t="inlineStr">
        <is>
          <t>sauvages</t>
        </is>
      </c>
    </row>
    <row r="197">
      <c r="A197" s="30" t="inlineStr">
        <is>
          <t>renard</t>
        </is>
      </c>
      <c r="B197" s="26">
        <f>IFERROR(INDEX(Mots!$B:$B,MATCH($A197,Mots!$A:$A,0)),"introuvable")</f>
        <v/>
      </c>
      <c r="C197" s="30" t="inlineStr">
        <is>
          <t>sauvages</t>
        </is>
      </c>
    </row>
    <row r="198">
      <c r="A198" s="30" t="inlineStr">
        <is>
          <t>singe</t>
        </is>
      </c>
      <c r="B198" s="26">
        <f>IFERROR(INDEX(Mots!$B:$B,MATCH($A198,Mots!$A:$A,0)),"introuvable")</f>
        <v/>
      </c>
      <c r="C198" s="30" t="inlineStr">
        <is>
          <t>sauvages</t>
        </is>
      </c>
    </row>
    <row r="199">
      <c r="A199" s="30" t="inlineStr">
        <is>
          <t>ours</t>
        </is>
      </c>
      <c r="B199" s="26">
        <f>IFERROR(INDEX(Mots!$B:$B,MATCH($A199,Mots!$A:$A,0)),"introuvable")</f>
        <v/>
      </c>
      <c r="C199" s="30" t="inlineStr">
        <is>
          <t>sauvages</t>
        </is>
      </c>
    </row>
    <row r="200">
      <c r="A200" s="30" t="inlineStr">
        <is>
          <t>sucre</t>
        </is>
      </c>
      <c r="B200" s="26">
        <f>IFERROR(INDEX(Mots!$B:$B,MATCH($A200,Mots!$A:$A,0)),"introuvable")</f>
        <v/>
      </c>
      <c r="C200" s="30" t="inlineStr">
        <is>
          <t>assaisonnement</t>
        </is>
      </c>
    </row>
    <row r="201">
      <c r="A201" s="30" t="inlineStr">
        <is>
          <t>sel</t>
        </is>
      </c>
      <c r="B201" s="26">
        <f>IFERROR(INDEX(Mots!$B:$B,MATCH($A201,Mots!$A:$A,0)),"introuvable")</f>
        <v/>
      </c>
      <c r="C201" s="30" t="inlineStr">
        <is>
          <t>assaisonnement</t>
        </is>
      </c>
    </row>
    <row r="202">
      <c r="A202" s="30" t="inlineStr">
        <is>
          <t>poivre</t>
        </is>
      </c>
      <c r="B202" s="26">
        <f>IFERROR(INDEX(Mots!$B:$B,MATCH($A202,Mots!$A:$A,0)),"introuvable")</f>
        <v/>
      </c>
      <c r="C202" s="30" t="inlineStr">
        <is>
          <t>assaisonnement</t>
        </is>
      </c>
    </row>
    <row r="203">
      <c r="A203" s="30" t="inlineStr">
        <is>
          <t>arome_maggy</t>
        </is>
      </c>
      <c r="B203" s="26">
        <f>IFERROR(INDEX(Mots!$B:$B,MATCH($A203,Mots!$A:$A,0)),"introuvable")</f>
        <v/>
      </c>
      <c r="C203" s="30" t="inlineStr">
        <is>
          <t>assaisonnement</t>
        </is>
      </c>
    </row>
    <row r="204">
      <c r="A204" s="30" t="inlineStr">
        <is>
          <t>curry</t>
        </is>
      </c>
      <c r="B204" s="26">
        <f>IFERROR(INDEX(Mots!$B:$B,MATCH($A204,Mots!$A:$A,0)),"introuvable")</f>
        <v/>
      </c>
      <c r="C204" s="30" t="inlineStr">
        <is>
          <t>assaisonnement</t>
        </is>
      </c>
    </row>
    <row r="205">
      <c r="A205" s="30" t="inlineStr">
        <is>
          <t>assurance_invalidité</t>
        </is>
      </c>
      <c r="B205" s="26">
        <f>IFERROR(INDEX(Mots!$B:$B,MATCH($A205,Mots!$A:$A,0)),"introuvable")</f>
        <v/>
      </c>
      <c r="C205" s="30" t="inlineStr">
        <is>
          <t>assurances_banques</t>
        </is>
      </c>
    </row>
    <row r="206">
      <c r="A206" s="30" t="inlineStr">
        <is>
          <t>caisse_retraite</t>
        </is>
      </c>
      <c r="B206" s="26">
        <f>IFERROR(INDEX(Mots!$B:$B,MATCH($A206,Mots!$A:$A,0)),"introuvable")</f>
        <v/>
      </c>
      <c r="C206" s="30" t="inlineStr">
        <is>
          <t>assurances_banques</t>
        </is>
      </c>
    </row>
    <row r="207">
      <c r="A207" s="30" t="inlineStr">
        <is>
          <t>assurance_maladie</t>
        </is>
      </c>
      <c r="B207" s="26">
        <f>IFERROR(INDEX(Mots!$B:$B,MATCH($A207,Mots!$A:$A,0)),"introuvable")</f>
        <v/>
      </c>
      <c r="C207" s="30" t="inlineStr">
        <is>
          <t>assurances_banques</t>
        </is>
      </c>
    </row>
    <row r="208">
      <c r="A208" s="30" t="inlineStr">
        <is>
          <t>banque_migros</t>
        </is>
      </c>
      <c r="B208" s="26">
        <f>IFERROR(INDEX(Mots!$B:$B,MATCH($A208,Mots!$A:$A,0)),"introuvable")</f>
        <v/>
      </c>
      <c r="C208" s="30" t="inlineStr">
        <is>
          <t>assurances_banques</t>
        </is>
      </c>
    </row>
    <row r="209">
      <c r="A209" s="30" t="inlineStr">
        <is>
          <t>banque_raiffeisen</t>
        </is>
      </c>
      <c r="B209" s="26">
        <f>IFERROR(INDEX(Mots!$B:$B,MATCH($A209,Mots!$A:$A,0)),"introuvable")</f>
        <v/>
      </c>
      <c r="C209" s="30" t="inlineStr">
        <is>
          <t>assurances_banques</t>
        </is>
      </c>
    </row>
    <row r="210">
      <c r="A210" s="30" t="inlineStr">
        <is>
          <t>assurance_mobilière</t>
        </is>
      </c>
      <c r="B210" s="26">
        <f>IFERROR(INDEX(Mots!$B:$B,MATCH($A210,Mots!$A:$A,0)),"introuvable")</f>
        <v/>
      </c>
      <c r="C210" s="30" t="inlineStr">
        <is>
          <t>assurances_banques</t>
        </is>
      </c>
    </row>
    <row r="211">
      <c r="A211" s="30" t="inlineStr">
        <is>
          <t>assurance_Helvetia</t>
        </is>
      </c>
      <c r="B211" s="26">
        <f>IFERROR(INDEX(Mots!$B:$B,MATCH($A211,Mots!$A:$A,0)),"introuvable")</f>
        <v/>
      </c>
      <c r="C211" s="30" t="inlineStr">
        <is>
          <t>assurances_banques</t>
        </is>
      </c>
    </row>
    <row r="212">
      <c r="A212" s="30" t="inlineStr">
        <is>
          <t>carte_débit</t>
        </is>
      </c>
      <c r="B212" s="26">
        <f>IFERROR(INDEX(Mots!$B:$B,MATCH($A212,Mots!$A:$A,0)),"introuvable")</f>
        <v/>
      </c>
      <c r="C212" s="30" t="inlineStr">
        <is>
          <t>assurances_banques</t>
        </is>
      </c>
    </row>
    <row r="213">
      <c r="A213" s="30" t="inlineStr">
        <is>
          <t>pret_hypothecaire</t>
        </is>
      </c>
      <c r="B213" s="26">
        <f>IFERROR(INDEX(Mots!$B:$B,MATCH($A213,Mots!$A:$A,0)),"introuvable")</f>
        <v/>
      </c>
      <c r="C213" s="30" t="inlineStr">
        <is>
          <t>assurances_banques</t>
        </is>
      </c>
    </row>
    <row r="214">
      <c r="A214" s="30" t="inlineStr">
        <is>
          <t>billet_banque</t>
        </is>
      </c>
      <c r="B214" s="26">
        <f>IFERROR(INDEX(Mots!$B:$B,MATCH($A214,Mots!$A:$A,0)),"introuvable")</f>
        <v/>
      </c>
      <c r="C214" s="30" t="inlineStr">
        <is>
          <t>assurances_banques</t>
        </is>
      </c>
    </row>
    <row r="215">
      <c r="A215" s="30" t="inlineStr">
        <is>
          <t>piece_monnaie</t>
        </is>
      </c>
      <c r="B215" s="26">
        <f>IFERROR(INDEX(Mots!$B:$B,MATCH($A215,Mots!$A:$A,0)),"introuvable")</f>
        <v/>
      </c>
      <c r="C215" s="30" t="inlineStr">
        <is>
          <t>assurances_banques</t>
        </is>
      </c>
    </row>
    <row r="216">
      <c r="A216" s="30" t="inlineStr">
        <is>
          <t>code_nip</t>
        </is>
      </c>
      <c r="B216" s="26">
        <f>IFERROR(INDEX(Mots!$B:$B,MATCH($A216,Mots!$A:$A,0)),"introuvable")</f>
        <v/>
      </c>
      <c r="C216" s="30" t="inlineStr">
        <is>
          <t>assurances_banques</t>
        </is>
      </c>
    </row>
    <row r="217">
      <c r="A217" s="30" t="inlineStr">
        <is>
          <t>compte</t>
        </is>
      </c>
      <c r="B217" s="26">
        <f>IFERROR(INDEX(Mots!$B:$B,MATCH($A217,Mots!$A:$A,0)),"introuvable")</f>
        <v/>
      </c>
      <c r="C217" s="30" t="inlineStr">
        <is>
          <t>assurances_banques</t>
        </is>
      </c>
    </row>
    <row r="218">
      <c r="A218" s="30" t="inlineStr">
        <is>
          <t>guichet</t>
        </is>
      </c>
      <c r="B218" s="26">
        <f>IFERROR(INDEX(Mots!$B:$B,MATCH($A218,Mots!$A:$A,0)),"introuvable")</f>
        <v/>
      </c>
      <c r="C218" s="30" t="inlineStr">
        <is>
          <t>assurances_banques</t>
        </is>
      </c>
    </row>
    <row r="219">
      <c r="A219" s="30" t="inlineStr">
        <is>
          <t>retrait</t>
        </is>
      </c>
      <c r="B219" s="26">
        <f>IFERROR(INDEX(Mots!$B:$B,MATCH($A219,Mots!$A:$A,0)),"introuvable")</f>
        <v/>
      </c>
      <c r="C219" s="30" t="inlineStr">
        <is>
          <t>assurances_banques</t>
        </is>
      </c>
    </row>
    <row r="220">
      <c r="A220" s="30" t="inlineStr">
        <is>
          <t>solde</t>
        </is>
      </c>
      <c r="B220" s="26">
        <f>IFERROR(INDEX(Mots!$B:$B,MATCH($A220,Mots!$A:$A,0)),"introuvable")</f>
        <v/>
      </c>
      <c r="C220" s="30" t="inlineStr">
        <is>
          <t>assurances_banques</t>
        </is>
      </c>
    </row>
    <row r="221">
      <c r="A221" s="30" t="inlineStr">
        <is>
          <t>virement</t>
        </is>
      </c>
      <c r="B221" s="26">
        <f>IFERROR(INDEX(Mots!$B:$B,MATCH($A221,Mots!$A:$A,0)),"introuvable")</f>
        <v/>
      </c>
      <c r="C221" s="30" t="inlineStr">
        <is>
          <t>assurances_banques</t>
        </is>
      </c>
    </row>
    <row r="222">
      <c r="A222" s="30" t="inlineStr">
        <is>
          <t>admin_conthey</t>
        </is>
      </c>
      <c r="B222" s="26">
        <f>IFERROR(INDEX(Mots!$B:$B,MATCH($A222,Mots!$A:$A,0)),"introuvable")</f>
        <v/>
      </c>
      <c r="C222" s="30" t="inlineStr">
        <is>
          <t>batiments</t>
        </is>
      </c>
    </row>
    <row r="223">
      <c r="A223" s="30" t="inlineStr">
        <is>
          <t>ecole_erde</t>
        </is>
      </c>
      <c r="B223" s="26">
        <f>IFERROR(INDEX(Mots!$B:$B,MATCH($A223,Mots!$A:$A,0)),"introuvable")</f>
        <v/>
      </c>
      <c r="C223" s="30" t="inlineStr">
        <is>
          <t>batiments</t>
        </is>
      </c>
    </row>
    <row r="224">
      <c r="A224" s="30" t="inlineStr">
        <is>
          <t>eglise</t>
        </is>
      </c>
      <c r="B224" s="26">
        <f>IFERROR(INDEX(Mots!$B:$B,MATCH($A224,Mots!$A:$A,0)),"introuvable")</f>
        <v/>
      </c>
      <c r="C224" s="30" t="inlineStr">
        <is>
          <t>batiments</t>
        </is>
      </c>
    </row>
    <row r="225">
      <c r="A225" s="30" t="inlineStr">
        <is>
          <t>migros</t>
        </is>
      </c>
      <c r="B225" s="26">
        <f>IFERROR(INDEX(Mots!$B:$B,MATCH($A225,Mots!$A:$A,0)),"introuvable")</f>
        <v/>
      </c>
      <c r="C225" s="30" t="inlineStr">
        <is>
          <t>batiments</t>
        </is>
      </c>
    </row>
    <row r="226">
      <c r="A226" s="30" t="inlineStr">
        <is>
          <t>station_service</t>
        </is>
      </c>
      <c r="B226" s="26">
        <f>IFERROR(INDEX(Mots!$B:$B,MATCH($A226,Mots!$A:$A,0)),"introuvable")</f>
        <v/>
      </c>
      <c r="C226" s="30" t="inlineStr">
        <is>
          <t>batiments</t>
        </is>
      </c>
    </row>
    <row r="227">
      <c r="A227" s="30" t="inlineStr">
        <is>
          <t>garage_nord</t>
        </is>
      </c>
      <c r="B227" s="26">
        <f>IFERROR(INDEX(Mots!$B:$B,MATCH($A227,Mots!$A:$A,0)),"introuvable")</f>
        <v/>
      </c>
      <c r="C227" s="30" t="inlineStr">
        <is>
          <t>batiments</t>
        </is>
      </c>
    </row>
    <row r="228">
      <c r="A228" s="30" t="inlineStr">
        <is>
          <t>halle_poly</t>
        </is>
      </c>
      <c r="B228" s="26">
        <f>IFERROR(INDEX(Mots!$B:$B,MATCH($A228,Mots!$A:$A,0)),"introuvable")</f>
        <v/>
      </c>
      <c r="C228" s="30" t="inlineStr">
        <is>
          <t>batiments</t>
        </is>
      </c>
    </row>
    <row r="229">
      <c r="A229" s="30" t="inlineStr">
        <is>
          <t>cafe_sapins</t>
        </is>
      </c>
      <c r="B229" s="26">
        <f>IFERROR(INDEX(Mots!$B:$B,MATCH($A229,Mots!$A:$A,0)),"introuvable")</f>
        <v/>
      </c>
      <c r="C229" s="30" t="inlineStr">
        <is>
          <t>batiments</t>
        </is>
      </c>
    </row>
    <row r="230">
      <c r="A230" s="30" t="inlineStr">
        <is>
          <t>cafe_rangs</t>
        </is>
      </c>
      <c r="B230" s="26">
        <f>IFERROR(INDEX(Mots!$B:$B,MATCH($A230,Mots!$A:$A,0)),"introuvable")</f>
        <v/>
      </c>
      <c r="C230" s="30" t="inlineStr">
        <is>
          <t>batiments</t>
        </is>
      </c>
    </row>
    <row r="231">
      <c r="A231" s="30" t="inlineStr">
        <is>
          <t>resto_sanetsch</t>
        </is>
      </c>
      <c r="B231" s="26">
        <f>IFERROR(INDEX(Mots!$B:$B,MATCH($A231,Mots!$A:$A,0)),"introuvable")</f>
        <v/>
      </c>
      <c r="C231" s="30" t="inlineStr">
        <is>
          <t>batiments</t>
        </is>
      </c>
    </row>
    <row r="232">
      <c r="A232" s="30" t="inlineStr">
        <is>
          <t>hopital_sion</t>
        </is>
      </c>
      <c r="B232" s="26">
        <f>IFERROR(INDEX(Mots!$B:$B,MATCH($A232,Mots!$A:$A,0)),"introuvable")</f>
        <v/>
      </c>
      <c r="C232" s="30" t="inlineStr">
        <is>
          <t>batiments</t>
        </is>
      </c>
    </row>
    <row r="233">
      <c r="A233" s="30" t="inlineStr">
        <is>
          <t>hopital_sierre</t>
        </is>
      </c>
      <c r="B233" s="26">
        <f>IFERROR(INDEX(Mots!$B:$B,MATCH($A233,Mots!$A:$A,0)),"introuvable")</f>
        <v/>
      </c>
      <c r="C233" s="30" t="inlineStr">
        <is>
          <t>batiments</t>
        </is>
      </c>
    </row>
    <row r="234">
      <c r="A234" s="30" t="inlineStr">
        <is>
          <t>gare_sion</t>
        </is>
      </c>
      <c r="B234" s="26">
        <f>IFERROR(INDEX(Mots!$B:$B,MATCH($A234,Mots!$A:$A,0)),"introuvable")</f>
        <v/>
      </c>
      <c r="C234" s="30" t="inlineStr">
        <is>
          <t>batiments</t>
        </is>
      </c>
    </row>
    <row r="235">
      <c r="A235" s="30" t="inlineStr">
        <is>
          <t>gare_routiere_sion</t>
        </is>
      </c>
      <c r="B235" s="26">
        <f>IFERROR(INDEX(Mots!$B:$B,MATCH($A235,Mots!$A:$A,0)),"introuvable")</f>
        <v/>
      </c>
      <c r="C235" s="30" t="inlineStr">
        <is>
          <t>batiments</t>
        </is>
      </c>
    </row>
    <row r="236">
      <c r="A236" s="30" t="inlineStr">
        <is>
          <t>gare</t>
        </is>
      </c>
      <c r="B236" s="26">
        <f>IFERROR(INDEX(Mots!$B:$B,MATCH($A236,Mots!$A:$A,0)),"introuvable")</f>
        <v/>
      </c>
      <c r="C236" s="30" t="inlineStr">
        <is>
          <t>batiments</t>
        </is>
      </c>
    </row>
    <row r="237">
      <c r="A237" s="30" t="inlineStr">
        <is>
          <t>aeroport</t>
        </is>
      </c>
      <c r="B237" s="26">
        <f>IFERROR(INDEX(Mots!$B:$B,MATCH($A237,Mots!$A:$A,0)),"introuvable")</f>
        <v/>
      </c>
      <c r="C237" s="30" t="inlineStr">
        <is>
          <t>batiments</t>
        </is>
      </c>
    </row>
    <row r="238">
      <c r="A238" s="30" t="inlineStr">
        <is>
          <t>musee</t>
        </is>
      </c>
      <c r="B238" s="26">
        <f>IFERROR(INDEX(Mots!$B:$B,MATCH($A238,Mots!$A:$A,0)),"introuvable")</f>
        <v/>
      </c>
      <c r="C238" s="30" t="inlineStr">
        <is>
          <t>batiments</t>
        </is>
      </c>
    </row>
    <row r="239">
      <c r="A239" s="30" t="inlineStr">
        <is>
          <t>biere_limonade</t>
        </is>
      </c>
      <c r="B239" s="26">
        <f>IFERROR(INDEX(Mots!$B:$B,MATCH($A239,Mots!$A:$A,0)),"introuvable")</f>
        <v/>
      </c>
      <c r="C239" s="30" t="inlineStr">
        <is>
          <t>boissons_alcool</t>
        </is>
      </c>
    </row>
    <row r="240">
      <c r="A240" s="30" t="inlineStr">
        <is>
          <t>verre_de_vin_rouge</t>
        </is>
      </c>
      <c r="B240" s="26">
        <f>IFERROR(INDEX(Mots!$B:$B,MATCH($A240,Mots!$A:$A,0)),"introuvable")</f>
        <v/>
      </c>
      <c r="C240" s="30" t="inlineStr">
        <is>
          <t>boissons_alcool</t>
        </is>
      </c>
    </row>
    <row r="241">
      <c r="A241" s="30" t="inlineStr">
        <is>
          <t>verre_de_vin_blanc</t>
        </is>
      </c>
      <c r="B241" s="26">
        <f>IFERROR(INDEX(Mots!$B:$B,MATCH($A241,Mots!$A:$A,0)),"introuvable")</f>
        <v/>
      </c>
      <c r="C241" s="30" t="inlineStr">
        <is>
          <t>boissons_alcool</t>
        </is>
      </c>
    </row>
    <row r="242">
      <c r="A242" s="30" t="inlineStr">
        <is>
          <t>suze_henniez</t>
        </is>
      </c>
      <c r="B242" s="26">
        <f>IFERROR(INDEX(Mots!$B:$B,MATCH($A242,Mots!$A:$A,0)),"introuvable")</f>
        <v/>
      </c>
      <c r="C242" s="30" t="inlineStr">
        <is>
          <t>boissons_alcool</t>
        </is>
      </c>
    </row>
    <row r="243">
      <c r="A243" s="30" t="inlineStr">
        <is>
          <t>the</t>
        </is>
      </c>
      <c r="B243" s="26">
        <f>IFERROR(INDEX(Mots!$B:$B,MATCH($A243,Mots!$A:$A,0)),"introuvable")</f>
        <v/>
      </c>
      <c r="C243" s="30" t="inlineStr">
        <is>
          <t>boissons_chaudes</t>
        </is>
      </c>
    </row>
    <row r="244">
      <c r="A244" s="30" t="inlineStr">
        <is>
          <t>eau_minerale</t>
        </is>
      </c>
      <c r="B244" s="26">
        <f>IFERROR(INDEX(Mots!$B:$B,MATCH($A244,Mots!$A:$A,0)),"introuvable")</f>
        <v/>
      </c>
      <c r="C244" s="30" t="inlineStr">
        <is>
          <t>boissons_froides</t>
        </is>
      </c>
    </row>
    <row r="245">
      <c r="A245" s="30" t="inlineStr">
        <is>
          <t>henniez_cassis</t>
        </is>
      </c>
      <c r="B245" s="26">
        <f>IFERROR(INDEX(Mots!$B:$B,MATCH($A245,Mots!$A:$A,0)),"introuvable")</f>
        <v/>
      </c>
      <c r="C245" s="30" t="inlineStr">
        <is>
          <t>boissons_froides</t>
        </is>
      </c>
    </row>
    <row r="246">
      <c r="A246" s="30" t="inlineStr">
        <is>
          <t>coca_cola</t>
        </is>
      </c>
      <c r="B246" s="26">
        <f>IFERROR(INDEX(Mots!$B:$B,MATCH($A246,Mots!$A:$A,0)),"introuvable")</f>
        <v/>
      </c>
      <c r="C246" s="30" t="inlineStr">
        <is>
          <t>boissons_froides</t>
        </is>
      </c>
    </row>
    <row r="247">
      <c r="A247" s="30" t="inlineStr">
        <is>
          <t>grapefruit</t>
        </is>
      </c>
      <c r="B247" s="26">
        <f>IFERROR(INDEX(Mots!$B:$B,MATCH($A247,Mots!$A:$A,0)),"introuvable")</f>
        <v/>
      </c>
      <c r="C247" s="30" t="inlineStr">
        <is>
          <t>boissons_froides</t>
        </is>
      </c>
    </row>
    <row r="248">
      <c r="A248" s="30" t="inlineStr">
        <is>
          <t>jus_de_pomme</t>
        </is>
      </c>
      <c r="B248" s="26">
        <f>IFERROR(INDEX(Mots!$B:$B,MATCH($A248,Mots!$A:$A,0)),"introuvable")</f>
        <v/>
      </c>
      <c r="C248" s="30" t="inlineStr">
        <is>
          <t>boissons_froides</t>
        </is>
      </c>
    </row>
    <row r="249">
      <c r="A249" s="30" t="inlineStr">
        <is>
          <t>jus_dorange</t>
        </is>
      </c>
      <c r="B249" s="26">
        <f>IFERROR(INDEX(Mots!$B:$B,MATCH($A249,Mots!$A:$A,0)),"introuvable")</f>
        <v/>
      </c>
      <c r="C249" s="30" t="inlineStr">
        <is>
          <t>boissons_froides</t>
        </is>
      </c>
    </row>
    <row r="250">
      <c r="A250" s="30" t="inlineStr">
        <is>
          <t>sprite</t>
        </is>
      </c>
      <c r="B250" s="26">
        <f>IFERROR(INDEX(Mots!$B:$B,MATCH($A250,Mots!$A:$A,0)),"introuvable")</f>
        <v/>
      </c>
      <c r="C250" s="30" t="inlineStr">
        <is>
          <t>boissons_froides</t>
        </is>
      </c>
    </row>
    <row r="251">
      <c r="A251" s="30" t="inlineStr">
        <is>
          <t>sirop</t>
        </is>
      </c>
      <c r="B251" s="26">
        <f>IFERROR(INDEX(Mots!$B:$B,MATCH($A251,Mots!$A:$A,0)),"introuvable")</f>
        <v/>
      </c>
      <c r="C251" s="30" t="inlineStr">
        <is>
          <t>boissons_froides</t>
        </is>
      </c>
    </row>
    <row r="252">
      <c r="A252" s="30" t="inlineStr">
        <is>
          <t>baskets</t>
        </is>
      </c>
      <c r="B252" s="26">
        <f>IFERROR(INDEX(Mots!$B:$B,MATCH($A252,Mots!$A:$A,0)),"introuvable")</f>
        <v/>
      </c>
      <c r="C252" s="30" t="inlineStr">
        <is>
          <t>chaussures</t>
        </is>
      </c>
    </row>
    <row r="253">
      <c r="A253" s="30" t="inlineStr">
        <is>
          <t>souliers</t>
        </is>
      </c>
      <c r="B253" s="26">
        <f>IFERROR(INDEX(Mots!$B:$B,MATCH($A253,Mots!$A:$A,0)),"introuvable")</f>
        <v/>
      </c>
      <c r="C253" s="30" t="inlineStr">
        <is>
          <t>chaussures</t>
        </is>
      </c>
    </row>
    <row r="254">
      <c r="A254" s="30" t="inlineStr">
        <is>
          <t>bottillons</t>
        </is>
      </c>
      <c r="B254" s="26">
        <f>IFERROR(INDEX(Mots!$B:$B,MATCH($A254,Mots!$A:$A,0)),"introuvable")</f>
        <v/>
      </c>
      <c r="C254" s="30" t="inlineStr">
        <is>
          <t>chaussures</t>
        </is>
      </c>
    </row>
    <row r="255">
      <c r="A255" s="30" t="inlineStr">
        <is>
          <t>viande</t>
        </is>
      </c>
      <c r="B255" s="26">
        <f>IFERROR(INDEX(Mots!$B:$B,MATCH($A255,Mots!$A:$A,0)),"introuvable")</f>
        <v/>
      </c>
      <c r="C255" s="30" t="inlineStr">
        <is>
          <t>denrees_base</t>
        </is>
      </c>
    </row>
    <row r="256">
      <c r="A256" s="30" t="inlineStr">
        <is>
          <t>lait</t>
        </is>
      </c>
      <c r="B256" s="26">
        <f>IFERROR(INDEX(Mots!$B:$B,MATCH($A256,Mots!$A:$A,0)),"introuvable")</f>
        <v/>
      </c>
      <c r="C256" s="30" t="inlineStr">
        <is>
          <t>denrees_base</t>
        </is>
      </c>
    </row>
    <row r="257">
      <c r="A257" s="30" t="inlineStr">
        <is>
          <t>huile</t>
        </is>
      </c>
      <c r="B257" s="26">
        <f>IFERROR(INDEX(Mots!$B:$B,MATCH($A257,Mots!$A:$A,0)),"introuvable")</f>
        <v/>
      </c>
      <c r="C257" s="30" t="inlineStr">
        <is>
          <t>denrees_base</t>
        </is>
      </c>
    </row>
    <row r="258">
      <c r="A258" s="30" t="inlineStr">
        <is>
          <t>oeuf</t>
        </is>
      </c>
      <c r="B258" s="26">
        <f>IFERROR(INDEX(Mots!$B:$B,MATCH($A258,Mots!$A:$A,0)),"introuvable")</f>
        <v/>
      </c>
      <c r="C258" s="30" t="inlineStr">
        <is>
          <t>denrees_base</t>
        </is>
      </c>
    </row>
    <row r="259">
      <c r="A259" s="30" t="inlineStr">
        <is>
          <t>gateau</t>
        </is>
      </c>
      <c r="B259" s="26">
        <f>IFERROR(INDEX(Mots!$B:$B,MATCH($A259,Mots!$A:$A,0)),"introuvable")</f>
        <v/>
      </c>
      <c r="C259" s="30" t="inlineStr">
        <is>
          <t>plats_cuisinés</t>
        </is>
      </c>
    </row>
    <row r="260">
      <c r="A260" s="30" t="inlineStr">
        <is>
          <t>foret</t>
        </is>
      </c>
      <c r="B260" s="26">
        <f>IFERROR(INDEX(Mots!$B:$B,MATCH($A260,Mots!$A:$A,0)),"introuvable")</f>
        <v/>
      </c>
      <c r="C260" s="30" t="inlineStr">
        <is>
          <t>reliefs</t>
        </is>
      </c>
    </row>
    <row r="261">
      <c r="A261" s="30" t="inlineStr">
        <is>
          <t>mer</t>
        </is>
      </c>
      <c r="B261" s="26">
        <f>IFERROR(INDEX(Mots!$B:$B,MATCH($A261,Mots!$A:$A,0)),"introuvable")</f>
        <v/>
      </c>
      <c r="C261" s="30" t="inlineStr">
        <is>
          <t>reliefs</t>
        </is>
      </c>
    </row>
    <row r="262">
      <c r="A262" s="30" t="inlineStr">
        <is>
          <t>montagne</t>
        </is>
      </c>
      <c r="B262" s="26">
        <f>IFERROR(INDEX(Mots!$B:$B,MATCH($A262,Mots!$A:$A,0)),"introuvable")</f>
        <v/>
      </c>
      <c r="C262" s="30" t="inlineStr">
        <is>
          <t>reliefs</t>
        </is>
      </c>
    </row>
    <row r="263">
      <c r="A263" s="30" t="inlineStr">
        <is>
          <t>riviere</t>
        </is>
      </c>
      <c r="B263" s="26">
        <f>IFERROR(INDEX(Mots!$B:$B,MATCH($A263,Mots!$A:$A,0)),"introuvable")</f>
        <v/>
      </c>
      <c r="C263" s="30" t="inlineStr">
        <is>
          <t>reliefs</t>
        </is>
      </c>
    </row>
    <row r="264">
      <c r="A264" s="30" t="inlineStr">
        <is>
          <t>rocher</t>
        </is>
      </c>
      <c r="B264" s="26">
        <f>IFERROR(INDEX(Mots!$B:$B,MATCH($A264,Mots!$A:$A,0)),"introuvable")</f>
        <v/>
      </c>
      <c r="C264" s="30" t="inlineStr">
        <is>
          <t>reliefs</t>
        </is>
      </c>
    </row>
    <row r="265">
      <c r="A265" s="30" t="inlineStr">
        <is>
          <t>p_lune</t>
        </is>
      </c>
      <c r="B265" s="26">
        <f>IFERROR(INDEX(Mots!$B:$B,MATCH($A265,Mots!$A:$A,0)),"introuvable")</f>
        <v/>
      </c>
      <c r="C265" s="30" t="inlineStr">
        <is>
          <t>elements</t>
        </is>
      </c>
    </row>
    <row r="266">
      <c r="A266" s="30" t="inlineStr">
        <is>
          <t>e_terre</t>
        </is>
      </c>
      <c r="B266" s="26">
        <f>IFERROR(INDEX(Mots!$B:$B,MATCH($A266,Mots!$A:$A,0)),"introuvable")</f>
        <v/>
      </c>
      <c r="C266" s="30" t="inlineStr">
        <is>
          <t>elements</t>
        </is>
      </c>
    </row>
    <row r="267">
      <c r="A267" s="30" t="inlineStr">
        <is>
          <t>ciel</t>
        </is>
      </c>
      <c r="B267" s="26">
        <f>IFERROR(INDEX(Mots!$B:$B,MATCH($A267,Mots!$A:$A,0)),"introuvable")</f>
        <v/>
      </c>
      <c r="C267" s="30" t="inlineStr">
        <is>
          <t>elements</t>
        </is>
      </c>
    </row>
    <row r="268">
      <c r="A268" s="30" t="inlineStr">
        <is>
          <t>feu</t>
        </is>
      </c>
      <c r="B268" s="26">
        <f>IFERROR(INDEX(Mots!$B:$B,MATCH($A268,Mots!$A:$A,0)),"introuvable")</f>
        <v/>
      </c>
      <c r="C268" s="30" t="inlineStr">
        <is>
          <t>elements</t>
        </is>
      </c>
    </row>
    <row r="269">
      <c r="A269" s="30" t="inlineStr">
        <is>
          <t>soleil</t>
        </is>
      </c>
      <c r="B269" s="26">
        <f>IFERROR(INDEX(Mots!$B:$B,MATCH($A269,Mots!$A:$A,0)),"introuvable")</f>
        <v/>
      </c>
      <c r="C269" s="30" t="inlineStr">
        <is>
          <t>elements</t>
        </is>
      </c>
    </row>
    <row r="270">
      <c r="A270" s="30" t="inlineStr">
        <is>
          <t>eau</t>
        </is>
      </c>
      <c r="B270" s="26">
        <f>IFERROR(INDEX(Mots!$B:$B,MATCH($A270,Mots!$A:$A,0)),"introuvable")</f>
        <v/>
      </c>
      <c r="C270" s="30" t="inlineStr">
        <is>
          <t>elements</t>
        </is>
      </c>
    </row>
    <row r="271">
      <c r="A271" s="30" t="inlineStr">
        <is>
          <t>incendie</t>
        </is>
      </c>
      <c r="B271" s="26">
        <f>IFERROR(INDEX(Mots!$B:$B,MATCH($A271,Mots!$A:$A,0)),"introuvable")</f>
        <v/>
      </c>
      <c r="C271" s="30" t="inlineStr">
        <is>
          <t>elements</t>
        </is>
      </c>
    </row>
    <row r="272">
      <c r="A272" s="30" t="inlineStr">
        <is>
          <t>colere</t>
        </is>
      </c>
      <c r="B272" s="26">
        <f>IFERROR(INDEX(Mots!$B:$B,MATCH($A272,Mots!$A:$A,0)),"introuvable")</f>
        <v/>
      </c>
      <c r="C272" s="30" t="inlineStr">
        <is>
          <t>negatives</t>
        </is>
      </c>
    </row>
    <row r="273">
      <c r="A273" s="30" t="inlineStr">
        <is>
          <t>peur</t>
        </is>
      </c>
      <c r="B273" s="26">
        <f>IFERROR(INDEX(Mots!$B:$B,MATCH($A273,Mots!$A:$A,0)),"introuvable")</f>
        <v/>
      </c>
      <c r="C273" s="30" t="inlineStr">
        <is>
          <t>negatives</t>
        </is>
      </c>
    </row>
    <row r="274">
      <c r="A274" s="30" t="inlineStr">
        <is>
          <t>solitude</t>
        </is>
      </c>
      <c r="B274" s="26">
        <f>IFERROR(INDEX(Mots!$B:$B,MATCH($A274,Mots!$A:$A,0)),"introuvable")</f>
        <v/>
      </c>
      <c r="C274" s="30" t="inlineStr">
        <is>
          <t>negatives</t>
        </is>
      </c>
    </row>
    <row r="275">
      <c r="A275" s="30" t="inlineStr">
        <is>
          <t>tristesse</t>
        </is>
      </c>
      <c r="B275" s="26">
        <f>IFERROR(INDEX(Mots!$B:$B,MATCH($A275,Mots!$A:$A,0)),"introuvable")</f>
        <v/>
      </c>
      <c r="C275" s="30" t="inlineStr">
        <is>
          <t>negatives</t>
        </is>
      </c>
    </row>
    <row r="276">
      <c r="A276" s="30" t="inlineStr">
        <is>
          <t>confiance</t>
        </is>
      </c>
      <c r="B276" s="26">
        <f>IFERROR(INDEX(Mots!$B:$B,MATCH($A276,Mots!$A:$A,0)),"introuvable")</f>
        <v/>
      </c>
      <c r="C276" s="30" t="inlineStr">
        <is>
          <t>positives</t>
        </is>
      </c>
    </row>
    <row r="277">
      <c r="A277" s="30" t="inlineStr">
        <is>
          <t>fierte</t>
        </is>
      </c>
      <c r="B277" s="26">
        <f>IFERROR(INDEX(Mots!$B:$B,MATCH($A277,Mots!$A:$A,0)),"introuvable")</f>
        <v/>
      </c>
      <c r="C277" s="30" t="inlineStr">
        <is>
          <t>positives</t>
        </is>
      </c>
    </row>
    <row r="278">
      <c r="A278" s="30" t="inlineStr">
        <is>
          <t>gratitude</t>
        </is>
      </c>
      <c r="B278" s="26">
        <f>IFERROR(INDEX(Mots!$B:$B,MATCH($A278,Mots!$A:$A,0)),"introuvable")</f>
        <v/>
      </c>
      <c r="C278" s="30" t="inlineStr">
        <is>
          <t>positives</t>
        </is>
      </c>
    </row>
    <row r="279">
      <c r="A279" s="30" t="inlineStr">
        <is>
          <t>joie</t>
        </is>
      </c>
      <c r="B279" s="26">
        <f>IFERROR(INDEX(Mots!$B:$B,MATCH($A279,Mots!$A:$A,0)),"introuvable")</f>
        <v/>
      </c>
      <c r="C279" s="30" t="inlineStr">
        <is>
          <t>positives</t>
        </is>
      </c>
    </row>
    <row r="280">
      <c r="A280" s="30" t="inlineStr">
        <is>
          <t>surprise</t>
        </is>
      </c>
      <c r="B280" s="26">
        <f>IFERROR(INDEX(Mots!$B:$B,MATCH($A280,Mots!$A:$A,0)),"introuvable")</f>
        <v/>
      </c>
      <c r="C280" s="30" t="inlineStr">
        <is>
          <t>positives</t>
        </is>
      </c>
    </row>
    <row r="281">
      <c r="A281" s="30" t="inlineStr">
        <is>
          <t>amour</t>
        </is>
      </c>
      <c r="B281" s="26">
        <f>IFERROR(INDEX(Mots!$B:$B,MATCH($A281,Mots!$A:$A,0)),"introuvable")</f>
        <v/>
      </c>
      <c r="C281" s="30" t="inlineStr">
        <is>
          <t>positives</t>
        </is>
      </c>
    </row>
    <row r="282">
      <c r="A282" s="30" t="inlineStr">
        <is>
          <t>bonheur</t>
        </is>
      </c>
      <c r="B282" s="26">
        <f>IFERROR(INDEX(Mots!$B:$B,MATCH($A282,Mots!$A:$A,0)),"introuvable")</f>
        <v/>
      </c>
      <c r="C282" s="30" t="inlineStr">
        <is>
          <t>positives</t>
        </is>
      </c>
    </row>
    <row r="283">
      <c r="A283" s="30" t="inlineStr">
        <is>
          <t>courage</t>
        </is>
      </c>
      <c r="B283" s="26">
        <f>IFERROR(INDEX(Mots!$B:$B,MATCH($A283,Mots!$A:$A,0)),"introuvable")</f>
        <v/>
      </c>
      <c r="C283" s="30" t="inlineStr">
        <is>
          <t>positives</t>
        </is>
      </c>
    </row>
    <row r="284">
      <c r="A284" s="30" t="inlineStr">
        <is>
          <t>reve</t>
        </is>
      </c>
      <c r="B284" s="26">
        <f>IFERROR(INDEX(Mots!$B:$B,MATCH($A284,Mots!$A:$A,0)),"introuvable")</f>
        <v/>
      </c>
      <c r="C284" s="30" t="inlineStr">
        <is>
          <t>positives</t>
        </is>
      </c>
    </row>
    <row r="285">
      <c r="A285" s="30" t="inlineStr">
        <is>
          <t>espoir</t>
        </is>
      </c>
      <c r="B285" s="26">
        <f>IFERROR(INDEX(Mots!$B:$B,MATCH($A285,Mots!$A:$A,0)),"introuvable")</f>
        <v/>
      </c>
      <c r="C285" s="30" t="inlineStr">
        <is>
          <t>positives</t>
        </is>
      </c>
    </row>
    <row r="286">
      <c r="A286" s="30" t="inlineStr">
        <is>
          <t>auberge_godet</t>
        </is>
      </c>
      <c r="B286" s="26">
        <f>IFERROR(INDEX(Mots!$B:$B,MATCH($A286,Mots!$A:$A,0)),"introuvable")</f>
        <v/>
      </c>
      <c r="C286" s="30" t="inlineStr">
        <is>
          <t>destinations</t>
        </is>
      </c>
    </row>
    <row r="287">
      <c r="A287" s="30" t="inlineStr">
        <is>
          <t>refuge_lac_derborence</t>
        </is>
      </c>
      <c r="B287" s="26">
        <f>IFERROR(INDEX(Mots!$B:$B,MATCH($A287,Mots!$A:$A,0)),"introuvable")</f>
        <v/>
      </c>
      <c r="C287" s="30" t="inlineStr">
        <is>
          <t>destinations</t>
        </is>
      </c>
    </row>
    <row r="288">
      <c r="A288" s="30" t="inlineStr">
        <is>
          <t>lac_derborence</t>
        </is>
      </c>
      <c r="B288" s="26">
        <f>IFERROR(INDEX(Mots!$B:$B,MATCH($A288,Mots!$A:$A,0)),"introuvable")</f>
        <v/>
      </c>
      <c r="C288" s="30" t="inlineStr">
        <is>
          <t>destinations</t>
        </is>
      </c>
    </row>
    <row r="289">
      <c r="A289" s="30" t="inlineStr">
        <is>
          <t>buvette_dorbon.webp</t>
        </is>
      </c>
      <c r="B289" s="26">
        <f>IFERROR(INDEX(Mots!$B:$B,MATCH($A289,Mots!$A:$A,0)),"introuvable")</f>
        <v/>
      </c>
      <c r="C289" s="30" t="inlineStr">
        <is>
          <t>destinations</t>
        </is>
      </c>
    </row>
    <row r="290">
      <c r="A290" s="30" t="inlineStr">
        <is>
          <t>alpage_airoz</t>
        </is>
      </c>
      <c r="B290" s="26">
        <f>IFERROR(INDEX(Mots!$B:$B,MATCH($A290,Mots!$A:$A,0)),"introuvable")</f>
        <v/>
      </c>
      <c r="C290" s="30" t="inlineStr">
        <is>
          <t>destinations</t>
        </is>
      </c>
    </row>
    <row r="291">
      <c r="A291" s="30" t="inlineStr">
        <is>
          <t>aplage_flore</t>
        </is>
      </c>
      <c r="B291" s="26">
        <f>IFERROR(INDEX(Mots!$B:$B,MATCH($A291,Mots!$A:$A,0)),"introuvable")</f>
        <v/>
      </c>
      <c r="C291" s="30" t="inlineStr">
        <is>
          <t>destinations</t>
        </is>
      </c>
    </row>
    <row r="292">
      <c r="A292" s="30" t="inlineStr">
        <is>
          <t>lac_trente_pas</t>
        </is>
      </c>
      <c r="B292" s="26">
        <f>IFERROR(INDEX(Mots!$B:$B,MATCH($A292,Mots!$A:$A,0)),"introuvable")</f>
        <v/>
      </c>
      <c r="C292" s="30" t="inlineStr">
        <is>
          <t>destinations</t>
        </is>
      </c>
    </row>
    <row r="293">
      <c r="A293" s="30" t="inlineStr">
        <is>
          <t>croix_de_la_chia</t>
        </is>
      </c>
      <c r="B293" s="26">
        <f>IFERROR(INDEX(Mots!$B:$B,MATCH($A293,Mots!$A:$A,0)),"introuvable")</f>
        <v/>
      </c>
      <c r="C293" s="30" t="inlineStr">
        <is>
          <t>destinations</t>
        </is>
      </c>
    </row>
    <row r="294">
      <c r="A294" s="30" t="inlineStr">
        <is>
          <t>gite_lodze</t>
        </is>
      </c>
      <c r="B294" s="26">
        <f>IFERROR(INDEX(Mots!$B:$B,MATCH($A294,Mots!$A:$A,0)),"introuvable")</f>
        <v/>
      </c>
      <c r="C294" s="30" t="inlineStr">
        <is>
          <t>destinations</t>
        </is>
      </c>
    </row>
    <row r="295">
      <c r="A295" s="30" t="inlineStr">
        <is>
          <t>grand_zour</t>
        </is>
      </c>
      <c r="B295" s="26">
        <f>IFERROR(INDEX(Mots!$B:$B,MATCH($A295,Mots!$A:$A,0)),"introuvable")</f>
        <v/>
      </c>
      <c r="C295" s="30" t="inlineStr">
        <is>
          <t>destinations</t>
        </is>
      </c>
    </row>
    <row r="296">
      <c r="A296" s="30" t="inlineStr">
        <is>
          <t>prarochet</t>
        </is>
      </c>
      <c r="B296" s="26">
        <f>IFERROR(INDEX(Mots!$B:$B,MATCH($A296,Mots!$A:$A,0)),"introuvable")</f>
        <v/>
      </c>
      <c r="C296" s="30" t="inlineStr">
        <is>
          <t>destinations</t>
        </is>
      </c>
    </row>
    <row r="297">
      <c r="A297" s="30" t="inlineStr">
        <is>
          <t>barage_grande_dixence</t>
        </is>
      </c>
      <c r="B297" s="26">
        <f>IFERROR(INDEX(Mots!$B:$B,MATCH($A297,Mots!$A:$A,0)),"introuvable")</f>
        <v/>
      </c>
      <c r="C297" s="30" t="inlineStr">
        <is>
          <t>destinations</t>
        </is>
      </c>
    </row>
    <row r="298">
      <c r="A298" s="30" t="inlineStr">
        <is>
          <t>argent</t>
        </is>
      </c>
      <c r="B298" s="26">
        <f>IFERROR(INDEX(Mots!$B:$B,MATCH($A298,Mots!$A:$A,0)),"introuvable")</f>
        <v/>
      </c>
      <c r="C298" s="30" t="inlineStr">
        <is>
          <t>finances</t>
        </is>
      </c>
    </row>
    <row r="299">
      <c r="A299" s="30" t="inlineStr">
        <is>
          <t>salaire</t>
        </is>
      </c>
      <c r="B299" s="26">
        <f>IFERROR(INDEX(Mots!$B:$B,MATCH($A299,Mots!$A:$A,0)),"introuvable")</f>
        <v/>
      </c>
      <c r="C299" s="30" t="inlineStr">
        <is>
          <t>finances</t>
        </is>
      </c>
    </row>
    <row r="300">
      <c r="A300" s="30" t="inlineStr">
        <is>
          <t>fruit</t>
        </is>
      </c>
      <c r="B300" s="26">
        <f>IFERROR(INDEX(Mots!$B:$B,MATCH($A300,Mots!$A:$A,0)),"introuvable")</f>
        <v/>
      </c>
      <c r="C300" s="30" t="inlineStr">
        <is>
          <t>fruits</t>
        </is>
      </c>
    </row>
    <row r="301">
      <c r="A301" s="30" t="inlineStr">
        <is>
          <t>pomme</t>
        </is>
      </c>
      <c r="B301" s="26">
        <f>IFERROR(INDEX(Mots!$B:$B,MATCH($A301,Mots!$A:$A,0)),"introuvable")</f>
        <v/>
      </c>
      <c r="C301" s="30" t="inlineStr">
        <is>
          <t>fruits</t>
        </is>
      </c>
    </row>
    <row r="302">
      <c r="A302" s="30" t="inlineStr">
        <is>
          <t>poire</t>
        </is>
      </c>
      <c r="B302" s="26">
        <f>IFERROR(INDEX(Mots!$B:$B,MATCH($A302,Mots!$A:$A,0)),"introuvable")</f>
        <v/>
      </c>
      <c r="C302" s="30" t="inlineStr">
        <is>
          <t>fruits</t>
        </is>
      </c>
    </row>
    <row r="303">
      <c r="A303" s="30" t="inlineStr">
        <is>
          <t>pruneau</t>
        </is>
      </c>
      <c r="B303" s="26">
        <f>IFERROR(INDEX(Mots!$B:$B,MATCH($A303,Mots!$A:$A,0)),"introuvable")</f>
        <v/>
      </c>
      <c r="C303" s="30" t="inlineStr">
        <is>
          <t>fruits</t>
        </is>
      </c>
    </row>
    <row r="304">
      <c r="A304" s="30" t="inlineStr">
        <is>
          <t>cerise</t>
        </is>
      </c>
      <c r="B304" s="26">
        <f>IFERROR(INDEX(Mots!$B:$B,MATCH($A304,Mots!$A:$A,0)),"introuvable")</f>
        <v/>
      </c>
      <c r="C304" s="30" t="inlineStr">
        <is>
          <t>fruits</t>
        </is>
      </c>
    </row>
    <row r="305">
      <c r="A305" s="30" t="inlineStr">
        <is>
          <t>abricot</t>
        </is>
      </c>
      <c r="B305" s="26">
        <f>IFERROR(INDEX(Mots!$B:$B,MATCH($A305,Mots!$A:$A,0)),"introuvable")</f>
        <v/>
      </c>
      <c r="C305" s="30" t="inlineStr">
        <is>
          <t>fruits</t>
        </is>
      </c>
    </row>
    <row r="306">
      <c r="A306" s="30" t="inlineStr">
        <is>
          <t>fraise</t>
        </is>
      </c>
      <c r="B306" s="26">
        <f>IFERROR(INDEX(Mots!$B:$B,MATCH($A306,Mots!$A:$A,0)),"introuvable")</f>
        <v/>
      </c>
      <c r="C306" s="30" t="inlineStr">
        <is>
          <t>fruits</t>
        </is>
      </c>
    </row>
    <row r="307">
      <c r="A307" s="30" t="inlineStr">
        <is>
          <t>framboise</t>
        </is>
      </c>
      <c r="B307" s="26">
        <f>IFERROR(INDEX(Mots!$B:$B,MATCH($A307,Mots!$A:$A,0)),"introuvable")</f>
        <v/>
      </c>
      <c r="C307" s="30" t="inlineStr">
        <is>
          <t>fruits</t>
        </is>
      </c>
    </row>
    <row r="308">
      <c r="A308" s="30" t="inlineStr">
        <is>
          <t>banane</t>
        </is>
      </c>
      <c r="B308" s="26">
        <f>IFERROR(INDEX(Mots!$B:$B,MATCH($A308,Mots!$A:$A,0)),"introuvable")</f>
        <v/>
      </c>
      <c r="C308" s="30" t="inlineStr">
        <is>
          <t>fruits</t>
        </is>
      </c>
    </row>
    <row r="309">
      <c r="A309" s="30" t="inlineStr">
        <is>
          <t>orange</t>
        </is>
      </c>
      <c r="B309" s="26">
        <f>IFERROR(INDEX(Mots!$B:$B,MATCH($A309,Mots!$A:$A,0)),"introuvable")</f>
        <v/>
      </c>
      <c r="C309" s="30" t="inlineStr">
        <is>
          <t>fruits</t>
        </is>
      </c>
    </row>
    <row r="310">
      <c r="A310" s="30" t="inlineStr">
        <is>
          <t>mandarine</t>
        </is>
      </c>
      <c r="B310" s="26">
        <f>IFERROR(INDEX(Mots!$B:$B,MATCH($A310,Mots!$A:$A,0)),"introuvable")</f>
        <v/>
      </c>
      <c r="C310" s="30" t="inlineStr">
        <is>
          <t>fruits</t>
        </is>
      </c>
    </row>
    <row r="311">
      <c r="A311" s="30" t="inlineStr">
        <is>
          <t>avocat</t>
        </is>
      </c>
      <c r="B311" s="26">
        <f>IFERROR(INDEX(Mots!$B:$B,MATCH($A311,Mots!$A:$A,0)),"introuvable")</f>
        <v/>
      </c>
      <c r="C311" s="30" t="inlineStr">
        <is>
          <t>fruits</t>
        </is>
      </c>
    </row>
    <row r="312">
      <c r="A312" s="30" t="inlineStr">
        <is>
          <t>noix</t>
        </is>
      </c>
      <c r="B312" s="26">
        <f>IFERROR(INDEX(Mots!$B:$B,MATCH($A312,Mots!$A:$A,0)),"introuvable")</f>
        <v/>
      </c>
      <c r="C312" s="30" t="inlineStr">
        <is>
          <t>fruits</t>
        </is>
      </c>
    </row>
    <row r="313">
      <c r="A313" s="30" t="inlineStr">
        <is>
          <t>peche</t>
        </is>
      </c>
      <c r="B313" s="26">
        <f>IFERROR(INDEX(Mots!$B:$B,MATCH($A313,Mots!$A:$A,0)),"introuvable")</f>
        <v/>
      </c>
      <c r="C313" s="30" t="inlineStr">
        <is>
          <t>fruits</t>
        </is>
      </c>
    </row>
    <row r="314">
      <c r="A314" s="30" t="inlineStr">
        <is>
          <t>raisin</t>
        </is>
      </c>
      <c r="B314" s="26">
        <f>IFERROR(INDEX(Mots!$B:$B,MATCH($A314,Mots!$A:$A,0)),"introuvable")</f>
        <v/>
      </c>
      <c r="C314" s="30" t="inlineStr">
        <is>
          <t>fruits</t>
        </is>
      </c>
    </row>
    <row r="315">
      <c r="A315" s="30" t="inlineStr">
        <is>
          <t>fourmi</t>
        </is>
      </c>
      <c r="B315" s="26">
        <f>IFERROR(INDEX(Mots!$B:$B,MATCH($A315,Mots!$A:$A,0)),"introuvable")</f>
        <v/>
      </c>
      <c r="C315" s="30" t="inlineStr">
        <is>
          <t>insectes</t>
        </is>
      </c>
    </row>
    <row r="316">
      <c r="A316" s="30" t="inlineStr">
        <is>
          <t>mouche</t>
        </is>
      </c>
      <c r="B316" s="26">
        <f>IFERROR(INDEX(Mots!$B:$B,MATCH($A316,Mots!$A:$A,0)),"introuvable")</f>
        <v/>
      </c>
      <c r="C316" s="30" t="inlineStr">
        <is>
          <t>insectes</t>
        </is>
      </c>
    </row>
    <row r="317">
      <c r="A317" s="30" t="inlineStr">
        <is>
          <t>toile</t>
        </is>
      </c>
      <c r="B317" s="26">
        <f>IFERROR(INDEX(Mots!$B:$B,MATCH($A317,Mots!$A:$A,0)),"introuvable")</f>
        <v/>
      </c>
      <c r="C317" s="30" t="inlineStr">
        <is>
          <t>insectes</t>
        </is>
      </c>
    </row>
    <row r="318">
      <c r="A318" s="30" t="inlineStr">
        <is>
          <t>abeille</t>
        </is>
      </c>
      <c r="B318" s="26">
        <f>IFERROR(INDEX(Mots!$B:$B,MATCH($A318,Mots!$A:$A,0)),"introuvable")</f>
        <v/>
      </c>
      <c r="C318" s="30" t="inlineStr">
        <is>
          <t>insectes</t>
        </is>
      </c>
    </row>
    <row r="319">
      <c r="A319" s="30" t="inlineStr">
        <is>
          <t>araignee</t>
        </is>
      </c>
      <c r="B319" s="26">
        <f>IFERROR(INDEX(Mots!$B:$B,MATCH($A319,Mots!$A:$A,0)),"introuvable")</f>
        <v/>
      </c>
      <c r="C319" s="30" t="inlineStr">
        <is>
          <t>insectes</t>
        </is>
      </c>
    </row>
    <row r="320">
      <c r="A320" s="30" t="inlineStr">
        <is>
          <t>papillon</t>
        </is>
      </c>
      <c r="B320" s="26">
        <f>IFERROR(INDEX(Mots!$B:$B,MATCH($A320,Mots!$A:$A,0)),"introuvable")</f>
        <v/>
      </c>
      <c r="C320" s="30" t="inlineStr">
        <is>
          <t>insectes</t>
        </is>
      </c>
    </row>
    <row r="321">
      <c r="A321" s="30" t="inlineStr">
        <is>
          <t>insecte</t>
        </is>
      </c>
      <c r="B321" s="26">
        <f>IFERROR(INDEX(Mots!$B:$B,MATCH($A321,Mots!$A:$A,0)),"introuvable")</f>
        <v/>
      </c>
      <c r="C321" s="30" t="inlineStr">
        <is>
          <t>insectes</t>
        </is>
      </c>
    </row>
    <row r="322">
      <c r="A322" s="30" t="inlineStr">
        <is>
          <t>guitare</t>
        </is>
      </c>
      <c r="B322" s="26">
        <f>IFERROR(INDEX(Mots!$B:$B,MATCH($A322,Mots!$A:$A,0)),"introuvable")</f>
        <v/>
      </c>
      <c r="C322" s="30" t="inlineStr">
        <is>
          <t>instruments_a_cordes</t>
        </is>
      </c>
    </row>
    <row r="323">
      <c r="A323" s="30" t="inlineStr">
        <is>
          <t>piano</t>
        </is>
      </c>
      <c r="B323" s="26">
        <f>IFERROR(INDEX(Mots!$B:$B,MATCH($A323,Mots!$A:$A,0)),"introuvable")</f>
        <v/>
      </c>
      <c r="C323" s="30" t="inlineStr">
        <is>
          <t>instruments_a_cordes</t>
        </is>
      </c>
    </row>
    <row r="324">
      <c r="A324" s="30" t="inlineStr">
        <is>
          <t>batterie</t>
        </is>
      </c>
      <c r="B324" s="26">
        <f>IFERROR(INDEX(Mots!$B:$B,MATCH($A324,Mots!$A:$A,0)),"introuvable")</f>
        <v/>
      </c>
      <c r="C324" s="30" t="inlineStr">
        <is>
          <t>percussions</t>
        </is>
      </c>
    </row>
    <row r="325">
      <c r="A325" s="30" t="inlineStr">
        <is>
          <t>grosse_caisse</t>
        </is>
      </c>
      <c r="B325" s="26">
        <f>IFERROR(INDEX(Mots!$B:$B,MATCH($A325,Mots!$A:$A,0)),"introuvable")</f>
        <v/>
      </c>
      <c r="C325" s="30" t="inlineStr">
        <is>
          <t>percussions</t>
        </is>
      </c>
    </row>
    <row r="326">
      <c r="A326" s="30" t="inlineStr">
        <is>
          <t>cymbales</t>
        </is>
      </c>
      <c r="B326" s="26">
        <f>IFERROR(INDEX(Mots!$B:$B,MATCH($A326,Mots!$A:$A,0)),"introuvable")</f>
        <v/>
      </c>
      <c r="C326" s="30" t="inlineStr">
        <is>
          <t>percussions</t>
        </is>
      </c>
    </row>
    <row r="327">
      <c r="A327" s="30" t="inlineStr">
        <is>
          <t>timbales</t>
        </is>
      </c>
      <c r="B327" s="26">
        <f>IFERROR(INDEX(Mots!$B:$B,MATCH($A327,Mots!$A:$A,0)),"introuvable")</f>
        <v/>
      </c>
      <c r="C327" s="30" t="inlineStr">
        <is>
          <t>percussions</t>
        </is>
      </c>
    </row>
    <row r="328">
      <c r="A328" s="30" t="inlineStr">
        <is>
          <t>xylophone</t>
        </is>
      </c>
      <c r="B328" s="26">
        <f>IFERROR(INDEX(Mots!$B:$B,MATCH($A328,Mots!$A:$A,0)),"introuvable")</f>
        <v/>
      </c>
      <c r="C328" s="30" t="inlineStr">
        <is>
          <t>percussions</t>
        </is>
      </c>
    </row>
    <row r="329">
      <c r="A329" s="30" t="inlineStr">
        <is>
          <t>vibraphone</t>
        </is>
      </c>
      <c r="B329" s="26">
        <f>IFERROR(INDEX(Mots!$B:$B,MATCH($A329,Mots!$A:$A,0)),"introuvable")</f>
        <v/>
      </c>
      <c r="C329" s="30" t="inlineStr">
        <is>
          <t>percussions</t>
        </is>
      </c>
    </row>
    <row r="330">
      <c r="A330" s="30" t="inlineStr">
        <is>
          <t>marimba</t>
        </is>
      </c>
      <c r="B330" s="26">
        <f>IFERROR(INDEX(Mots!$B:$B,MATCH($A330,Mots!$A:$A,0)),"introuvable")</f>
        <v/>
      </c>
      <c r="C330" s="30" t="inlineStr">
        <is>
          <t>percussions</t>
        </is>
      </c>
    </row>
    <row r="331">
      <c r="A331" s="30" t="inlineStr">
        <is>
          <t>tambour</t>
        </is>
      </c>
      <c r="B331" s="26">
        <f>IFERROR(INDEX(Mots!$B:$B,MATCH($A331,Mots!$A:$A,0)),"introuvable")</f>
        <v/>
      </c>
      <c r="C331" s="30" t="inlineStr">
        <is>
          <t>percussions</t>
        </is>
      </c>
    </row>
    <row r="332">
      <c r="A332" s="30" t="inlineStr">
        <is>
          <t>cornet</t>
        </is>
      </c>
      <c r="B332" s="26">
        <f>IFERROR(INDEX(Mots!$B:$B,MATCH($A332,Mots!$A:$A,0)),"introuvable")</f>
        <v/>
      </c>
      <c r="C332" s="30" t="inlineStr">
        <is>
          <t>Cuivres</t>
        </is>
      </c>
    </row>
    <row r="333">
      <c r="A333" s="30" t="inlineStr">
        <is>
          <t>bugle</t>
        </is>
      </c>
      <c r="B333" s="26">
        <f>IFERROR(INDEX(Mots!$B:$B,MATCH($A333,Mots!$A:$A,0)),"introuvable")</f>
        <v/>
      </c>
      <c r="C333" s="30" t="inlineStr">
        <is>
          <t>Cuivres</t>
        </is>
      </c>
    </row>
    <row r="334">
      <c r="A334" s="30" t="inlineStr">
        <is>
          <t>alto</t>
        </is>
      </c>
      <c r="B334" s="26">
        <f>IFERROR(INDEX(Mots!$B:$B,MATCH($A334,Mots!$A:$A,0)),"introuvable")</f>
        <v/>
      </c>
      <c r="C334" s="30" t="inlineStr">
        <is>
          <t>Cuivres</t>
        </is>
      </c>
    </row>
    <row r="335">
      <c r="A335" s="30" t="inlineStr">
        <is>
          <t>baryton</t>
        </is>
      </c>
      <c r="B335" s="26">
        <f>IFERROR(INDEX(Mots!$B:$B,MATCH($A335,Mots!$A:$A,0)),"introuvable")</f>
        <v/>
      </c>
      <c r="C335" s="30" t="inlineStr">
        <is>
          <t>Cuivres</t>
        </is>
      </c>
    </row>
    <row r="336">
      <c r="A336" s="30" t="inlineStr">
        <is>
          <t>euphonium</t>
        </is>
      </c>
      <c r="B336" s="26">
        <f>IFERROR(INDEX(Mots!$B:$B,MATCH($A336,Mots!$A:$A,0)),"introuvable")</f>
        <v/>
      </c>
      <c r="C336" s="30" t="inlineStr">
        <is>
          <t>Cuivres</t>
        </is>
      </c>
    </row>
    <row r="337">
      <c r="A337" s="30" t="inlineStr">
        <is>
          <t>basse</t>
        </is>
      </c>
      <c r="B337" s="26">
        <f>IFERROR(INDEX(Mots!$B:$B,MATCH($A337,Mots!$A:$A,0)),"introuvable")</f>
        <v/>
      </c>
      <c r="C337" s="30" t="inlineStr">
        <is>
          <t>Cuivres</t>
        </is>
      </c>
    </row>
    <row r="338">
      <c r="A338" s="30" t="inlineStr">
        <is>
          <t>trombone</t>
        </is>
      </c>
      <c r="B338" s="26">
        <f>IFERROR(INDEX(Mots!$B:$B,MATCH($A338,Mots!$A:$A,0)),"introuvable")</f>
        <v/>
      </c>
      <c r="C338" s="30" t="inlineStr">
        <is>
          <t>Cuivres</t>
        </is>
      </c>
    </row>
    <row r="339">
      <c r="A339" s="30" t="inlineStr">
        <is>
          <t>legume</t>
        </is>
      </c>
      <c r="B339" s="26">
        <f>IFERROR(INDEX(Mots!$B:$B,MATCH($A339,Mots!$A:$A,0)),"introuvable")</f>
        <v/>
      </c>
      <c r="C339" s="30" t="inlineStr">
        <is>
          <t>legumes</t>
        </is>
      </c>
    </row>
    <row r="340">
      <c r="A340" s="30" t="inlineStr">
        <is>
          <t>pommes_de_terre</t>
        </is>
      </c>
      <c r="B340" s="26">
        <f>IFERROR(INDEX(Mots!$B:$B,MATCH($A340,Mots!$A:$A,0)),"introuvable")</f>
        <v/>
      </c>
      <c r="C340" s="30" t="inlineStr">
        <is>
          <t>legumes</t>
        </is>
      </c>
    </row>
    <row r="341">
      <c r="A341" s="30" t="inlineStr">
        <is>
          <t>carotte</t>
        </is>
      </c>
      <c r="B341" s="26">
        <f>IFERROR(INDEX(Mots!$B:$B,MATCH($A341,Mots!$A:$A,0)),"introuvable")</f>
        <v/>
      </c>
      <c r="C341" s="30" t="inlineStr">
        <is>
          <t>legumes</t>
        </is>
      </c>
    </row>
    <row r="342">
      <c r="A342" s="30" t="inlineStr">
        <is>
          <t>tomate</t>
        </is>
      </c>
      <c r="B342" s="26">
        <f>IFERROR(INDEX(Mots!$B:$B,MATCH($A342,Mots!$A:$A,0)),"introuvable")</f>
        <v/>
      </c>
      <c r="C342" s="30" t="inlineStr">
        <is>
          <t>legumes</t>
        </is>
      </c>
    </row>
    <row r="343">
      <c r="A343" s="30" t="inlineStr">
        <is>
          <t>chou_fleur</t>
        </is>
      </c>
      <c r="B343" s="26">
        <f>IFERROR(INDEX(Mots!$B:$B,MATCH($A343,Mots!$A:$A,0)),"introuvable")</f>
        <v/>
      </c>
      <c r="C343" s="30" t="inlineStr">
        <is>
          <t>legumes</t>
        </is>
      </c>
    </row>
    <row r="344">
      <c r="A344" s="30" t="inlineStr">
        <is>
          <t>poireau</t>
        </is>
      </c>
      <c r="B344" s="26">
        <f>IFERROR(INDEX(Mots!$B:$B,MATCH($A344,Mots!$A:$A,0)),"introuvable")</f>
        <v/>
      </c>
      <c r="C344" s="30" t="inlineStr">
        <is>
          <t>legumes</t>
        </is>
      </c>
    </row>
    <row r="345">
      <c r="A345" s="30" t="inlineStr">
        <is>
          <t>brocoli</t>
        </is>
      </c>
      <c r="B345" s="26">
        <f>IFERROR(INDEX(Mots!$B:$B,MATCH($A345,Mots!$A:$A,0)),"introuvable")</f>
        <v/>
      </c>
      <c r="C345" s="30" t="inlineStr">
        <is>
          <t>legumes</t>
        </is>
      </c>
    </row>
    <row r="346">
      <c r="A346" s="30" t="inlineStr">
        <is>
          <t>asperge</t>
        </is>
      </c>
      <c r="B346" s="26">
        <f>IFERROR(INDEX(Mots!$B:$B,MATCH($A346,Mots!$A:$A,0)),"introuvable")</f>
        <v/>
      </c>
      <c r="C346" s="30" t="inlineStr">
        <is>
          <t>legumes</t>
        </is>
      </c>
    </row>
    <row r="347">
      <c r="A347" s="30" t="inlineStr">
        <is>
          <t>courgette</t>
        </is>
      </c>
      <c r="B347" s="26">
        <f>IFERROR(INDEX(Mots!$B:$B,MATCH($A347,Mots!$A:$A,0)),"introuvable")</f>
        <v/>
      </c>
      <c r="C347" s="30" t="inlineStr">
        <is>
          <t>legumes</t>
        </is>
      </c>
    </row>
    <row r="348">
      <c r="A348" s="30" t="inlineStr">
        <is>
          <t>salade_laitue</t>
        </is>
      </c>
      <c r="B348" s="26">
        <f>IFERROR(INDEX(Mots!$B:$B,MATCH($A348,Mots!$A:$A,0)),"introuvable")</f>
        <v/>
      </c>
      <c r="C348" s="30" t="inlineStr">
        <is>
          <t>legumes</t>
        </is>
      </c>
    </row>
    <row r="349">
      <c r="A349" s="30" t="inlineStr">
        <is>
          <t>betterave</t>
        </is>
      </c>
      <c r="B349" s="26">
        <f>IFERROR(INDEX(Mots!$B:$B,MATCH($A349,Mots!$A:$A,0)),"introuvable")</f>
        <v/>
      </c>
      <c r="C349" s="30" t="inlineStr">
        <is>
          <t>legumes</t>
        </is>
      </c>
    </row>
    <row r="350">
      <c r="A350" s="30" t="inlineStr">
        <is>
          <t>haricot</t>
        </is>
      </c>
      <c r="B350" s="26">
        <f>IFERROR(INDEX(Mots!$B:$B,MATCH($A350,Mots!$A:$A,0)),"introuvable")</f>
        <v/>
      </c>
      <c r="C350" s="30" t="inlineStr">
        <is>
          <t>legumes</t>
        </is>
      </c>
    </row>
    <row r="351">
      <c r="A351" s="30" t="inlineStr">
        <is>
          <t>oignon</t>
        </is>
      </c>
      <c r="B351" s="26">
        <f>IFERROR(INDEX(Mots!$B:$B,MATCH($A351,Mots!$A:$A,0)),"introuvable")</f>
        <v/>
      </c>
      <c r="C351" s="30" t="inlineStr">
        <is>
          <t>legumes</t>
        </is>
      </c>
    </row>
    <row r="352">
      <c r="A352" s="30" t="inlineStr">
        <is>
          <t>sion</t>
        </is>
      </c>
      <c r="B352" s="26">
        <f>IFERROR(INDEX(Mots!$B:$B,MATCH($A352,Mots!$A:$A,0)),"introuvable")</f>
        <v/>
      </c>
      <c r="C352" s="30" t="inlineStr">
        <is>
          <t>lieux_urbains</t>
        </is>
      </c>
    </row>
    <row r="353">
      <c r="A353" s="30" t="inlineStr">
        <is>
          <t>vetroz</t>
        </is>
      </c>
      <c r="B353" s="26">
        <f>IFERROR(INDEX(Mots!$B:$B,MATCH($A353,Mots!$A:$A,0)),"introuvable")</f>
        <v/>
      </c>
      <c r="C353" s="30" t="inlineStr">
        <is>
          <t>lieux_urbains</t>
        </is>
      </c>
    </row>
    <row r="354">
      <c r="A354" s="30" t="inlineStr">
        <is>
          <t>ville</t>
        </is>
      </c>
      <c r="B354" s="26">
        <f>IFERROR(INDEX(Mots!$B:$B,MATCH($A354,Mots!$A:$A,0)),"introuvable")</f>
        <v/>
      </c>
      <c r="C354" s="30" t="inlineStr">
        <is>
          <t>lieux_urbains</t>
        </is>
      </c>
    </row>
    <row r="355">
      <c r="A355" s="30" t="inlineStr">
        <is>
          <t>rue</t>
        </is>
      </c>
      <c r="B355" s="26">
        <f>IFERROR(INDEX(Mots!$B:$B,MATCH($A355,Mots!$A:$A,0)),"introuvable")</f>
        <v/>
      </c>
      <c r="C355" s="30" t="inlineStr">
        <is>
          <t>lieux_urbains</t>
        </is>
      </c>
    </row>
    <row r="356">
      <c r="A356" s="30" t="inlineStr">
        <is>
          <t>pont</t>
        </is>
      </c>
      <c r="B356" s="26">
        <f>IFERROR(INDEX(Mots!$B:$B,MATCH($A356,Mots!$A:$A,0)),"introuvable")</f>
        <v/>
      </c>
      <c r="C356" s="30" t="inlineStr">
        <is>
          <t>lieux_urbains</t>
        </is>
      </c>
    </row>
    <row r="357">
      <c r="A357" s="30" t="inlineStr">
        <is>
          <t>tunnel</t>
        </is>
      </c>
      <c r="B357" s="26">
        <f>IFERROR(INDEX(Mots!$B:$B,MATCH($A357,Mots!$A:$A,0)),"introuvable")</f>
        <v/>
      </c>
      <c r="C357" s="30" t="inlineStr">
        <is>
          <t>lieux_urbains</t>
        </is>
      </c>
    </row>
    <row r="358">
      <c r="A358" s="30" t="inlineStr">
        <is>
          <t>parc</t>
        </is>
      </c>
      <c r="B358" s="26">
        <f>IFERROR(INDEX(Mots!$B:$B,MATCH($A358,Mots!$A:$A,0)),"introuvable")</f>
        <v/>
      </c>
      <c r="C358" s="30" t="inlineStr">
        <is>
          <t>lieux_urbains</t>
        </is>
      </c>
    </row>
    <row r="359">
      <c r="A359" s="30" t="inlineStr">
        <is>
          <t>bureau_metier</t>
        </is>
      </c>
      <c r="B359" s="26">
        <f>IFERROR(INDEX(Mots!$B:$B,MATCH($A359,Mots!$A:$A,0)),"introuvable")</f>
        <v/>
      </c>
      <c r="C359" s="30" t="inlineStr">
        <is>
          <t>lieux_urbains</t>
        </is>
      </c>
    </row>
    <row r="360">
      <c r="A360" s="30" t="inlineStr">
        <is>
          <t>police_ge</t>
        </is>
      </c>
      <c r="B360" s="26">
        <f>IFERROR(INDEX(Mots!$B:$B,MATCH($A360,Mots!$A:$A,0)),"introuvable")</f>
        <v/>
      </c>
      <c r="C360" s="30" t="inlineStr">
        <is>
          <t>lieux_urbains</t>
        </is>
      </c>
    </row>
    <row r="361">
      <c r="A361" s="30" t="inlineStr">
        <is>
          <t>chuv</t>
        </is>
      </c>
      <c r="B361" s="26">
        <f>IFERROR(INDEX(Mots!$B:$B,MATCH($A361,Mots!$A:$A,0)),"introuvable")</f>
        <v/>
      </c>
      <c r="C361" s="30" t="inlineStr">
        <is>
          <t>lieux_urbains</t>
        </is>
      </c>
    </row>
    <row r="362">
      <c r="A362" s="30" t="inlineStr">
        <is>
          <t>doigt</t>
        </is>
      </c>
      <c r="B362" s="26">
        <f>IFERROR(INDEX(Mots!$B:$B,MATCH($A362,Mots!$A:$A,0)),"introuvable")</f>
        <v/>
      </c>
      <c r="C362" s="30" t="inlineStr">
        <is>
          <t>membres</t>
        </is>
      </c>
    </row>
    <row r="363">
      <c r="A363" s="30" t="inlineStr">
        <is>
          <t>main</t>
        </is>
      </c>
      <c r="B363" s="26">
        <f>IFERROR(INDEX(Mots!$B:$B,MATCH($A363,Mots!$A:$A,0)),"introuvable")</f>
        <v/>
      </c>
      <c r="C363" s="30" t="inlineStr">
        <is>
          <t>membres</t>
        </is>
      </c>
    </row>
    <row r="364">
      <c r="A364" s="30" t="inlineStr">
        <is>
          <t>bras</t>
        </is>
      </c>
      <c r="B364" s="26">
        <f>IFERROR(INDEX(Mots!$B:$B,MATCH($A364,Mots!$A:$A,0)),"introuvable")</f>
        <v/>
      </c>
      <c r="C364" s="30" t="inlineStr">
        <is>
          <t>membres</t>
        </is>
      </c>
    </row>
    <row r="365">
      <c r="A365" s="30" t="inlineStr">
        <is>
          <t>jambe</t>
        </is>
      </c>
      <c r="B365" s="26">
        <f>IFERROR(INDEX(Mots!$B:$B,MATCH($A365,Mots!$A:$A,0)),"introuvable")</f>
        <v/>
      </c>
      <c r="C365" s="30" t="inlineStr">
        <is>
          <t>membres</t>
        </is>
      </c>
    </row>
    <row r="366">
      <c r="A366" s="30" t="inlineStr">
        <is>
          <t>cuisse</t>
        </is>
      </c>
      <c r="B366" s="26">
        <f>IFERROR(INDEX(Mots!$B:$B,MATCH($A366,Mots!$A:$A,0)),"introuvable")</f>
        <v/>
      </c>
      <c r="C366" s="30" t="inlineStr">
        <is>
          <t>membres</t>
        </is>
      </c>
    </row>
    <row r="367">
      <c r="A367" s="30" t="inlineStr">
        <is>
          <t>pied</t>
        </is>
      </c>
      <c r="B367" s="26">
        <f>IFERROR(INDEX(Mots!$B:$B,MATCH($A367,Mots!$A:$A,0)),"introuvable")</f>
        <v/>
      </c>
      <c r="C367" s="30" t="inlineStr">
        <is>
          <t>membres</t>
        </is>
      </c>
    </row>
    <row r="368">
      <c r="A368" s="30" t="inlineStr">
        <is>
          <t>coude</t>
        </is>
      </c>
      <c r="B368" s="26">
        <f>IFERROR(INDEX(Mots!$B:$B,MATCH($A368,Mots!$A:$A,0)),"introuvable")</f>
        <v/>
      </c>
      <c r="C368" s="30" t="inlineStr">
        <is>
          <t>membres</t>
        </is>
      </c>
    </row>
    <row r="369">
      <c r="A369" s="30" t="inlineStr">
        <is>
          <t>genou</t>
        </is>
      </c>
      <c r="B369" s="26">
        <f>IFERROR(INDEX(Mots!$B:$B,MATCH($A369,Mots!$A:$A,0)),"introuvable")</f>
        <v/>
      </c>
      <c r="C369" s="30" t="inlineStr">
        <is>
          <t>membres</t>
        </is>
      </c>
    </row>
    <row r="370">
      <c r="A370" s="30" t="inlineStr">
        <is>
          <t>medecin</t>
        </is>
      </c>
      <c r="B370" s="26">
        <f>IFERROR(INDEX(Mots!$B:$B,MATCH($A370,Mots!$A:$A,0)),"introuvable")</f>
        <v/>
      </c>
      <c r="C370" s="30" t="inlineStr">
        <is>
          <t>metiers</t>
        </is>
      </c>
    </row>
    <row r="371">
      <c r="A371" s="30" t="inlineStr">
        <is>
          <t>doctoresse</t>
        </is>
      </c>
      <c r="B371" s="26">
        <f>IFERROR(INDEX(Mots!$B:$B,MATCH($A371,Mots!$A:$A,0)),"introuvable")</f>
        <v/>
      </c>
      <c r="C371" s="30" t="inlineStr">
        <is>
          <t>metiers</t>
        </is>
      </c>
    </row>
    <row r="372">
      <c r="A372" s="30" t="inlineStr">
        <is>
          <t>policier</t>
        </is>
      </c>
      <c r="B372" s="26">
        <f>IFERROR(INDEX(Mots!$B:$B,MATCH($A372,Mots!$A:$A,0)),"introuvable")</f>
        <v/>
      </c>
      <c r="C372" s="30" t="inlineStr">
        <is>
          <t>metiers</t>
        </is>
      </c>
    </row>
    <row r="373">
      <c r="A373" s="30" t="inlineStr">
        <is>
          <t>charpentier</t>
        </is>
      </c>
      <c r="B373" s="26">
        <f>IFERROR(INDEX(Mots!$B:$B,MATCH($A373,Mots!$A:$A,0)),"introuvable")</f>
        <v/>
      </c>
      <c r="C373" s="30" t="inlineStr">
        <is>
          <t>metiers</t>
        </is>
      </c>
    </row>
    <row r="374">
      <c r="A374" s="30" t="inlineStr">
        <is>
          <t>macon</t>
        </is>
      </c>
      <c r="B374" s="26">
        <f>IFERROR(INDEX(Mots!$B:$B,MATCH($A374,Mots!$A:$A,0)),"introuvable")</f>
        <v/>
      </c>
      <c r="C374" s="30" t="inlineStr">
        <is>
          <t>metiers</t>
        </is>
      </c>
    </row>
    <row r="375">
      <c r="A375" s="30" t="inlineStr">
        <is>
          <t>installateur_sanitaire</t>
        </is>
      </c>
      <c r="B375" s="26">
        <f>IFERROR(INDEX(Mots!$B:$B,MATCH($A375,Mots!$A:$A,0)),"introuvable")</f>
        <v/>
      </c>
      <c r="C375" s="30" t="inlineStr">
        <is>
          <t>metiers</t>
        </is>
      </c>
    </row>
    <row r="376">
      <c r="A376" s="30" t="inlineStr">
        <is>
          <t>ferblantier</t>
        </is>
      </c>
      <c r="B376" s="26">
        <f>IFERROR(INDEX(Mots!$B:$B,MATCH($A376,Mots!$A:$A,0)),"introuvable")</f>
        <v/>
      </c>
      <c r="C376" s="30" t="inlineStr">
        <is>
          <t>metiers</t>
        </is>
      </c>
    </row>
    <row r="377">
      <c r="A377" s="30" t="inlineStr">
        <is>
          <t>menuisier</t>
        </is>
      </c>
      <c r="B377" s="26">
        <f>IFERROR(INDEX(Mots!$B:$B,MATCH($A377,Mots!$A:$A,0)),"introuvable")</f>
        <v/>
      </c>
      <c r="C377" s="30" t="inlineStr">
        <is>
          <t>metiers</t>
        </is>
      </c>
    </row>
    <row r="378">
      <c r="A378" s="30" t="inlineStr">
        <is>
          <t>poseur_cuisine</t>
        </is>
      </c>
      <c r="B378" s="26">
        <f>IFERROR(INDEX(Mots!$B:$B,MATCH($A378,Mots!$A:$A,0)),"introuvable")</f>
        <v/>
      </c>
      <c r="C378" s="30" t="inlineStr">
        <is>
          <t>metiers</t>
        </is>
      </c>
    </row>
    <row r="379">
      <c r="A379" s="30" t="inlineStr">
        <is>
          <t>mécanicien</t>
        </is>
      </c>
      <c r="B379" s="26">
        <f>IFERROR(INDEX(Mots!$B:$B,MATCH($A379,Mots!$A:$A,0)),"introuvable")</f>
        <v/>
      </c>
      <c r="C379" s="30" t="inlineStr">
        <is>
          <t>metiers</t>
        </is>
      </c>
    </row>
    <row r="380">
      <c r="A380" s="30" t="inlineStr">
        <is>
          <t>cuisinier</t>
        </is>
      </c>
      <c r="B380" s="26">
        <f>IFERROR(INDEX(Mots!$B:$B,MATCH($A380,Mots!$A:$A,0)),"introuvable")</f>
        <v/>
      </c>
      <c r="C380" s="30" t="inlineStr">
        <is>
          <t>metiers</t>
        </is>
      </c>
    </row>
    <row r="381">
      <c r="A381" s="30" t="inlineStr">
        <is>
          <t>boulanger</t>
        </is>
      </c>
      <c r="B381" s="26">
        <f>IFERROR(INDEX(Mots!$B:$B,MATCH($A381,Mots!$A:$A,0)),"introuvable")</f>
        <v/>
      </c>
      <c r="C381" s="30" t="inlineStr">
        <is>
          <t>metiers</t>
        </is>
      </c>
    </row>
    <row r="382">
      <c r="A382" s="30" t="inlineStr">
        <is>
          <t>chauffeur_car</t>
        </is>
      </c>
      <c r="B382" s="26">
        <f>IFERROR(INDEX(Mots!$B:$B,MATCH($A382,Mots!$A:$A,0)),"introuvable")</f>
        <v/>
      </c>
      <c r="C382" s="30" t="inlineStr">
        <is>
          <t>metiers</t>
        </is>
      </c>
    </row>
    <row r="383">
      <c r="A383" s="30" t="inlineStr">
        <is>
          <t>dessinateur</t>
        </is>
      </c>
      <c r="B383" s="26">
        <f>IFERROR(INDEX(Mots!$B:$B,MATCH($A383,Mots!$A:$A,0)),"introuvable")</f>
        <v/>
      </c>
      <c r="C383" s="30" t="inlineStr">
        <is>
          <t>metiers</t>
        </is>
      </c>
    </row>
    <row r="384">
      <c r="A384" s="30" t="inlineStr">
        <is>
          <t>professeur</t>
        </is>
      </c>
      <c r="B384" s="26">
        <f>IFERROR(INDEX(Mots!$B:$B,MATCH($A384,Mots!$A:$A,0)),"introuvable")</f>
        <v/>
      </c>
      <c r="C384" s="30" t="inlineStr">
        <is>
          <t>metiers</t>
        </is>
      </c>
    </row>
    <row r="385">
      <c r="A385" s="30" t="inlineStr">
        <is>
          <t>acteur</t>
        </is>
      </c>
      <c r="B385" s="26">
        <f>IFERROR(INDEX(Mots!$B:$B,MATCH($A385,Mots!$A:$A,0)),"introuvable")</f>
        <v/>
      </c>
      <c r="C385" s="30" t="inlineStr">
        <is>
          <t>metiers</t>
        </is>
      </c>
    </row>
    <row r="386">
      <c r="A386" s="30" t="inlineStr">
        <is>
          <t>agriculteur</t>
        </is>
      </c>
      <c r="B386" s="26">
        <f>IFERROR(INDEX(Mots!$B:$B,MATCH($A386,Mots!$A:$A,0)),"introuvable")</f>
        <v/>
      </c>
      <c r="C386" s="30" t="inlineStr">
        <is>
          <t>metiers</t>
        </is>
      </c>
    </row>
    <row r="387">
      <c r="A387" s="30" t="inlineStr">
        <is>
          <t>banquier</t>
        </is>
      </c>
      <c r="B387" s="26">
        <f>IFERROR(INDEX(Mots!$B:$B,MATCH($A387,Mots!$A:$A,0)),"introuvable")</f>
        <v/>
      </c>
      <c r="C387" s="30" t="inlineStr">
        <is>
          <t>metiers</t>
        </is>
      </c>
    </row>
    <row r="388">
      <c r="A388" s="30" t="inlineStr">
        <is>
          <t>chanteur</t>
        </is>
      </c>
      <c r="B388" s="26">
        <f>IFERROR(INDEX(Mots!$B:$B,MATCH($A388,Mots!$A:$A,0)),"introuvable")</f>
        <v/>
      </c>
      <c r="C388" s="30" t="inlineStr">
        <is>
          <t>metiers</t>
        </is>
      </c>
    </row>
    <row r="389">
      <c r="A389" s="30" t="inlineStr">
        <is>
          <t>facteur</t>
        </is>
      </c>
      <c r="B389" s="26">
        <f>IFERROR(INDEX(Mots!$B:$B,MATCH($A389,Mots!$A:$A,0)),"introuvable")</f>
        <v/>
      </c>
      <c r="C389" s="30" t="inlineStr">
        <is>
          <t>metiers</t>
        </is>
      </c>
    </row>
    <row r="390">
      <c r="A390" s="30" t="inlineStr">
        <is>
          <t>peintre</t>
        </is>
      </c>
      <c r="B390" s="26">
        <f>IFERROR(INDEX(Mots!$B:$B,MATCH($A390,Mots!$A:$A,0)),"introuvable")</f>
        <v/>
      </c>
      <c r="C390" s="30" t="inlineStr">
        <is>
          <t>metiers</t>
        </is>
      </c>
    </row>
    <row r="391">
      <c r="A391" s="30" t="inlineStr">
        <is>
          <t>pompier</t>
        </is>
      </c>
      <c r="B391" s="26">
        <f>IFERROR(INDEX(Mots!$B:$B,MATCH($A391,Mots!$A:$A,0)),"introuvable")</f>
        <v/>
      </c>
      <c r="C391" s="30" t="inlineStr">
        <is>
          <t>metiers</t>
        </is>
      </c>
    </row>
    <row r="392">
      <c r="A392" s="30" t="inlineStr">
        <is>
          <t>vendeur</t>
        </is>
      </c>
      <c r="B392" s="26">
        <f>IFERROR(INDEX(Mots!$B:$B,MATCH($A392,Mots!$A:$A,0)),"introuvable")</f>
        <v/>
      </c>
      <c r="C392" s="30" t="inlineStr">
        <is>
          <t>metiers</t>
        </is>
      </c>
    </row>
    <row r="393">
      <c r="A393" s="30" t="inlineStr">
        <is>
          <t>ecrivain</t>
        </is>
      </c>
      <c r="B393" s="26">
        <f>IFERROR(INDEX(Mots!$B:$B,MATCH($A393,Mots!$A:$A,0)),"introuvable")</f>
        <v/>
      </c>
      <c r="C393" s="30" t="inlineStr">
        <is>
          <t>metiers</t>
        </is>
      </c>
    </row>
    <row r="394">
      <c r="A394" s="30" t="inlineStr">
        <is>
          <t>infirmier</t>
        </is>
      </c>
      <c r="B394" s="26">
        <f>IFERROR(INDEX(Mots!$B:$B,MATCH($A394,Mots!$A:$A,0)),"introuvable")</f>
        <v/>
      </c>
      <c r="C394" s="30" t="inlineStr">
        <is>
          <t>metiers</t>
        </is>
      </c>
    </row>
    <row r="395">
      <c r="A395" s="30" t="inlineStr">
        <is>
          <t>c_blanc</t>
        </is>
      </c>
      <c r="B395" s="26">
        <f>IFERROR(INDEX(Mots!$B:$B,MATCH($A395,Mots!$A:$A,0)),"introuvable")</f>
        <v/>
      </c>
      <c r="C395" s="30" t="inlineStr">
        <is>
          <t>mot_forme</t>
        </is>
      </c>
    </row>
    <row r="396">
      <c r="A396" s="30" t="inlineStr">
        <is>
          <t>c_bleu</t>
        </is>
      </c>
      <c r="B396" s="26">
        <f>IFERROR(INDEX(Mots!$B:$B,MATCH($A396,Mots!$A:$A,0)),"introuvable")</f>
        <v/>
      </c>
      <c r="C396" s="30" t="inlineStr">
        <is>
          <t>mot_forme</t>
        </is>
      </c>
    </row>
    <row r="397">
      <c r="A397" s="30" t="inlineStr">
        <is>
          <t>c_gris</t>
        </is>
      </c>
      <c r="B397" s="26">
        <f>IFERROR(INDEX(Mots!$B:$B,MATCH($A397,Mots!$A:$A,0)),"introuvable")</f>
        <v/>
      </c>
      <c r="C397" s="30" t="inlineStr">
        <is>
          <t>mot_forme</t>
        </is>
      </c>
    </row>
    <row r="398">
      <c r="A398" s="30" t="inlineStr">
        <is>
          <t>c_jaune</t>
        </is>
      </c>
      <c r="B398" s="26">
        <f>IFERROR(INDEX(Mots!$B:$B,MATCH($A398,Mots!$A:$A,0)),"introuvable")</f>
        <v/>
      </c>
      <c r="C398" s="30" t="inlineStr">
        <is>
          <t>mot_forme</t>
        </is>
      </c>
    </row>
    <row r="399">
      <c r="A399" s="30" t="inlineStr">
        <is>
          <t>cle</t>
        </is>
      </c>
      <c r="B399" s="26">
        <f>IFERROR(INDEX(Mots!$B:$B,MATCH($A399,Mots!$A:$A,0)),"introuvable")</f>
        <v/>
      </c>
      <c r="C399" s="30" t="inlineStr">
        <is>
          <t>mots_courants</t>
        </is>
      </c>
    </row>
    <row r="400">
      <c r="A400" s="30" t="inlineStr">
        <is>
          <t>couleur</t>
        </is>
      </c>
      <c r="B400" s="26">
        <f>IFERROR(INDEX(Mots!$B:$B,MATCH($A400,Mots!$A:$A,0)),"introuvable")</f>
        <v/>
      </c>
      <c r="C400" s="30" t="inlineStr">
        <is>
          <t>mot_forme</t>
        </is>
      </c>
    </row>
    <row r="401">
      <c r="A401" s="30" t="inlineStr">
        <is>
          <t>chargeur_phone</t>
        </is>
      </c>
      <c r="B401" s="26">
        <f>IFERROR(INDEX(Mots!$B:$B,MATCH($A401,Mots!$A:$A,0)),"introuvable")</f>
        <v/>
      </c>
      <c r="C401" s="30" t="inlineStr">
        <is>
          <t>mots_courants</t>
        </is>
      </c>
    </row>
    <row r="402">
      <c r="A402" s="30" t="inlineStr">
        <is>
          <t>porte_monnaie</t>
        </is>
      </c>
      <c r="B402" s="26">
        <f>IFERROR(INDEX(Mots!$B:$B,MATCH($A402,Mots!$A:$A,0)),"introuvable")</f>
        <v/>
      </c>
      <c r="C402" s="30" t="inlineStr">
        <is>
          <t>mots_courants</t>
        </is>
      </c>
    </row>
    <row r="403">
      <c r="A403" s="30" t="inlineStr">
        <is>
          <t>smartphone</t>
        </is>
      </c>
      <c r="B403" s="26">
        <f>IFERROR(INDEX(Mots!$B:$B,MATCH($A403,Mots!$A:$A,0)),"introuvable")</f>
        <v/>
      </c>
      <c r="C403" s="30" t="inlineStr">
        <is>
          <t>mots_courants</t>
        </is>
      </c>
    </row>
    <row r="404">
      <c r="A404" s="30" t="inlineStr">
        <is>
          <t>tablette_ipad</t>
        </is>
      </c>
      <c r="B404" s="26">
        <f>IFERROR(INDEX(Mots!$B:$B,MATCH($A404,Mots!$A:$A,0)),"introuvable")</f>
        <v/>
      </c>
      <c r="C404" s="30" t="inlineStr">
        <is>
          <t>mots_courants</t>
        </is>
      </c>
    </row>
    <row r="405">
      <c r="A405" s="30" t="inlineStr">
        <is>
          <t>c_marron</t>
        </is>
      </c>
      <c r="B405" s="26">
        <f>IFERROR(INDEX(Mots!$B:$B,MATCH($A405,Mots!$A:$A,0)),"introuvable")</f>
        <v/>
      </c>
      <c r="C405" s="30" t="inlineStr">
        <is>
          <t>mot_forme</t>
        </is>
      </c>
    </row>
    <row r="406">
      <c r="A406" s="30" t="inlineStr">
        <is>
          <t>c_noir</t>
        </is>
      </c>
      <c r="B406" s="26">
        <f>IFERROR(INDEX(Mots!$B:$B,MATCH($A406,Mots!$A:$A,0)),"introuvable")</f>
        <v/>
      </c>
      <c r="C406" s="30" t="inlineStr">
        <is>
          <t>mot_forme</t>
        </is>
      </c>
    </row>
    <row r="407">
      <c r="A407" s="30" t="inlineStr">
        <is>
          <t>c_orange</t>
        </is>
      </c>
      <c r="B407" s="26">
        <f>IFERROR(INDEX(Mots!$B:$B,MATCH($A407,Mots!$A:$A,0)),"introuvable")</f>
        <v/>
      </c>
      <c r="C407" s="30" t="inlineStr">
        <is>
          <t>mot_forme</t>
        </is>
      </c>
    </row>
    <row r="408">
      <c r="A408" s="30" t="inlineStr">
        <is>
          <t>c_rose</t>
        </is>
      </c>
      <c r="B408" s="26">
        <f>IFERROR(INDEX(Mots!$B:$B,MATCH($A408,Mots!$A:$A,0)),"introuvable")</f>
        <v/>
      </c>
      <c r="C408" s="30" t="inlineStr">
        <is>
          <t>mot_forme</t>
        </is>
      </c>
    </row>
    <row r="409">
      <c r="A409" s="30" t="inlineStr">
        <is>
          <t>c_rouge</t>
        </is>
      </c>
      <c r="B409" s="26">
        <f>IFERROR(INDEX(Mots!$B:$B,MATCH($A409,Mots!$A:$A,0)),"introuvable")</f>
        <v/>
      </c>
      <c r="C409" s="30" t="inlineStr">
        <is>
          <t>mot_forme</t>
        </is>
      </c>
    </row>
    <row r="410">
      <c r="A410" s="30" t="inlineStr">
        <is>
          <t>c_vert</t>
        </is>
      </c>
      <c r="B410" s="26">
        <f>IFERROR(INDEX(Mots!$B:$B,MATCH($A410,Mots!$A:$A,0)),"introuvable")</f>
        <v/>
      </c>
      <c r="C410" s="30" t="inlineStr">
        <is>
          <t>mot_forme</t>
        </is>
      </c>
    </row>
    <row r="411">
      <c r="A411" s="30" t="inlineStr">
        <is>
          <t>a_amer_acide</t>
        </is>
      </c>
      <c r="B411" s="26">
        <f>IFERROR(INDEX(Mots!$B:$B,MATCH($A411,Mots!$A:$A,0)),"introuvable")</f>
        <v/>
      </c>
      <c r="C411" s="30" t="inlineStr">
        <is>
          <t>mots_et_contraire</t>
        </is>
      </c>
    </row>
    <row r="412">
      <c r="A412" s="30" t="inlineStr">
        <is>
          <t>a_beau_laid</t>
        </is>
      </c>
      <c r="B412" s="26">
        <f>IFERROR(INDEX(Mots!$B:$B,MATCH($A412,Mots!$A:$A,0)),"introuvable")</f>
        <v/>
      </c>
      <c r="C412" s="30" t="inlineStr">
        <is>
          <t>mots_et_contraire</t>
        </is>
      </c>
    </row>
    <row r="413">
      <c r="A413" s="30" t="inlineStr">
        <is>
          <t>a_bon_mauvais</t>
        </is>
      </c>
      <c r="B413" s="26">
        <f>IFERROR(INDEX(Mots!$B:$B,MATCH($A413,Mots!$A:$A,0)),"introuvable")</f>
        <v/>
      </c>
      <c r="C413" s="30" t="inlineStr">
        <is>
          <t>mots_et_contraire</t>
        </is>
      </c>
    </row>
    <row r="414">
      <c r="A414" s="30" t="inlineStr">
        <is>
          <t>a_brillant_terne</t>
        </is>
      </c>
      <c r="B414" s="26">
        <f>IFERROR(INDEX(Mots!$B:$B,MATCH($A414,Mots!$A:$A,0)),"introuvable")</f>
        <v/>
      </c>
      <c r="C414" s="30" t="inlineStr">
        <is>
          <t>mots_et_contraire</t>
        </is>
      </c>
    </row>
    <row r="415">
      <c r="A415" s="30" t="inlineStr">
        <is>
          <t>a_calme_agite</t>
        </is>
      </c>
      <c r="B415" s="26">
        <f>IFERROR(INDEX(Mots!$B:$B,MATCH($A415,Mots!$A:$A,0)),"introuvable")</f>
        <v/>
      </c>
      <c r="C415" s="30" t="inlineStr">
        <is>
          <t>mots_et_contraire</t>
        </is>
      </c>
    </row>
    <row r="416">
      <c r="A416" s="30" t="inlineStr">
        <is>
          <t>a_chaud_froid</t>
        </is>
      </c>
      <c r="B416" s="26">
        <f>IFERROR(INDEX(Mots!$B:$B,MATCH($A416,Mots!$A:$A,0)),"introuvable")</f>
        <v/>
      </c>
      <c r="C416" s="30" t="inlineStr">
        <is>
          <t>mots_et_contraire</t>
        </is>
      </c>
    </row>
    <row r="417">
      <c r="A417" s="30" t="inlineStr">
        <is>
          <t>a_cher_bon_marche</t>
        </is>
      </c>
      <c r="B417" s="26">
        <f>IFERROR(INDEX(Mots!$B:$B,MATCH($A417,Mots!$A:$A,0)),"introuvable")</f>
        <v/>
      </c>
      <c r="C417" s="30" t="inlineStr">
        <is>
          <t>mots_et_contraire</t>
        </is>
      </c>
    </row>
    <row r="418">
      <c r="A418" s="30" t="inlineStr">
        <is>
          <t>a_clair_sombre</t>
        </is>
      </c>
      <c r="B418" s="26">
        <f>IFERROR(INDEX(Mots!$B:$B,MATCH($A418,Mots!$A:$A,0)),"introuvable")</f>
        <v/>
      </c>
      <c r="C418" s="30" t="inlineStr">
        <is>
          <t>mots_et_contraire</t>
        </is>
      </c>
    </row>
    <row r="419">
      <c r="A419" s="30" t="inlineStr">
        <is>
          <t>a_content_triste</t>
        </is>
      </c>
      <c r="B419" s="26">
        <f>IFERROR(INDEX(Mots!$B:$B,MATCH($A419,Mots!$A:$A,0)),"introuvable")</f>
        <v/>
      </c>
      <c r="C419" s="30" t="inlineStr">
        <is>
          <t>mots_et_contraire</t>
        </is>
      </c>
    </row>
    <row r="420">
      <c r="A420" s="30" t="inlineStr">
        <is>
          <t>a_courageux_peureux</t>
        </is>
      </c>
      <c r="B420" s="26">
        <f>IFERROR(INDEX(Mots!$B:$B,MATCH($A420,Mots!$A:$A,0)),"introuvable")</f>
        <v/>
      </c>
      <c r="C420" s="30" t="inlineStr">
        <is>
          <t>mots_et_contraire</t>
        </is>
      </c>
    </row>
    <row r="421">
      <c r="A421" s="30" t="inlineStr">
        <is>
          <t>a_dessus_dessous</t>
        </is>
      </c>
      <c r="B421" s="26">
        <f>IFERROR(INDEX(Mots!$B:$B,MATCH($A421,Mots!$A:$A,0)),"introuvable")</f>
        <v/>
      </c>
      <c r="C421" s="30" t="inlineStr">
        <is>
          <t>mots_et_contraire</t>
        </is>
      </c>
    </row>
    <row r="422">
      <c r="A422" s="30" t="inlineStr">
        <is>
          <t>a_devant_derriere</t>
        </is>
      </c>
      <c r="B422" s="26">
        <f>IFERROR(INDEX(Mots!$B:$B,MATCH($A422,Mots!$A:$A,0)),"introuvable")</f>
        <v/>
      </c>
      <c r="C422" s="30" t="inlineStr">
        <is>
          <t>mots_et_contraire</t>
        </is>
      </c>
    </row>
    <row r="423">
      <c r="A423" s="30" t="inlineStr">
        <is>
          <t>a_drole_serieux</t>
        </is>
      </c>
      <c r="B423" s="26">
        <f>IFERROR(INDEX(Mots!$B:$B,MATCH($A423,Mots!$A:$A,0)),"introuvable")</f>
        <v/>
      </c>
      <c r="C423" s="30" t="inlineStr">
        <is>
          <t>mots_et_contraire</t>
        </is>
      </c>
    </row>
    <row r="424">
      <c r="A424" s="30" t="inlineStr">
        <is>
          <t>a_dur_mou</t>
        </is>
      </c>
      <c r="B424" s="26">
        <f>IFERROR(INDEX(Mots!$B:$B,MATCH($A424,Mots!$A:$A,0)),"introuvable")</f>
        <v/>
      </c>
      <c r="C424" s="30" t="inlineStr">
        <is>
          <t>mots_et_contraire</t>
        </is>
      </c>
    </row>
    <row r="425">
      <c r="A425" s="30" t="inlineStr">
        <is>
          <t>a_epais_fin</t>
        </is>
      </c>
      <c r="B425" s="26">
        <f>IFERROR(INDEX(Mots!$B:$B,MATCH($A425,Mots!$A:$A,0)),"introuvable")</f>
        <v/>
      </c>
      <c r="C425" s="30" t="inlineStr">
        <is>
          <t>mots_et_contraire</t>
        </is>
      </c>
    </row>
    <row r="426">
      <c r="A426" s="30" t="inlineStr">
        <is>
          <t>a_facile_difficile</t>
        </is>
      </c>
      <c r="B426" s="26">
        <f>IFERROR(INDEX(Mots!$B:$B,MATCH($A426,Mots!$A:$A,0)),"introuvable")</f>
        <v/>
      </c>
      <c r="C426" s="30" t="inlineStr">
        <is>
          <t>mots_et_contraire</t>
        </is>
      </c>
    </row>
    <row r="427">
      <c r="A427" s="30" t="inlineStr">
        <is>
          <t>a_ferme_ouvert</t>
        </is>
      </c>
      <c r="B427" s="26">
        <f>IFERROR(INDEX(Mots!$B:$B,MATCH($A427,Mots!$A:$A,0)),"introuvable")</f>
        <v/>
      </c>
      <c r="C427" s="30" t="inlineStr">
        <is>
          <t>mots_et_contraire</t>
        </is>
      </c>
    </row>
    <row r="428">
      <c r="A428" s="30" t="inlineStr">
        <is>
          <t>a_fort_faible</t>
        </is>
      </c>
      <c r="B428" s="26">
        <f>IFERROR(INDEX(Mots!$B:$B,MATCH($A428,Mots!$A:$A,0)),"introuvable")</f>
        <v/>
      </c>
      <c r="C428" s="30" t="inlineStr">
        <is>
          <t>mots_et_contraire</t>
        </is>
      </c>
    </row>
    <row r="429">
      <c r="A429" s="30" t="inlineStr">
        <is>
          <t>a_gentil_mechant</t>
        </is>
      </c>
      <c r="B429" s="26">
        <f>IFERROR(INDEX(Mots!$B:$B,MATCH($A429,Mots!$A:$A,0)),"introuvable")</f>
        <v/>
      </c>
      <c r="C429" s="30" t="inlineStr">
        <is>
          <t>mots_et_contraire</t>
        </is>
      </c>
    </row>
    <row r="430">
      <c r="A430" s="30" t="inlineStr">
        <is>
          <t>a_grand_petit</t>
        </is>
      </c>
      <c r="B430" s="26">
        <f>IFERROR(INDEX(Mots!$B:$B,MATCH($A430,Mots!$A:$A,0)),"introuvable")</f>
        <v/>
      </c>
      <c r="C430" s="30" t="inlineStr">
        <is>
          <t>mots_et_contraire</t>
        </is>
      </c>
    </row>
    <row r="431">
      <c r="A431" s="30" t="inlineStr">
        <is>
          <t>a_gros_mince</t>
        </is>
      </c>
      <c r="B431" s="26">
        <f>IFERROR(INDEX(Mots!$B:$B,MATCH($A431,Mots!$A:$A,0)),"introuvable")</f>
        <v/>
      </c>
      <c r="C431" s="30" t="inlineStr">
        <is>
          <t>mots_et_contraire</t>
        </is>
      </c>
    </row>
    <row r="432">
      <c r="A432" s="30" t="inlineStr">
        <is>
          <t>a_haut_bas</t>
        </is>
      </c>
      <c r="B432" s="26">
        <f>IFERROR(INDEX(Mots!$B:$B,MATCH($A432,Mots!$A:$A,0)),"introuvable")</f>
        <v/>
      </c>
      <c r="C432" s="30" t="inlineStr">
        <is>
          <t>mots_et_contraire</t>
        </is>
      </c>
    </row>
    <row r="433">
      <c r="A433" s="30" t="inlineStr">
        <is>
          <t>a_intelligent_bete</t>
        </is>
      </c>
      <c r="B433" s="26">
        <f>IFERROR(INDEX(Mots!$B:$B,MATCH($A433,Mots!$A:$A,0)),"introuvable")</f>
        <v/>
      </c>
      <c r="C433" s="30" t="inlineStr">
        <is>
          <t>mots_et_contraire</t>
        </is>
      </c>
    </row>
    <row r="434">
      <c r="A434" s="30" t="inlineStr">
        <is>
          <t>a_jeune_vieux</t>
        </is>
      </c>
      <c r="B434" s="26">
        <f>IFERROR(INDEX(Mots!$B:$B,MATCH($A434,Mots!$A:$A,0)),"introuvable")</f>
        <v/>
      </c>
      <c r="C434" s="30" t="inlineStr">
        <is>
          <t>mots_et_contraire</t>
        </is>
      </c>
    </row>
    <row r="435">
      <c r="A435" s="30" t="inlineStr">
        <is>
          <t>a_large_etroit</t>
        </is>
      </c>
      <c r="B435" s="26">
        <f>IFERROR(INDEX(Mots!$B:$B,MATCH($A435,Mots!$A:$A,0)),"introuvable")</f>
        <v/>
      </c>
      <c r="C435" s="30" t="inlineStr">
        <is>
          <t>mots_et_contraire</t>
        </is>
      </c>
    </row>
    <row r="436">
      <c r="A436" s="30" t="inlineStr">
        <is>
          <t>a_libre_occupe</t>
        </is>
      </c>
      <c r="B436" s="26">
        <f>IFERROR(INDEX(Mots!$B:$B,MATCH($A436,Mots!$A:$A,0)),"introuvable")</f>
        <v/>
      </c>
      <c r="C436" s="30" t="inlineStr">
        <is>
          <t>mots_et_contraire</t>
        </is>
      </c>
    </row>
    <row r="437">
      <c r="A437" s="30" t="inlineStr">
        <is>
          <t>a_long_court</t>
        </is>
      </c>
      <c r="B437" s="26">
        <f>IFERROR(INDEX(Mots!$B:$B,MATCH($A437,Mots!$A:$A,0)),"introuvable")</f>
        <v/>
      </c>
      <c r="C437" s="30" t="inlineStr">
        <is>
          <t>mots_et_contraire</t>
        </is>
      </c>
    </row>
    <row r="438">
      <c r="A438" s="30" t="inlineStr">
        <is>
          <t>a_lourd_leger</t>
        </is>
      </c>
      <c r="B438" s="26">
        <f>IFERROR(INDEX(Mots!$B:$B,MATCH($A438,Mots!$A:$A,0)),"introuvable")</f>
        <v/>
      </c>
      <c r="C438" s="30" t="inlineStr">
        <is>
          <t>mots_et_contraire</t>
        </is>
      </c>
    </row>
    <row r="439">
      <c r="A439" s="30" t="inlineStr">
        <is>
          <t>a_neuf_use</t>
        </is>
      </c>
      <c r="B439" s="26">
        <f>IFERROR(INDEX(Mots!$B:$B,MATCH($A439,Mots!$A:$A,0)),"introuvable")</f>
        <v/>
      </c>
      <c r="C439" s="30" t="inlineStr">
        <is>
          <t>mots_et_contraire</t>
        </is>
      </c>
    </row>
    <row r="440">
      <c r="A440" s="30" t="inlineStr">
        <is>
          <t>a_nouveau_ancien</t>
        </is>
      </c>
      <c r="B440" s="26">
        <f>IFERROR(INDEX(Mots!$B:$B,MATCH($A440,Mots!$A:$A,0)),"introuvable")</f>
        <v/>
      </c>
      <c r="C440" s="30" t="inlineStr">
        <is>
          <t>mots_et_contraire</t>
        </is>
      </c>
    </row>
    <row r="441">
      <c r="A441" s="30" t="inlineStr">
        <is>
          <t>a_premier_dernier</t>
        </is>
      </c>
      <c r="B441" s="26">
        <f>IFERROR(INDEX(Mots!$B:$B,MATCH($A441,Mots!$A:$A,0)),"introuvable")</f>
        <v/>
      </c>
      <c r="C441" s="30" t="inlineStr">
        <is>
          <t>mots_et_contraire</t>
        </is>
      </c>
    </row>
    <row r="442">
      <c r="A442" s="30" t="inlineStr">
        <is>
          <t>a_proche_eloigne</t>
        </is>
      </c>
      <c r="B442" s="26">
        <f>IFERROR(INDEX(Mots!$B:$B,MATCH($A442,Mots!$A:$A,0)),"introuvable")</f>
        <v/>
      </c>
      <c r="C442" s="30" t="inlineStr">
        <is>
          <t>mots_et_contraire</t>
        </is>
      </c>
    </row>
    <row r="443">
      <c r="A443" s="30" t="inlineStr">
        <is>
          <t>a_propre_sale</t>
        </is>
      </c>
      <c r="B443" s="26">
        <f>IFERROR(INDEX(Mots!$B:$B,MATCH($A443,Mots!$A:$A,0)),"introuvable")</f>
        <v/>
      </c>
      <c r="C443" s="30" t="inlineStr">
        <is>
          <t>mots_et_contraire</t>
        </is>
      </c>
    </row>
    <row r="444">
      <c r="A444" s="30" t="inlineStr">
        <is>
          <t>a_rapide_lent</t>
        </is>
      </c>
      <c r="B444" s="26">
        <f>IFERROR(INDEX(Mots!$B:$B,MATCH($A444,Mots!$A:$A,0)),"introuvable")</f>
        <v/>
      </c>
      <c r="C444" s="30" t="inlineStr">
        <is>
          <t>mots_et_contraire</t>
        </is>
      </c>
    </row>
    <row r="445">
      <c r="A445" s="30" t="inlineStr">
        <is>
          <t>a_riche_pauvre</t>
        </is>
      </c>
      <c r="B445" s="26">
        <f>IFERROR(INDEX(Mots!$B:$B,MATCH($A445,Mots!$A:$A,0)),"introuvable")</f>
        <v/>
      </c>
      <c r="C445" s="30" t="inlineStr">
        <is>
          <t>mots_et_contraire</t>
        </is>
      </c>
    </row>
    <row r="446">
      <c r="A446" s="30" t="inlineStr">
        <is>
          <t>a_sain_malade</t>
        </is>
      </c>
      <c r="B446" s="26">
        <f>IFERROR(INDEX(Mots!$B:$B,MATCH($A446,Mots!$A:$A,0)),"introuvable")</f>
        <v/>
      </c>
      <c r="C446" s="30" t="inlineStr">
        <is>
          <t>mots_et_contraire</t>
        </is>
      </c>
    </row>
    <row r="447">
      <c r="A447" s="30" t="inlineStr">
        <is>
          <t>a_sec_mouille</t>
        </is>
      </c>
      <c r="B447" s="26">
        <f>IFERROR(INDEX(Mots!$B:$B,MATCH($A447,Mots!$A:$A,0)),"introuvable")</f>
        <v/>
      </c>
      <c r="C447" s="30" t="inlineStr">
        <is>
          <t>mots_et_contraire</t>
        </is>
      </c>
    </row>
    <row r="448">
      <c r="A448" s="30" t="inlineStr">
        <is>
          <t>a_silencieux_bruyant</t>
        </is>
      </c>
      <c r="B448" s="26">
        <f>IFERROR(INDEX(Mots!$B:$B,MATCH($A448,Mots!$A:$A,0)),"introuvable")</f>
        <v/>
      </c>
      <c r="C448" s="30" t="inlineStr">
        <is>
          <t>mots_et_contraire</t>
        </is>
      </c>
    </row>
    <row r="449">
      <c r="A449" s="30" t="inlineStr">
        <is>
          <t>a_sucre_sale</t>
        </is>
      </c>
      <c r="B449" s="26">
        <f>IFERROR(INDEX(Mots!$B:$B,MATCH($A449,Mots!$A:$A,0)),"introuvable")</f>
        <v/>
      </c>
      <c r="C449" s="30" t="inlineStr">
        <is>
          <t>mots_et_contraire</t>
        </is>
      </c>
    </row>
    <row r="450">
      <c r="A450" s="30" t="inlineStr">
        <is>
          <t>a_vide_plein</t>
        </is>
      </c>
      <c r="B450" s="26">
        <f>IFERROR(INDEX(Mots!$B:$B,MATCH($A450,Mots!$A:$A,0)),"introuvable")</f>
        <v/>
      </c>
      <c r="C450" s="30" t="inlineStr">
        <is>
          <t>mots_et_contraire</t>
        </is>
      </c>
    </row>
    <row r="451">
      <c r="A451" s="30" t="inlineStr">
        <is>
          <t>a_vrai_faux</t>
        </is>
      </c>
      <c r="B451" s="26">
        <f>IFERROR(INDEX(Mots!$B:$B,MATCH($A451,Mots!$A:$A,0)),"introuvable")</f>
        <v/>
      </c>
      <c r="C451" s="30" t="inlineStr">
        <is>
          <t>mots_et_contraire</t>
        </is>
      </c>
    </row>
    <row r="452">
      <c r="A452" s="30" t="inlineStr">
        <is>
          <t>f_carre</t>
        </is>
      </c>
      <c r="B452" s="26">
        <f>IFERROR(INDEX(Mots!$B:$B,MATCH($A452,Mots!$A:$A,0)),"introuvable")</f>
        <v/>
      </c>
      <c r="C452" s="30" t="inlineStr">
        <is>
          <t>mot_forme</t>
        </is>
      </c>
    </row>
    <row r="453">
      <c r="A453" s="30" t="inlineStr">
        <is>
          <t>f_triangle</t>
        </is>
      </c>
      <c r="B453" s="26">
        <f>IFERROR(INDEX(Mots!$B:$B,MATCH($A453,Mots!$A:$A,0)),"introuvable")</f>
        <v/>
      </c>
      <c r="C453" s="30" t="inlineStr">
        <is>
          <t>mot_forme</t>
        </is>
      </c>
    </row>
    <row r="454">
      <c r="A454" s="30" t="inlineStr">
        <is>
          <t>courbe</t>
        </is>
      </c>
      <c r="B454" s="26">
        <f>IFERROR(INDEX(Mots!$B:$B,MATCH($A454,Mots!$A:$A,0)),"introuvable")</f>
        <v/>
      </c>
      <c r="C454" s="30" t="inlineStr">
        <is>
          <t>mot_forme</t>
        </is>
      </c>
    </row>
    <row r="455">
      <c r="A455" s="30" t="inlineStr">
        <is>
          <t>droit</t>
        </is>
      </c>
      <c r="B455" s="26">
        <f>IFERROR(INDEX(Mots!$B:$B,MATCH($A455,Mots!$A:$A,0)),"introuvable")</f>
        <v/>
      </c>
      <c r="C455" s="30" t="inlineStr">
        <is>
          <t>mot_forme</t>
        </is>
      </c>
    </row>
    <row r="456">
      <c r="A456" s="30" t="inlineStr">
        <is>
          <t>hauteur</t>
        </is>
      </c>
      <c r="B456" s="26">
        <f>IFERROR(INDEX(Mots!$B:$B,MATCH($A456,Mots!$A:$A,0)),"introuvable")</f>
        <v/>
      </c>
      <c r="C456" s="30" t="inlineStr">
        <is>
          <t>mot_forme</t>
        </is>
      </c>
    </row>
    <row r="457">
      <c r="A457" s="30" t="inlineStr">
        <is>
          <t>largeur</t>
        </is>
      </c>
      <c r="B457" s="26">
        <f>IFERROR(INDEX(Mots!$B:$B,MATCH($A457,Mots!$A:$A,0)),"introuvable")</f>
        <v/>
      </c>
      <c r="C457" s="30" t="inlineStr">
        <is>
          <t>mot_forme</t>
        </is>
      </c>
    </row>
    <row r="458">
      <c r="A458" s="30" t="inlineStr">
        <is>
          <t>longueur</t>
        </is>
      </c>
      <c r="B458" s="26">
        <f>IFERROR(INDEX(Mots!$B:$B,MATCH($A458,Mots!$A:$A,0)),"introuvable")</f>
        <v/>
      </c>
      <c r="C458" s="30" t="inlineStr">
        <is>
          <t>mot_forme</t>
        </is>
      </c>
    </row>
    <row r="459">
      <c r="A459" s="30" t="inlineStr">
        <is>
          <t>cercle</t>
        </is>
      </c>
      <c r="B459" s="26">
        <f>IFERROR(INDEX(Mots!$B:$B,MATCH($A459,Mots!$A:$A,0)),"introuvable")</f>
        <v/>
      </c>
      <c r="C459" s="30" t="inlineStr">
        <is>
          <t>mot_forme</t>
        </is>
      </c>
    </row>
    <row r="460">
      <c r="A460" s="30" t="inlineStr">
        <is>
          <t>rectangle</t>
        </is>
      </c>
      <c r="B460" s="26">
        <f>IFERROR(INDEX(Mots!$B:$B,MATCH($A460,Mots!$A:$A,0)),"introuvable")</f>
        <v/>
      </c>
      <c r="C460" s="30" t="inlineStr">
        <is>
          <t>mot_forme</t>
        </is>
      </c>
    </row>
    <row r="461">
      <c r="A461" s="30" t="inlineStr">
        <is>
          <t>epaisseur</t>
        </is>
      </c>
      <c r="B461" s="26">
        <f>IFERROR(INDEX(Mots!$B:$B,MATCH($A461,Mots!$A:$A,0)),"introuvable")</f>
        <v/>
      </c>
      <c r="C461" s="30" t="inlineStr">
        <is>
          <t>mot_forme</t>
        </is>
      </c>
    </row>
    <row r="462">
      <c r="A462" s="30" t="inlineStr">
        <is>
          <t>pointu</t>
        </is>
      </c>
      <c r="B462" s="26">
        <f>IFERROR(INDEX(Mots!$B:$B,MATCH($A462,Mots!$A:$A,0)),"introuvable")</f>
        <v/>
      </c>
      <c r="C462" s="30" t="inlineStr">
        <is>
          <t>mot_forme</t>
        </is>
      </c>
    </row>
    <row r="463">
      <c r="A463" s="30" t="inlineStr">
        <is>
          <t>rond</t>
        </is>
      </c>
      <c r="B463" s="26">
        <f>IFERROR(INDEX(Mots!$B:$B,MATCH($A463,Mots!$A:$A,0)),"introuvable")</f>
        <v/>
      </c>
      <c r="C463" s="30" t="inlineStr">
        <is>
          <t>mot_forme</t>
        </is>
      </c>
    </row>
    <row r="464">
      <c r="A464" s="30" t="inlineStr">
        <is>
          <t>aigle</t>
        </is>
      </c>
      <c r="B464" s="26">
        <f>IFERROR(INDEX(Mots!$B:$B,MATCH($A464,Mots!$A:$A,0)),"introuvable")</f>
        <v/>
      </c>
      <c r="C464" s="30" t="inlineStr">
        <is>
          <t>oiseaux</t>
        </is>
      </c>
    </row>
    <row r="465">
      <c r="A465" s="30" t="inlineStr">
        <is>
          <t>gypaete_barbu</t>
        </is>
      </c>
      <c r="B465" s="26">
        <f>IFERROR(INDEX(Mots!$B:$B,MATCH($A465,Mots!$A:$A,0)),"introuvable")</f>
        <v/>
      </c>
      <c r="C465" s="30" t="inlineStr">
        <is>
          <t>oiseaux</t>
        </is>
      </c>
    </row>
    <row r="466">
      <c r="A466" s="30" t="inlineStr">
        <is>
          <t>moineau</t>
        </is>
      </c>
      <c r="B466" s="26">
        <f>IFERROR(INDEX(Mots!$B:$B,MATCH($A466,Mots!$A:$A,0)),"introuvable")</f>
        <v/>
      </c>
      <c r="C466" s="30" t="inlineStr">
        <is>
          <t>oiseaux</t>
        </is>
      </c>
    </row>
    <row r="467">
      <c r="A467" s="30" t="inlineStr">
        <is>
          <t>pigeon</t>
        </is>
      </c>
      <c r="B467" s="26">
        <f>IFERROR(INDEX(Mots!$B:$B,MATCH($A467,Mots!$A:$A,0)),"introuvable")</f>
        <v/>
      </c>
      <c r="C467" s="30" t="inlineStr">
        <is>
          <t>oiseaux</t>
        </is>
      </c>
    </row>
    <row r="468">
      <c r="A468" s="30" t="inlineStr">
        <is>
          <t>pizza</t>
        </is>
      </c>
      <c r="B468" s="26">
        <f>IFERROR(INDEX(Mots!$B:$B,MATCH($A468,Mots!$A:$A,0)),"introuvable")</f>
        <v/>
      </c>
      <c r="C468" s="30" t="inlineStr">
        <is>
          <t>pâtes</t>
        </is>
      </c>
    </row>
    <row r="469">
      <c r="A469" s="30" t="inlineStr">
        <is>
          <t>lasagnes</t>
        </is>
      </c>
      <c r="B469" s="26">
        <f>IFERROR(INDEX(Mots!$B:$B,MATCH($A469,Mots!$A:$A,0)),"introuvable")</f>
        <v/>
      </c>
      <c r="C469" s="30" t="inlineStr">
        <is>
          <t>pâtes</t>
        </is>
      </c>
    </row>
    <row r="470">
      <c r="A470" s="30" t="inlineStr">
        <is>
          <t>cornette_pate</t>
        </is>
      </c>
      <c r="B470" s="26">
        <f>IFERROR(INDEX(Mots!$B:$B,MATCH($A470,Mots!$A:$A,0)),"introuvable")</f>
        <v/>
      </c>
      <c r="C470" s="30" t="inlineStr">
        <is>
          <t>pâtes</t>
        </is>
      </c>
    </row>
    <row r="471">
      <c r="A471" s="30" t="inlineStr">
        <is>
          <t>spaghetti</t>
        </is>
      </c>
      <c r="B471" s="26">
        <f>IFERROR(INDEX(Mots!$B:$B,MATCH($A471,Mots!$A:$A,0)),"introuvable")</f>
        <v/>
      </c>
      <c r="C471" s="30" t="inlineStr">
        <is>
          <t>pâtes</t>
        </is>
      </c>
    </row>
    <row r="472">
      <c r="A472" s="30" t="inlineStr">
        <is>
          <t>penne_pate</t>
        </is>
      </c>
      <c r="B472" s="26">
        <f>IFERROR(INDEX(Mots!$B:$B,MATCH($A472,Mots!$A:$A,0)),"introuvable")</f>
        <v/>
      </c>
      <c r="C472" s="30" t="inlineStr">
        <is>
          <t>pâtes</t>
        </is>
      </c>
    </row>
    <row r="473">
      <c r="A473" s="30" t="inlineStr">
        <is>
          <t>oeuf_au_plat</t>
        </is>
      </c>
      <c r="B473" s="26">
        <f>IFERROR(INDEX(Mots!$B:$B,MATCH($A473,Mots!$A:$A,0)),"introuvable")</f>
        <v/>
      </c>
      <c r="C473" s="30" t="inlineStr">
        <is>
          <t>plats_nourr</t>
        </is>
      </c>
    </row>
    <row r="474">
      <c r="A474" s="30" t="inlineStr">
        <is>
          <t>omelette</t>
        </is>
      </c>
      <c r="B474" s="26">
        <f>IFERROR(INDEX(Mots!$B:$B,MATCH($A474,Mots!$A:$A,0)),"introuvable")</f>
        <v/>
      </c>
      <c r="C474" s="30" t="inlineStr">
        <is>
          <t>plats_nourr</t>
        </is>
      </c>
    </row>
    <row r="475">
      <c r="A475" s="30" t="inlineStr">
        <is>
          <t>polenta</t>
        </is>
      </c>
      <c r="B475" s="26">
        <f>IFERROR(INDEX(Mots!$B:$B,MATCH($A475,Mots!$A:$A,0)),"introuvable")</f>
        <v/>
      </c>
      <c r="C475" s="30" t="inlineStr">
        <is>
          <t>plats_nourr</t>
        </is>
      </c>
    </row>
    <row r="476">
      <c r="A476" s="30" t="inlineStr">
        <is>
          <t>fondue</t>
        </is>
      </c>
      <c r="B476" s="26">
        <f>IFERROR(INDEX(Mots!$B:$B,MATCH($A476,Mots!$A:$A,0)),"introuvable")</f>
        <v/>
      </c>
      <c r="C476" s="30" t="inlineStr">
        <is>
          <t>plats_nourr</t>
        </is>
      </c>
    </row>
    <row r="477">
      <c r="A477" s="30" t="inlineStr">
        <is>
          <t>raclette</t>
        </is>
      </c>
      <c r="B477" s="26">
        <f>IFERROR(INDEX(Mots!$B:$B,MATCH($A477,Mots!$A:$A,0)),"introuvable")</f>
        <v/>
      </c>
      <c r="C477" s="30" t="inlineStr">
        <is>
          <t>plats_nourr</t>
        </is>
      </c>
    </row>
    <row r="478">
      <c r="A478" s="30" t="inlineStr">
        <is>
          <t>soupe</t>
        </is>
      </c>
      <c r="B478" s="26">
        <f>IFERROR(INDEX(Mots!$B:$B,MATCH($A478,Mots!$A:$A,0)),"introuvable")</f>
        <v/>
      </c>
      <c r="C478" s="30" t="inlineStr">
        <is>
          <t>plats_nourr</t>
        </is>
      </c>
    </row>
    <row r="479">
      <c r="A479" s="30" t="inlineStr">
        <is>
          <t>filets_de_perche</t>
        </is>
      </c>
      <c r="B479" s="26">
        <f>IFERROR(INDEX(Mots!$B:$B,MATCH($A479,Mots!$A:$A,0)),"introuvable")</f>
        <v/>
      </c>
      <c r="C479" s="30" t="inlineStr">
        <is>
          <t>plats_nourr</t>
        </is>
      </c>
    </row>
    <row r="480">
      <c r="A480" s="30" t="inlineStr">
        <is>
          <t>filet_de_truite</t>
        </is>
      </c>
      <c r="B480" s="26">
        <f>IFERROR(INDEX(Mots!$B:$B,MATCH($A480,Mots!$A:$A,0)),"introuvable")</f>
        <v/>
      </c>
      <c r="C480" s="30" t="inlineStr">
        <is>
          <t>plats_nourr</t>
        </is>
      </c>
    </row>
    <row r="481">
      <c r="A481" s="30" t="inlineStr">
        <is>
          <t>ami</t>
        </is>
      </c>
      <c r="B481" s="26">
        <f>IFERROR(INDEX(Mots!$B:$B,MATCH($A481,Mots!$A:$A,0)),"introuvable")</f>
        <v/>
      </c>
      <c r="C481" s="30" t="inlineStr">
        <is>
          <t>relationnelles</t>
        </is>
      </c>
    </row>
    <row r="482">
      <c r="A482" s="30" t="inlineStr">
        <is>
          <t>banque</t>
        </is>
      </c>
      <c r="B482" s="26">
        <f>IFERROR(INDEX(Mots!$B:$B,MATCH($A482,Mots!$A:$A,0)),"introuvable")</f>
        <v/>
      </c>
      <c r="C482" s="30" t="inlineStr">
        <is>
          <t>services</t>
        </is>
      </c>
    </row>
    <row r="483">
      <c r="A483" s="30" t="inlineStr">
        <is>
          <t>magasin</t>
        </is>
      </c>
      <c r="B483" s="26">
        <f>IFERROR(INDEX(Mots!$B:$B,MATCH($A483,Mots!$A:$A,0)),"introuvable")</f>
        <v/>
      </c>
      <c r="C483" s="30" t="inlineStr">
        <is>
          <t>services</t>
        </is>
      </c>
      <c r="D483" s="30" t="inlineStr">
        <is>
          <t>batiments</t>
        </is>
      </c>
    </row>
    <row r="484">
      <c r="A484" s="30" t="inlineStr">
        <is>
          <t>marche</t>
        </is>
      </c>
      <c r="B484" s="26">
        <f>IFERROR(INDEX(Mots!$B:$B,MATCH($A484,Mots!$A:$A,0)),"introuvable")</f>
        <v/>
      </c>
      <c r="C484" s="30" t="inlineStr">
        <is>
          <t>services</t>
        </is>
      </c>
    </row>
    <row r="485">
      <c r="A485" s="30" t="inlineStr">
        <is>
          <t>restaurant</t>
        </is>
      </c>
      <c r="B485" s="26">
        <f>IFERROR(INDEX(Mots!$B:$B,MATCH($A485,Mots!$A:$A,0)),"introuvable")</f>
        <v/>
      </c>
      <c r="C485" s="30" t="inlineStr">
        <is>
          <t>services</t>
        </is>
      </c>
    </row>
    <row r="486">
      <c r="A486" s="30" t="inlineStr">
        <is>
          <t>hotel</t>
        </is>
      </c>
      <c r="B486" s="26">
        <f>IFERROR(INDEX(Mots!$B:$B,MATCH($A486,Mots!$A:$A,0)),"introuvable")</f>
        <v/>
      </c>
      <c r="C486" s="30" t="inlineStr">
        <is>
          <t>services</t>
        </is>
      </c>
    </row>
    <row r="487">
      <c r="A487" s="30" t="inlineStr">
        <is>
          <t>salle_de_bain</t>
        </is>
      </c>
      <c r="B487" s="26">
        <f>IFERROR(INDEX(Mots!$B:$B,MATCH($A487,Mots!$A:$A,0)),"introuvable")</f>
        <v/>
      </c>
      <c r="C487" s="30" t="inlineStr">
        <is>
          <t>sdb_maison</t>
        </is>
      </c>
    </row>
    <row r="488">
      <c r="A488" s="30" t="inlineStr">
        <is>
          <t>lavabo</t>
        </is>
      </c>
      <c r="B488" s="26">
        <f>IFERROR(INDEX(Mots!$B:$B,MATCH($A488,Mots!$A:$A,0)),"introuvable")</f>
        <v/>
      </c>
      <c r="C488" s="30" t="inlineStr">
        <is>
          <t>sdb_maison</t>
        </is>
      </c>
    </row>
    <row r="489">
      <c r="A489" s="30" t="inlineStr">
        <is>
          <t>savon</t>
        </is>
      </c>
      <c r="B489" s="26">
        <f>IFERROR(INDEX(Mots!$B:$B,MATCH($A489,Mots!$A:$A,0)),"introuvable")</f>
        <v/>
      </c>
      <c r="C489" s="30" t="inlineStr">
        <is>
          <t>sdb_maison</t>
        </is>
      </c>
    </row>
    <row r="490">
      <c r="A490" s="30" t="inlineStr">
        <is>
          <t>miroir</t>
        </is>
      </c>
      <c r="B490" s="26">
        <f>IFERROR(INDEX(Mots!$B:$B,MATCH($A490,Mots!$A:$A,0)),"introuvable")</f>
        <v/>
      </c>
      <c r="C490" s="30" t="inlineStr">
        <is>
          <t>sdb_maison</t>
        </is>
      </c>
    </row>
    <row r="491">
      <c r="A491" s="30" t="inlineStr">
        <is>
          <t>wc</t>
        </is>
      </c>
      <c r="B491" s="26">
        <f>IFERROR(INDEX(Mots!$B:$B,MATCH($A491,Mots!$A:$A,0)),"introuvable")</f>
        <v/>
      </c>
      <c r="C491" s="30" t="inlineStr">
        <is>
          <t>sdb_maison</t>
        </is>
      </c>
    </row>
    <row r="492">
      <c r="A492" s="30" t="inlineStr">
        <is>
          <t>douche</t>
        </is>
      </c>
      <c r="B492" s="26">
        <f>IFERROR(INDEX(Mots!$B:$B,MATCH($A492,Mots!$A:$A,0)),"introuvable")</f>
        <v/>
      </c>
      <c r="C492" s="30" t="inlineStr">
        <is>
          <t>sdb_maison</t>
        </is>
      </c>
    </row>
    <row r="493">
      <c r="A493" s="30" t="inlineStr">
        <is>
          <t>baignoire</t>
        </is>
      </c>
      <c r="B493" s="26">
        <f>IFERROR(INDEX(Mots!$B:$B,MATCH($A493,Mots!$A:$A,0)),"introuvable")</f>
        <v/>
      </c>
      <c r="C493" s="30" t="inlineStr">
        <is>
          <t>sdb_maison</t>
        </is>
      </c>
    </row>
    <row r="494">
      <c r="A494" s="30" t="inlineStr">
        <is>
          <t>rasoir</t>
        </is>
      </c>
      <c r="B494" s="26">
        <f>IFERROR(INDEX(Mots!$B:$B,MATCH($A494,Mots!$A:$A,0)),"introuvable")</f>
        <v/>
      </c>
      <c r="C494" s="30" t="inlineStr">
        <is>
          <t>sdb_maison</t>
        </is>
      </c>
    </row>
    <row r="495">
      <c r="A495" s="30" t="inlineStr">
        <is>
          <t>deodorant</t>
        </is>
      </c>
      <c r="B495" s="26">
        <f>IFERROR(INDEX(Mots!$B:$B,MATCH($A495,Mots!$A:$A,0)),"introuvable")</f>
        <v/>
      </c>
      <c r="C495" s="30" t="inlineStr">
        <is>
          <t>sdb_maison</t>
        </is>
      </c>
    </row>
    <row r="496">
      <c r="A496" s="30" t="inlineStr">
        <is>
          <t>dentifrice</t>
        </is>
      </c>
      <c r="B496" s="26">
        <f>IFERROR(INDEX(Mots!$B:$B,MATCH($A496,Mots!$A:$A,0)),"introuvable")</f>
        <v/>
      </c>
      <c r="C496" s="30" t="inlineStr">
        <is>
          <t>sdb_maison</t>
        </is>
      </c>
    </row>
    <row r="497">
      <c r="A497" s="30" t="inlineStr">
        <is>
          <t>brosse_a_dents</t>
        </is>
      </c>
      <c r="B497" s="26">
        <f>IFERROR(INDEX(Mots!$B:$B,MATCH($A497,Mots!$A:$A,0)),"introuvable")</f>
        <v/>
      </c>
      <c r="C497" s="30" t="inlineStr">
        <is>
          <t>sdb_maison</t>
        </is>
      </c>
    </row>
    <row r="498">
      <c r="A498" s="30" t="inlineStr">
        <is>
          <t>branche</t>
        </is>
      </c>
      <c r="B498" s="26">
        <f>IFERROR(INDEX(Mots!$B:$B,MATCH($A498,Mots!$A:$A,0)),"introuvable")</f>
        <v/>
      </c>
      <c r="C498" s="30" t="inlineStr">
        <is>
          <t>vegetaux</t>
        </is>
      </c>
    </row>
    <row r="499">
      <c r="A499" s="30" t="inlineStr">
        <is>
          <t>fleur</t>
        </is>
      </c>
      <c r="B499" s="26">
        <f>IFERROR(INDEX(Mots!$B:$B,MATCH($A499,Mots!$A:$A,0)),"introuvable")</f>
        <v/>
      </c>
      <c r="C499" s="30" t="inlineStr">
        <is>
          <t>vegetaux</t>
        </is>
      </c>
    </row>
    <row r="500">
      <c r="A500" s="30" t="inlineStr">
        <is>
          <t>plante</t>
        </is>
      </c>
      <c r="B500" s="26">
        <f>IFERROR(INDEX(Mots!$B:$B,MATCH($A500,Mots!$A:$A,0)),"introuvable")</f>
        <v/>
      </c>
      <c r="C500" s="30" t="inlineStr">
        <is>
          <t>vegetaux</t>
        </is>
      </c>
    </row>
    <row r="501">
      <c r="A501" s="30" t="inlineStr">
        <is>
          <t>arbre</t>
        </is>
      </c>
      <c r="B501" s="26">
        <f>IFERROR(INDEX(Mots!$B:$B,MATCH($A501,Mots!$A:$A,0)),"introuvable")</f>
        <v/>
      </c>
      <c r="C501" s="30" t="inlineStr">
        <is>
          <t>vegetaux</t>
        </is>
      </c>
    </row>
    <row r="502">
      <c r="A502" s="30" t="inlineStr">
        <is>
          <t>feuilles</t>
        </is>
      </c>
      <c r="B502" s="26">
        <f>IFERROR(INDEX(Mots!$B:$B,MATCH($A502,Mots!$A:$A,0)),"introuvable")</f>
        <v/>
      </c>
      <c r="C502" s="30" t="inlineStr">
        <is>
          <t>vegetaux</t>
        </is>
      </c>
    </row>
    <row r="503">
      <c r="A503" s="30" t="inlineStr">
        <is>
          <t>herbe</t>
        </is>
      </c>
      <c r="B503" s="26">
        <f>IFERROR(INDEX(Mots!$B:$B,MATCH($A503,Mots!$A:$A,0)),"introuvable")</f>
        <v/>
      </c>
      <c r="C503" s="30" t="inlineStr">
        <is>
          <t>vegetaux</t>
        </is>
      </c>
    </row>
    <row r="504">
      <c r="A504" s="30" t="inlineStr">
        <is>
          <t>velo</t>
        </is>
      </c>
      <c r="B504" s="26">
        <f>IFERROR(INDEX(Mots!$B:$B,MATCH($A504,Mots!$A:$A,0)),"introuvable")</f>
        <v/>
      </c>
      <c r="C504" s="30" t="inlineStr">
        <is>
          <t>vehicules_terrestres</t>
        </is>
      </c>
    </row>
    <row r="505">
      <c r="A505" s="30" t="inlineStr">
        <is>
          <t>moto</t>
        </is>
      </c>
      <c r="B505" s="26">
        <f>IFERROR(INDEX(Mots!$B:$B,MATCH($A505,Mots!$A:$A,0)),"introuvable")</f>
        <v/>
      </c>
      <c r="C505" s="30" t="inlineStr">
        <is>
          <t>vehicules_terrestres</t>
        </is>
      </c>
    </row>
    <row r="506">
      <c r="A506" s="30" t="inlineStr">
        <is>
          <t>voiture</t>
        </is>
      </c>
      <c r="B506" s="26">
        <f>IFERROR(INDEX(Mots!$B:$B,MATCH($A506,Mots!$A:$A,0)),"introuvable")</f>
        <v/>
      </c>
      <c r="C506" s="30" t="inlineStr">
        <is>
          <t>vehicules_terrestres</t>
        </is>
      </c>
    </row>
    <row r="507">
      <c r="A507" s="30" t="inlineStr">
        <is>
          <t>pickup</t>
        </is>
      </c>
      <c r="B507" s="26">
        <f>IFERROR(INDEX(Mots!$B:$B,MATCH($A507,Mots!$A:$A,0)),"introuvable")</f>
        <v/>
      </c>
      <c r="C507" s="30" t="inlineStr">
        <is>
          <t>vehicules_terrestres</t>
        </is>
      </c>
    </row>
    <row r="508">
      <c r="A508" s="30" t="inlineStr">
        <is>
          <t>car_postal</t>
        </is>
      </c>
      <c r="B508" s="26">
        <f>IFERROR(INDEX(Mots!$B:$B,MATCH($A508,Mots!$A:$A,0)),"introuvable")</f>
        <v/>
      </c>
      <c r="C508" s="30" t="inlineStr">
        <is>
          <t>vehicules_terrestres</t>
        </is>
      </c>
    </row>
    <row r="509">
      <c r="A509" s="30" t="inlineStr">
        <is>
          <t>camion</t>
        </is>
      </c>
      <c r="B509" s="26">
        <f>IFERROR(INDEX(Mots!$B:$B,MATCH($A509,Mots!$A:$A,0)),"introuvable")</f>
        <v/>
      </c>
      <c r="C509" s="30" t="inlineStr">
        <is>
          <t>vehicules_terrestres</t>
        </is>
      </c>
    </row>
    <row r="510">
      <c r="A510" s="30" t="inlineStr">
        <is>
          <t>tracteur</t>
        </is>
      </c>
      <c r="B510" s="26">
        <f>IFERROR(INDEX(Mots!$B:$B,MATCH($A510,Mots!$A:$A,0)),"introuvable")</f>
        <v/>
      </c>
      <c r="C510" s="30" t="inlineStr">
        <is>
          <t>vehicules_terrestres</t>
        </is>
      </c>
    </row>
    <row r="511">
      <c r="A511" s="30" t="inlineStr">
        <is>
          <t>train</t>
        </is>
      </c>
      <c r="B511" s="26">
        <f>IFERROR(INDEX(Mots!$B:$B,MATCH($A511,Mots!$A:$A,0)),"introuvable")</f>
        <v/>
      </c>
      <c r="C511" s="30" t="inlineStr">
        <is>
          <t>vehicules_terrestres</t>
        </is>
      </c>
    </row>
    <row r="512">
      <c r="A512" s="30" t="inlineStr">
        <is>
          <t>route</t>
        </is>
      </c>
      <c r="B512" s="26">
        <f>IFERROR(INDEX(Mots!$B:$B,MATCH($A512,Mots!$A:$A,0)),"introuvable")</f>
        <v/>
      </c>
      <c r="C512" s="30" t="inlineStr">
        <is>
          <t>vehicules_terrestres</t>
        </is>
      </c>
    </row>
    <row r="513">
      <c r="A513" s="30" t="inlineStr">
        <is>
          <t>feux_circulation</t>
        </is>
      </c>
      <c r="B513" s="26">
        <f>IFERROR(INDEX(Mots!$B:$B,MATCH($A513,Mots!$A:$A,0)),"introuvable")</f>
        <v/>
      </c>
      <c r="C513" s="30" t="inlineStr">
        <is>
          <t>vehicules_terrestres</t>
        </is>
      </c>
    </row>
    <row r="514">
      <c r="A514" s="30" t="inlineStr">
        <is>
          <t>avion</t>
        </is>
      </c>
      <c r="B514" s="26">
        <f>IFERROR(INDEX(Mots!$B:$B,MATCH($A514,Mots!$A:$A,0)),"introuvable")</f>
        <v/>
      </c>
      <c r="C514" s="30" t="inlineStr">
        <is>
          <t>transport_aérien_maritime</t>
        </is>
      </c>
    </row>
    <row r="515">
      <c r="A515" s="30" t="inlineStr">
        <is>
          <t>helicoptere</t>
        </is>
      </c>
      <c r="B515" s="26">
        <f>IFERROR(INDEX(Mots!$B:$B,MATCH($A515,Mots!$A:$A,0)),"introuvable")</f>
        <v/>
      </c>
      <c r="C515" s="30" t="inlineStr">
        <is>
          <t>transport_aérien_maritime</t>
        </is>
      </c>
    </row>
    <row r="516">
      <c r="A516" s="30" t="inlineStr">
        <is>
          <t>bateau</t>
        </is>
      </c>
      <c r="B516" s="26">
        <f>IFERROR(INDEX(Mots!$B:$B,MATCH($A516,Mots!$A:$A,0)),"introuvable")</f>
        <v/>
      </c>
      <c r="C516" s="30" t="inlineStr">
        <is>
          <t>transport_aérien_maritime</t>
        </is>
      </c>
    </row>
    <row r="517">
      <c r="A517" s="30" t="inlineStr">
        <is>
          <t>roti_de_boeuf</t>
        </is>
      </c>
      <c r="B517" s="26">
        <f>IFERROR(INDEX(Mots!$B:$B,MATCH($A517,Mots!$A:$A,0)),"introuvable")</f>
        <v/>
      </c>
      <c r="C517" s="30" t="inlineStr">
        <is>
          <t>plats_nourr</t>
        </is>
      </c>
    </row>
    <row r="518">
      <c r="A518" s="30" t="inlineStr">
        <is>
          <t>boeuf</t>
        </is>
      </c>
      <c r="B518" s="26">
        <f>IFERROR(INDEX(Mots!$B:$B,MATCH($A518,Mots!$A:$A,0)),"introuvable")</f>
        <v/>
      </c>
      <c r="C518" s="30" t="inlineStr">
        <is>
          <t>viandes</t>
        </is>
      </c>
    </row>
    <row r="519">
      <c r="A519" s="30" t="inlineStr">
        <is>
          <t>steack_de_boeuf_frites</t>
        </is>
      </c>
      <c r="B519" s="26">
        <f>IFERROR(INDEX(Mots!$B:$B,MATCH($A519,Mots!$A:$A,0)),"introuvable")</f>
        <v/>
      </c>
      <c r="C519" s="30" t="inlineStr">
        <is>
          <t>plats_nourr</t>
        </is>
      </c>
    </row>
    <row r="520">
      <c r="A520" s="30" t="inlineStr">
        <is>
          <t>porc</t>
        </is>
      </c>
      <c r="B520" s="26">
        <f>IFERROR(INDEX(Mots!$B:$B,MATCH($A520,Mots!$A:$A,0)),"introuvable")</f>
        <v/>
      </c>
      <c r="C520" s="30" t="inlineStr">
        <is>
          <t>viandes</t>
        </is>
      </c>
    </row>
    <row r="521">
      <c r="A521" s="30" t="inlineStr">
        <is>
          <t>filet_mignon_de_porc</t>
        </is>
      </c>
      <c r="B521" s="26">
        <f>IFERROR(INDEX(Mots!$B:$B,MATCH($A521,Mots!$A:$A,0)),"introuvable")</f>
        <v/>
      </c>
      <c r="C521" s="30" t="inlineStr">
        <is>
          <t>plats_nourr</t>
        </is>
      </c>
    </row>
    <row r="522">
      <c r="A522" s="30" t="inlineStr">
        <is>
          <t>roti_de_porc</t>
        </is>
      </c>
      <c r="B522" s="26">
        <f>IFERROR(INDEX(Mots!$B:$B,MATCH($A522,Mots!$A:$A,0)),"introuvable")</f>
        <v/>
      </c>
      <c r="C522" s="30" t="inlineStr">
        <is>
          <t>plats_nourr</t>
        </is>
      </c>
    </row>
    <row r="523">
      <c r="A523" s="30" t="inlineStr">
        <is>
          <t>cotelette_de_porc</t>
        </is>
      </c>
      <c r="B523" s="26">
        <f>IFERROR(INDEX(Mots!$B:$B,MATCH($A523,Mots!$A:$A,0)),"introuvable")</f>
        <v/>
      </c>
      <c r="C523" s="30" t="inlineStr">
        <is>
          <t>plats_nourr</t>
        </is>
      </c>
    </row>
    <row r="524">
      <c r="A524" s="30" t="inlineStr">
        <is>
          <t>poulet</t>
        </is>
      </c>
      <c r="B524" s="26">
        <f>IFERROR(INDEX(Mots!$B:$B,MATCH($A524,Mots!$A:$A,0)),"introuvable")</f>
        <v/>
      </c>
      <c r="C524" s="30" t="inlineStr">
        <is>
          <t>viandes</t>
        </is>
      </c>
    </row>
    <row r="525">
      <c r="A525" s="30" t="inlineStr">
        <is>
          <t>blanc_de_poulet</t>
        </is>
      </c>
      <c r="B525" s="26">
        <f>IFERROR(INDEX(Mots!$B:$B,MATCH($A525,Mots!$A:$A,0)),"introuvable")</f>
        <v/>
      </c>
      <c r="C525" s="30" t="inlineStr">
        <is>
          <t>plats_nourr</t>
        </is>
      </c>
    </row>
    <row r="526">
      <c r="A526" s="30" t="inlineStr">
        <is>
          <t>cuisse_de_poulet</t>
        </is>
      </c>
      <c r="B526" s="26">
        <f>IFERROR(INDEX(Mots!$B:$B,MATCH($A526,Mots!$A:$A,0)),"introuvable")</f>
        <v/>
      </c>
      <c r="C526" s="30" t="inlineStr">
        <is>
          <t>plats_nourr</t>
        </is>
      </c>
    </row>
    <row r="527">
      <c r="A527" s="30" t="inlineStr">
        <is>
          <t>poulet_au_curry</t>
        </is>
      </c>
      <c r="B527" s="26">
        <f>IFERROR(INDEX(Mots!$B:$B,MATCH($A527,Mots!$A:$A,0)),"introuvable")</f>
        <v/>
      </c>
      <c r="C527" s="30" t="inlineStr">
        <is>
          <t>plats_nourr</t>
        </is>
      </c>
    </row>
    <row r="528">
      <c r="A528" s="30" t="inlineStr">
        <is>
          <t>dacia_duster</t>
        </is>
      </c>
      <c r="B528" s="26">
        <f>IFERROR(INDEX(Mots!$B:$B,MATCH($A528,Mots!$A:$A,0)),"introuvable")</f>
        <v/>
      </c>
      <c r="C528" s="30" t="inlineStr">
        <is>
          <t>ma_voiture_ext</t>
        </is>
      </c>
    </row>
    <row r="529">
      <c r="A529" s="30" t="inlineStr">
        <is>
          <t>pare_brise</t>
        </is>
      </c>
      <c r="B529" s="26">
        <f>IFERROR(INDEX(Mots!$B:$B,MATCH($A529,Mots!$A:$A,0)),"introuvable")</f>
        <v/>
      </c>
      <c r="C529" s="30" t="inlineStr">
        <is>
          <t>ma_voiture_ext</t>
        </is>
      </c>
    </row>
    <row r="530">
      <c r="A530" s="30" t="inlineStr">
        <is>
          <t>essuie_glace</t>
        </is>
      </c>
      <c r="B530" s="26">
        <f>IFERROR(INDEX(Mots!$B:$B,MATCH($A530,Mots!$A:$A,0)),"introuvable")</f>
        <v/>
      </c>
      <c r="C530" s="30" t="inlineStr">
        <is>
          <t>ma_voiture_ext</t>
        </is>
      </c>
    </row>
    <row r="531">
      <c r="A531" s="30" t="inlineStr">
        <is>
          <t>capot</t>
        </is>
      </c>
      <c r="B531" s="26">
        <f>IFERROR(INDEX(Mots!$B:$B,MATCH($A531,Mots!$A:$A,0)),"introuvable")</f>
        <v/>
      </c>
      <c r="C531" s="30" t="inlineStr">
        <is>
          <t>ma_voiture_ext</t>
        </is>
      </c>
    </row>
    <row r="532">
      <c r="A532" s="30" t="inlineStr">
        <is>
          <t>pv_aile</t>
        </is>
      </c>
      <c r="B532" s="26">
        <f>IFERROR(INDEX(Mots!$B:$B,MATCH($A532,Mots!$A:$A,0)),"introuvable")</f>
        <v/>
      </c>
      <c r="C532" s="30" t="inlineStr">
        <is>
          <t>ma_voiture_ext</t>
        </is>
      </c>
    </row>
    <row r="533">
      <c r="A533" s="30" t="inlineStr">
        <is>
          <t>pare_chocs</t>
        </is>
      </c>
      <c r="B533" s="26">
        <f>IFERROR(INDEX(Mots!$B:$B,MATCH($A533,Mots!$A:$A,0)),"introuvable")</f>
        <v/>
      </c>
      <c r="C533" s="30" t="inlineStr">
        <is>
          <t>ma_voiture_ext</t>
        </is>
      </c>
    </row>
    <row r="534">
      <c r="A534" s="30" t="inlineStr">
        <is>
          <t>jantes</t>
        </is>
      </c>
      <c r="B534" s="26">
        <f>IFERROR(INDEX(Mots!$B:$B,MATCH($A534,Mots!$A:$A,0)),"introuvable")</f>
        <v/>
      </c>
      <c r="C534" s="30" t="inlineStr">
        <is>
          <t>ma_voiture_ext</t>
        </is>
      </c>
    </row>
    <row r="535">
      <c r="A535" s="30" t="inlineStr">
        <is>
          <t>pneus</t>
        </is>
      </c>
      <c r="B535" s="26">
        <f>IFERROR(INDEX(Mots!$B:$B,MATCH($A535,Mots!$A:$A,0)),"introuvable")</f>
        <v/>
      </c>
      <c r="C535" s="30" t="inlineStr">
        <is>
          <t>ma_voiture_ext</t>
        </is>
      </c>
    </row>
    <row r="536">
      <c r="A536" s="30" t="inlineStr">
        <is>
          <t>portiere</t>
        </is>
      </c>
      <c r="B536" s="26">
        <f>IFERROR(INDEX(Mots!$B:$B,MATCH($A536,Mots!$A:$A,0)),"introuvable")</f>
        <v/>
      </c>
      <c r="C536" s="30" t="inlineStr">
        <is>
          <t>ma_voiture_ext</t>
        </is>
      </c>
    </row>
    <row r="537">
      <c r="A537" s="30" t="inlineStr">
        <is>
          <t>clignotant</t>
        </is>
      </c>
      <c r="B537" s="26">
        <f>IFERROR(INDEX(Mots!$B:$B,MATCH($A537,Mots!$A:$A,0)),"introuvable")</f>
        <v/>
      </c>
      <c r="C537" s="30" t="inlineStr">
        <is>
          <t>ma_voiture_ext</t>
        </is>
      </c>
    </row>
    <row r="538">
      <c r="A538" s="30" t="inlineStr">
        <is>
          <t>klaxon</t>
        </is>
      </c>
      <c r="B538" s="26">
        <f>IFERROR(INDEX(Mots!$B:$B,MATCH($A538,Mots!$A:$A,0)),"introuvable")</f>
        <v/>
      </c>
      <c r="C538" s="30" t="inlineStr">
        <is>
          <t>ma_voiture_ext</t>
        </is>
      </c>
    </row>
    <row r="539">
      <c r="A539" s="30" t="inlineStr">
        <is>
          <t>phare</t>
        </is>
      </c>
      <c r="B539" s="26">
        <f>IFERROR(INDEX(Mots!$B:$B,MATCH($A539,Mots!$A:$A,0)),"introuvable")</f>
        <v/>
      </c>
      <c r="C539" s="30" t="inlineStr">
        <is>
          <t>ma_voiture_ext</t>
        </is>
      </c>
    </row>
    <row r="540">
      <c r="A540" s="30" t="inlineStr">
        <is>
          <t>retroviseur</t>
        </is>
      </c>
      <c r="B540" s="26">
        <f>IFERROR(INDEX(Mots!$B:$B,MATCH($A540,Mots!$A:$A,0)),"introuvable")</f>
        <v/>
      </c>
      <c r="C540" s="30" t="inlineStr">
        <is>
          <t>ma_voiture_ext</t>
        </is>
      </c>
    </row>
    <row r="541">
      <c r="A541" s="30" t="inlineStr">
        <is>
          <t>siege</t>
        </is>
      </c>
      <c r="B541" s="26">
        <f>IFERROR(INDEX(Mots!$B:$B,MATCH($A541,Mots!$A:$A,0)),"introuvable")</f>
        <v/>
      </c>
      <c r="C541" s="30" t="inlineStr">
        <is>
          <t>ma_voiture_int</t>
        </is>
      </c>
    </row>
    <row r="542">
      <c r="A542" s="30" t="inlineStr">
        <is>
          <t>volant</t>
        </is>
      </c>
      <c r="B542" s="26">
        <f>IFERROR(INDEX(Mots!$B:$B,MATCH($A542,Mots!$A:$A,0)),"introuvable")</f>
        <v/>
      </c>
      <c r="C542" s="30" t="inlineStr">
        <is>
          <t>ma_voiture_int</t>
        </is>
      </c>
    </row>
    <row r="543">
      <c r="A543" s="30" t="inlineStr">
        <is>
          <t>tableau_de_bord</t>
        </is>
      </c>
      <c r="B543" s="26">
        <f>IFERROR(INDEX(Mots!$B:$B,MATCH($A543,Mots!$A:$A,0)),"introuvable")</f>
        <v/>
      </c>
      <c r="C543" s="30" t="inlineStr">
        <is>
          <t>ma_voiture_int</t>
        </is>
      </c>
    </row>
    <row r="544">
      <c r="A544" s="30" t="inlineStr">
        <is>
          <t>coffre</t>
        </is>
      </c>
      <c r="B544" s="26">
        <f>IFERROR(INDEX(Mots!$B:$B,MATCH($A544,Mots!$A:$A,0)),"introuvable")</f>
        <v/>
      </c>
      <c r="C544" s="30" t="inlineStr">
        <is>
          <t>ma_voiture_int</t>
        </is>
      </c>
    </row>
    <row r="545">
      <c r="A545" s="30" t="inlineStr">
        <is>
          <t>vitesse</t>
        </is>
      </c>
      <c r="B545" s="26">
        <f>IFERROR(INDEX(Mots!$B:$B,MATCH($A545,Mots!$A:$A,0)),"introuvable")</f>
        <v/>
      </c>
      <c r="C545" s="30" t="inlineStr">
        <is>
          <t>entretien_voiture</t>
        </is>
      </c>
    </row>
    <row r="546">
      <c r="A546" s="30" t="inlineStr">
        <is>
          <t>mes_enfants</t>
        </is>
      </c>
      <c r="B546" s="26">
        <f>IFERROR(INDEX(Mots!$B:$B,MATCH($A546,Mots!$A:$A,0)),"introuvable")</f>
        <v/>
      </c>
      <c r="C546" s="30" t="inlineStr">
        <is>
          <t>hf_enfants</t>
        </is>
      </c>
    </row>
    <row r="547">
      <c r="A547" s="30" t="inlineStr">
        <is>
          <t>r_mathilde</t>
        </is>
      </c>
      <c r="B547" s="26">
        <f>IFERROR(INDEX(Mots!$B:$B,MATCH($A547,Mots!$A:$A,0)),"introuvable")</f>
        <v/>
      </c>
      <c r="C547" s="30" t="inlineStr">
        <is>
          <t>hf_enfants</t>
        </is>
      </c>
    </row>
    <row r="548">
      <c r="A548" s="30" t="inlineStr">
        <is>
          <t>r_julien</t>
        </is>
      </c>
      <c r="B548" s="26">
        <f>IFERROR(INDEX(Mots!$B:$B,MATCH($A548,Mots!$A:$A,0)),"introuvable")</f>
        <v/>
      </c>
      <c r="C548" s="30" t="inlineStr">
        <is>
          <t>hf_enfants</t>
        </is>
      </c>
    </row>
    <row r="549">
      <c r="A549" s="30" t="inlineStr">
        <is>
          <t>r_emma</t>
        </is>
      </c>
      <c r="B549" s="26">
        <f>IFERROR(INDEX(Mots!$B:$B,MATCH($A549,Mots!$A:$A,0)),"introuvable")</f>
        <v/>
      </c>
      <c r="C549" s="30" t="inlineStr">
        <is>
          <t>hf_enfants</t>
        </is>
      </c>
    </row>
    <row r="550">
      <c r="A550" s="30" t="inlineStr">
        <is>
          <t>r_loic</t>
        </is>
      </c>
      <c r="B550" s="26">
        <f>IFERROR(INDEX(Mots!$B:$B,MATCH($A550,Mots!$A:$A,0)),"introuvable")</f>
        <v/>
      </c>
      <c r="C550" s="30" t="inlineStr">
        <is>
          <t>hf_enfants</t>
        </is>
      </c>
    </row>
    <row r="551">
      <c r="A551" s="30" t="inlineStr">
        <is>
          <t>r_emile</t>
        </is>
      </c>
      <c r="B551" s="26">
        <f>IFERROR(INDEX(Mots!$B:$B,MATCH($A551,Mots!$A:$A,0)),"introuvable")</f>
        <v/>
      </c>
      <c r="C551" s="30" t="inlineStr">
        <is>
          <t>hf_enfants</t>
        </is>
      </c>
    </row>
    <row r="552">
      <c r="A552" s="30" t="inlineStr">
        <is>
          <t>r_eva</t>
        </is>
      </c>
      <c r="B552" s="26">
        <f>IFERROR(INDEX(Mots!$B:$B,MATCH($A552,Mots!$A:$A,0)),"introuvable")</f>
        <v/>
      </c>
      <c r="C552" s="30" t="inlineStr">
        <is>
          <t>hf_enfants</t>
        </is>
      </c>
    </row>
    <row r="553">
      <c r="A553" s="30" t="inlineStr">
        <is>
          <t>r_paul</t>
        </is>
      </c>
      <c r="B553" s="26">
        <f>IFERROR(INDEX(Mots!$B:$B,MATCH($A553,Mots!$A:$A,0)),"introuvable")</f>
        <v/>
      </c>
      <c r="C553" s="30" t="inlineStr">
        <is>
          <t>hf_enfants</t>
        </is>
      </c>
    </row>
    <row r="554">
      <c r="A554" s="30" t="inlineStr">
        <is>
          <t>n_claudia</t>
        </is>
      </c>
      <c r="B554" s="26">
        <f>IFERROR(INDEX(Mots!$B:$B,MATCH($A554,Mots!$A:$A,0)),"introuvable")</f>
        <v/>
      </c>
      <c r="C554" s="30" t="inlineStr">
        <is>
          <t>hf_frere_soeurs</t>
        </is>
      </c>
    </row>
    <row r="555">
      <c r="A555" s="30" t="inlineStr">
        <is>
          <t>n_patrick</t>
        </is>
      </c>
      <c r="B555" s="26">
        <f>IFERROR(INDEX(Mots!$B:$B,MATCH($A555,Mots!$A:$A,0)),"introuvable")</f>
        <v/>
      </c>
      <c r="C555" s="30" t="inlineStr">
        <is>
          <t>hf_frere_soeurs</t>
        </is>
      </c>
    </row>
    <row r="556">
      <c r="A556" s="30" t="inlineStr">
        <is>
          <t>r_olivier</t>
        </is>
      </c>
      <c r="B556" s="26">
        <f>IFERROR(INDEX(Mots!$B:$B,MATCH($A556,Mots!$A:$A,0)),"introuvable")</f>
        <v/>
      </c>
      <c r="C556" s="30" t="inlineStr">
        <is>
          <t>hf_frere_soeurs</t>
        </is>
      </c>
    </row>
    <row r="557">
      <c r="A557" s="30" t="inlineStr">
        <is>
          <t>e_barbara</t>
        </is>
      </c>
      <c r="B557" s="26">
        <f>IFERROR(INDEX(Mots!$B:$B,MATCH($A557,Mots!$A:$A,0)),"introuvable")</f>
        <v/>
      </c>
      <c r="C557" s="30" t="inlineStr">
        <is>
          <t>hf_frere_soeurs</t>
        </is>
      </c>
    </row>
    <row r="558">
      <c r="A558" s="30" t="inlineStr">
        <is>
          <t>r_sandrine</t>
        </is>
      </c>
      <c r="B558" s="26">
        <f>IFERROR(INDEX(Mots!$B:$B,MATCH($A558,Mots!$A:$A,0)),"introuvable")</f>
        <v/>
      </c>
      <c r="C558" s="30" t="inlineStr">
        <is>
          <t>hf_frere_soeurs</t>
        </is>
      </c>
    </row>
    <row r="559">
      <c r="A559" s="30" t="inlineStr">
        <is>
          <t>ma_generaliste</t>
        </is>
      </c>
      <c r="B559" s="26">
        <f>IFERROR(INDEX(Mots!$B:$B,MATCH($A559,Mots!$A:$A,0)),"introuvable")</f>
        <v/>
      </c>
      <c r="C559" s="30" t="inlineStr">
        <is>
          <t>mes_medecins</t>
        </is>
      </c>
    </row>
    <row r="560">
      <c r="A560" s="30" t="inlineStr">
        <is>
          <t>mon_neurologue</t>
        </is>
      </c>
      <c r="B560" s="26">
        <f>IFERROR(INDEX(Mots!$B:$B,MATCH($A560,Mots!$A:$A,0)),"introuvable")</f>
        <v/>
      </c>
      <c r="C560" s="30" t="inlineStr">
        <is>
          <t>mes_medecins</t>
        </is>
      </c>
    </row>
    <row r="561">
      <c r="A561" s="30" t="inlineStr">
        <is>
          <t>n_louane</t>
        </is>
      </c>
      <c r="B561" s="26">
        <f>IFERROR(INDEX(Mots!$B:$B,MATCH($A561,Mots!$A:$A,0)),"introuvable")</f>
        <v/>
      </c>
      <c r="C561" s="30" t="inlineStr">
        <is>
          <t>hf_neveux_nieces</t>
        </is>
      </c>
    </row>
    <row r="562">
      <c r="A562" s="30" t="inlineStr">
        <is>
          <t>n_melwyn</t>
        </is>
      </c>
      <c r="B562" s="26">
        <f>IFERROR(INDEX(Mots!$B:$B,MATCH($A562,Mots!$A:$A,0)),"introuvable")</f>
        <v/>
      </c>
      <c r="C562" s="30" t="inlineStr">
        <is>
          <t>hf_neveux_nieces</t>
        </is>
      </c>
    </row>
    <row r="563">
      <c r="A563" s="30" t="inlineStr">
        <is>
          <t>e_jason</t>
        </is>
      </c>
      <c r="B563" s="26">
        <f>IFERROR(INDEX(Mots!$B:$B,MATCH($A563,Mots!$A:$A,0)),"introuvable")</f>
        <v/>
      </c>
      <c r="C563" s="30" t="inlineStr">
        <is>
          <t>hf_neveux_nieces</t>
        </is>
      </c>
    </row>
    <row r="564">
      <c r="A564" s="30" t="inlineStr">
        <is>
          <t>n_yanis</t>
        </is>
      </c>
      <c r="B564" s="26">
        <f>IFERROR(INDEX(Mots!$B:$B,MATCH($A564,Mots!$A:$A,0)),"introuvable")</f>
        <v/>
      </c>
      <c r="C564" s="30" t="inlineStr">
        <is>
          <t>hf_neveux_nieces</t>
        </is>
      </c>
    </row>
    <row r="565">
      <c r="A565" s="30" t="inlineStr">
        <is>
          <t>e_alison</t>
        </is>
      </c>
      <c r="B565" s="26">
        <f>IFERROR(INDEX(Mots!$B:$B,MATCH($A565,Mots!$A:$A,0)),"introuvable")</f>
        <v/>
      </c>
      <c r="C565" s="30" t="inlineStr">
        <is>
          <t>hf_neveux_nieces</t>
        </is>
      </c>
    </row>
    <row r="566">
      <c r="A566" s="30" t="inlineStr">
        <is>
          <t>r_germaine</t>
        </is>
      </c>
      <c r="B566" s="26">
        <f>IFERROR(INDEX(Mots!$B:$B,MATCH($A566,Mots!$A:$A,0)),"introuvable")</f>
        <v/>
      </c>
      <c r="C566" s="30" t="inlineStr">
        <is>
          <t>hf_parents_grand_pa</t>
        </is>
      </c>
    </row>
    <row r="567">
      <c r="A567" s="30" t="inlineStr">
        <is>
          <t>r_noel</t>
        </is>
      </c>
      <c r="B567" s="26">
        <f>IFERROR(INDEX(Mots!$B:$B,MATCH($A567,Mots!$A:$A,0)),"introuvable")</f>
        <v/>
      </c>
      <c r="C567" s="30" t="inlineStr">
        <is>
          <t>hf_parents_grand_pa</t>
        </is>
      </c>
    </row>
    <row r="568">
      <c r="A568" s="30" t="inlineStr">
        <is>
          <t>peau</t>
        </is>
      </c>
      <c r="B568" s="26">
        <f>IFERROR(INDEX(Mots!$B:$B,MATCH($A568,Mots!$A:$A,0)),"introuvable")</f>
        <v/>
      </c>
      <c r="C568" s="30" t="inlineStr">
        <is>
          <t>corps_divers</t>
        </is>
      </c>
    </row>
    <row r="569">
      <c r="A569" s="30" t="inlineStr">
        <is>
          <t>voix</t>
        </is>
      </c>
      <c r="B569" s="26">
        <f>IFERROR(INDEX(Mots!$B:$B,MATCH($A569,Mots!$A:$A,0)),"introuvable")</f>
        <v/>
      </c>
      <c r="C569" s="30" t="inlineStr">
        <is>
          <t>corps_divers</t>
        </is>
      </c>
    </row>
    <row r="570">
      <c r="A570" s="30" t="inlineStr">
        <is>
          <t>cerveau</t>
        </is>
      </c>
      <c r="B570" s="26">
        <f>IFERROR(INDEX(Mots!$B:$B,MATCH($A570,Mots!$A:$A,0)),"introuvable")</f>
        <v/>
      </c>
      <c r="C570" s="30" t="inlineStr">
        <is>
          <t>corps_divers</t>
        </is>
      </c>
    </row>
    <row r="571">
      <c r="A571" s="30" t="inlineStr">
        <is>
          <t>muscle</t>
        </is>
      </c>
      <c r="B571" s="26">
        <f>IFERROR(INDEX(Mots!$B:$B,MATCH($A571,Mots!$A:$A,0)),"introuvable")</f>
        <v/>
      </c>
      <c r="C571" s="30" t="inlineStr">
        <is>
          <t>corps_divers</t>
        </is>
      </c>
    </row>
    <row r="572">
      <c r="A572" s="30" t="inlineStr">
        <is>
          <t>sang</t>
        </is>
      </c>
      <c r="B572" s="26">
        <f>IFERROR(INDEX(Mots!$B:$B,MATCH($A572,Mots!$A:$A,0)),"introuvable")</f>
        <v/>
      </c>
      <c r="C572" s="30" t="inlineStr">
        <is>
          <t>corps_divers</t>
        </is>
      </c>
    </row>
    <row r="573">
      <c r="A573" s="30" t="inlineStr">
        <is>
          <t>squelette</t>
        </is>
      </c>
      <c r="B573" s="26">
        <f>IFERROR(INDEX(Mots!$B:$B,MATCH($A573,Mots!$A:$A,0)),"introuvable")</f>
        <v/>
      </c>
      <c r="C573" s="30" t="inlineStr">
        <is>
          <t>corps_divers</t>
        </is>
      </c>
    </row>
    <row r="574">
      <c r="A574" s="30" t="inlineStr">
        <is>
          <t>estomac</t>
        </is>
      </c>
      <c r="B574" s="26">
        <f>IFERROR(INDEX(Mots!$B:$B,MATCH($A574,Mots!$A:$A,0)),"introuvable")</f>
        <v/>
      </c>
      <c r="C574" s="30" t="inlineStr">
        <is>
          <t>corps_divers</t>
        </is>
      </c>
    </row>
    <row r="575">
      <c r="A575" s="30" t="inlineStr">
        <is>
          <t>ongle</t>
        </is>
      </c>
      <c r="B575" s="26">
        <f>IFERROR(INDEX(Mots!$B:$B,MATCH($A575,Mots!$A:$A,0)),"introuvable")</f>
        <v/>
      </c>
      <c r="C575" s="30" t="inlineStr">
        <is>
          <t>corps_divers</t>
        </is>
      </c>
    </row>
    <row r="576">
      <c r="A576" s="30" t="inlineStr">
        <is>
          <t>os</t>
        </is>
      </c>
      <c r="B576" s="26">
        <f>IFERROR(INDEX(Mots!$B:$B,MATCH($A576,Mots!$A:$A,0)),"introuvable")</f>
        <v/>
      </c>
      <c r="C576" s="30" t="inlineStr">
        <is>
          <t>corps_divers</t>
        </is>
      </c>
    </row>
    <row r="577">
      <c r="A577" s="30" t="inlineStr">
        <is>
          <t>faire_les_vitres</t>
        </is>
      </c>
      <c r="B577" s="26">
        <f>IFERROR(INDEX(Mots!$B:$B,MATCH($A577,Mots!$A:$A,0)),"introuvable")</f>
        <v/>
      </c>
      <c r="C577" s="30" t="inlineStr">
        <is>
          <t>nettoyage_maison</t>
        </is>
      </c>
    </row>
    <row r="578">
      <c r="A578" s="30" t="inlineStr">
        <is>
          <t>serpillere</t>
        </is>
      </c>
      <c r="B578" s="26">
        <f>IFERROR(INDEX(Mots!$B:$B,MATCH($A578,Mots!$A:$A,0)),"introuvable")</f>
        <v/>
      </c>
      <c r="C578" s="30" t="inlineStr">
        <is>
          <t>nettoyage_maison</t>
        </is>
      </c>
    </row>
    <row r="579">
      <c r="A579" s="30" t="inlineStr">
        <is>
          <t>aspirateur</t>
        </is>
      </c>
      <c r="B579" s="26">
        <f>IFERROR(INDEX(Mots!$B:$B,MATCH($A579,Mots!$A:$A,0)),"introuvable")</f>
        <v/>
      </c>
      <c r="C579" s="30" t="inlineStr">
        <is>
          <t>nettoyage_maison</t>
        </is>
      </c>
    </row>
    <row r="580">
      <c r="A580" s="30" t="inlineStr">
        <is>
          <t>chiffon</t>
        </is>
      </c>
      <c r="B580" s="26">
        <f>IFERROR(INDEX(Mots!$B:$B,MATCH($A580,Mots!$A:$A,0)),"introuvable")</f>
        <v/>
      </c>
      <c r="C580" s="30" t="inlineStr">
        <is>
          <t>nettoyage_maison</t>
        </is>
      </c>
    </row>
    <row r="581">
      <c r="A581" s="30" t="inlineStr">
        <is>
          <t>materiel_recurrer</t>
        </is>
      </c>
      <c r="B581" s="26">
        <f>IFERROR(INDEX(Mots!$B:$B,MATCH($A581,Mots!$A:$A,0)),"introuvable")</f>
        <v/>
      </c>
      <c r="C581" s="30" t="inlineStr">
        <is>
          <t>nettoyage_maison</t>
        </is>
      </c>
    </row>
    <row r="582">
      <c r="A582" s="30" t="inlineStr">
        <is>
          <t>meister_proper</t>
        </is>
      </c>
      <c r="B582" s="26">
        <f>IFERROR(INDEX(Mots!$B:$B,MATCH($A582,Mots!$A:$A,0)),"introuvable")</f>
        <v/>
      </c>
      <c r="C582" s="30" t="inlineStr">
        <is>
          <t>nettoyage_maison</t>
        </is>
      </c>
    </row>
    <row r="583">
      <c r="A583" s="30" t="inlineStr">
        <is>
          <t>eponge</t>
        </is>
      </c>
      <c r="B583" s="26">
        <f>IFERROR(INDEX(Mots!$B:$B,MATCH($A583,Mots!$A:$A,0)),"introuvable")</f>
        <v/>
      </c>
      <c r="C583" s="30" t="inlineStr">
        <is>
          <t>nettoyage_maison</t>
        </is>
      </c>
    </row>
    <row r="584">
      <c r="A584" s="30" t="inlineStr">
        <is>
          <t>chambre</t>
        </is>
      </c>
      <c r="B584" s="26">
        <f>IFERROR(INDEX(Mots!$B:$B,MATCH($A584,Mots!$A:$A,0)),"introuvable")</f>
        <v/>
      </c>
      <c r="C584" s="30" t="inlineStr">
        <is>
          <t>chambre_maison</t>
        </is>
      </c>
    </row>
    <row r="585">
      <c r="A585" s="30" t="inlineStr">
        <is>
          <t>lit</t>
        </is>
      </c>
      <c r="B585" s="26">
        <f>IFERROR(INDEX(Mots!$B:$B,MATCH($A585,Mots!$A:$A,0)),"introuvable")</f>
        <v/>
      </c>
      <c r="C585" s="30" t="inlineStr">
        <is>
          <t>chambre_maison</t>
        </is>
      </c>
    </row>
    <row r="586">
      <c r="A586" s="30" t="inlineStr">
        <is>
          <t>matelas</t>
        </is>
      </c>
      <c r="B586" s="26">
        <f>IFERROR(INDEX(Mots!$B:$B,MATCH($A586,Mots!$A:$A,0)),"introuvable")</f>
        <v/>
      </c>
      <c r="C586" s="30" t="inlineStr">
        <is>
          <t>chambre_maison</t>
        </is>
      </c>
    </row>
    <row r="587">
      <c r="A587" s="30" t="inlineStr">
        <is>
          <t>oreiller</t>
        </is>
      </c>
      <c r="B587" s="26">
        <f>IFERROR(INDEX(Mots!$B:$B,MATCH($A587,Mots!$A:$A,0)),"introuvable")</f>
        <v/>
      </c>
      <c r="C587" s="30" t="inlineStr">
        <is>
          <t>chambre_maison</t>
        </is>
      </c>
    </row>
    <row r="588">
      <c r="A588" s="30" t="inlineStr">
        <is>
          <t>duvet</t>
        </is>
      </c>
      <c r="B588" s="26">
        <f>IFERROR(INDEX(Mots!$B:$B,MATCH($A588,Mots!$A:$A,0)),"introuvable")</f>
        <v/>
      </c>
      <c r="C588" s="30" t="inlineStr">
        <is>
          <t>chambre_maison</t>
        </is>
      </c>
    </row>
    <row r="589">
      <c r="A589" s="30" t="inlineStr">
        <is>
          <t>reveil</t>
        </is>
      </c>
      <c r="B589" s="26">
        <f>IFERROR(INDEX(Mots!$B:$B,MATCH($A589,Mots!$A:$A,0)),"introuvable")</f>
        <v/>
      </c>
      <c r="C589" s="30" t="inlineStr">
        <is>
          <t>chambre_maison</t>
        </is>
      </c>
    </row>
    <row r="590">
      <c r="A590" s="30" t="inlineStr">
        <is>
          <t>armoire</t>
        </is>
      </c>
      <c r="B590" s="26">
        <f>IFERROR(INDEX(Mots!$B:$B,MATCH($A590,Mots!$A:$A,0)),"introuvable")</f>
        <v/>
      </c>
      <c r="C590" s="30" t="inlineStr">
        <is>
          <t>chambre_maison</t>
        </is>
      </c>
    </row>
    <row r="591">
      <c r="A591" s="30" t="inlineStr">
        <is>
          <t>corbeille_a_linge</t>
        </is>
      </c>
      <c r="B591" s="26">
        <f>IFERROR(INDEX(Mots!$B:$B,MATCH($A591,Mots!$A:$A,0)),"introuvable")</f>
        <v/>
      </c>
      <c r="C591" s="30" t="inlineStr">
        <is>
          <t>buanderie_maison</t>
        </is>
      </c>
    </row>
    <row r="592">
      <c r="A592" s="30" t="inlineStr">
        <is>
          <t>panier_a_linge</t>
        </is>
      </c>
      <c r="B592" s="26">
        <f>IFERROR(INDEX(Mots!$B:$B,MATCH($A592,Mots!$A:$A,0)),"introuvable")</f>
        <v/>
      </c>
      <c r="C592" s="30" t="inlineStr">
        <is>
          <t>buanderie_maison</t>
        </is>
      </c>
    </row>
    <row r="593">
      <c r="A593" s="30" t="inlineStr">
        <is>
          <t>lessive</t>
        </is>
      </c>
      <c r="B593" s="26">
        <f>IFERROR(INDEX(Mots!$B:$B,MATCH($A593,Mots!$A:$A,0)),"introuvable")</f>
        <v/>
      </c>
      <c r="C593" s="30" t="inlineStr">
        <is>
          <t>buanderie_maison</t>
        </is>
      </c>
    </row>
    <row r="594">
      <c r="A594" s="30" t="inlineStr">
        <is>
          <t>linge</t>
        </is>
      </c>
      <c r="B594" s="26">
        <f>IFERROR(INDEX(Mots!$B:$B,MATCH($A594,Mots!$A:$A,0)),"introuvable")</f>
        <v/>
      </c>
      <c r="C594" s="30" t="inlineStr">
        <is>
          <t>buanderie_maison</t>
        </is>
      </c>
    </row>
    <row r="595">
      <c r="A595" s="30" t="inlineStr">
        <is>
          <t>bureau_piece</t>
        </is>
      </c>
      <c r="B595" s="26">
        <f>IFERROR(INDEX(Mots!$B:$B,MATCH($A595,Mots!$A:$A,0)),"introuvable")</f>
        <v/>
      </c>
      <c r="C595" s="30" t="inlineStr">
        <is>
          <t>sdb_maison_2</t>
        </is>
      </c>
    </row>
    <row r="596">
      <c r="A596" s="30" t="inlineStr">
        <is>
          <t>classeur</t>
        </is>
      </c>
      <c r="B596" s="26">
        <f>IFERROR(INDEX(Mots!$B:$B,MATCH($A596,Mots!$A:$A,0)),"introuvable")</f>
        <v/>
      </c>
      <c r="C596" s="30" t="inlineStr">
        <is>
          <t>sdb_maison_2</t>
        </is>
      </c>
    </row>
    <row r="597">
      <c r="A597" s="30" t="inlineStr">
        <is>
          <t>calculatrice</t>
        </is>
      </c>
      <c r="B597" s="26">
        <f>IFERROR(INDEX(Mots!$B:$B,MATCH($A597,Mots!$A:$A,0)),"introuvable")</f>
        <v/>
      </c>
      <c r="C597" s="30" t="inlineStr">
        <is>
          <t>sdb_maison_2</t>
        </is>
      </c>
    </row>
    <row r="598">
      <c r="A598" s="30" t="inlineStr">
        <is>
          <t>ordinateur</t>
        </is>
      </c>
      <c r="B598" s="26">
        <f>IFERROR(INDEX(Mots!$B:$B,MATCH($A598,Mots!$A:$A,0)),"introuvable")</f>
        <v/>
      </c>
      <c r="C598" s="30" t="inlineStr">
        <is>
          <t>sdb_maison_2</t>
        </is>
      </c>
      <c r="D598" s="30" t="inlineStr">
        <is>
          <t>bureau</t>
        </is>
      </c>
    </row>
    <row r="599">
      <c r="A599" s="30" t="inlineStr">
        <is>
          <t>essence</t>
        </is>
      </c>
      <c r="B599" s="26">
        <f>IFERROR(INDEX(Mots!$B:$B,MATCH($A599,Mots!$A:$A,0)),"introuvable")</f>
        <v/>
      </c>
      <c r="C599" s="30" t="inlineStr">
        <is>
          <t>entretien_voiture</t>
        </is>
      </c>
    </row>
    <row r="600">
      <c r="A600" s="30" t="inlineStr">
        <is>
          <t>jauge_huile</t>
        </is>
      </c>
      <c r="B600" s="26">
        <f>IFERROR(INDEX(Mots!$B:$B,MATCH($A600,Mots!$A:$A,0)),"introuvable")</f>
        <v/>
      </c>
      <c r="C600" s="30" t="inlineStr">
        <is>
          <t>entretien_voiture</t>
        </is>
      </c>
    </row>
    <row r="601">
      <c r="A601" s="30" t="inlineStr">
        <is>
          <t>huile_moteur</t>
        </is>
      </c>
      <c r="B601" s="26">
        <f>IFERROR(INDEX(Mots!$B:$B,MATCH($A601,Mots!$A:$A,0)),"introuvable")</f>
        <v/>
      </c>
      <c r="C601" s="30" t="inlineStr">
        <is>
          <t>entretien_voiture</t>
        </is>
      </c>
    </row>
    <row r="602">
      <c r="A602" s="30" t="inlineStr">
        <is>
          <t>liquide_lave_glace</t>
        </is>
      </c>
      <c r="B602" s="26">
        <f>IFERROR(INDEX(Mots!$B:$B,MATCH($A602,Mots!$A:$A,0)),"introuvable")</f>
        <v/>
      </c>
      <c r="C602" s="30" t="inlineStr">
        <is>
          <t>entretien_voiture</t>
        </is>
      </c>
    </row>
    <row r="603">
      <c r="A603" s="30" t="inlineStr">
        <is>
          <t>entonnoir</t>
        </is>
      </c>
      <c r="B603" s="26">
        <f>IFERROR(INDEX(Mots!$B:$B,MATCH($A603,Mots!$A:$A,0)),"introuvable")</f>
        <v/>
      </c>
      <c r="C603" s="30" t="inlineStr">
        <is>
          <t>entretien_voiture</t>
        </is>
      </c>
      <c r="D603" s="30" t="inlineStr">
        <is>
          <t>terrasse_maison</t>
        </is>
      </c>
    </row>
    <row r="604">
      <c r="A604" s="30" t="inlineStr">
        <is>
          <t>paire_de_slip</t>
        </is>
      </c>
      <c r="B604" s="26">
        <f>IFERROR(INDEX(Mots!$B:$B,MATCH($A604,Mots!$A:$A,0)),"introuvable")</f>
        <v/>
      </c>
      <c r="C604" s="30" t="inlineStr">
        <is>
          <t>bas_vetements</t>
        </is>
      </c>
    </row>
    <row r="605">
      <c r="A605" s="30" t="inlineStr">
        <is>
          <t>bas</t>
        </is>
      </c>
      <c r="B605" s="26">
        <f>IFERROR(INDEX(Mots!$B:$B,MATCH($A605,Mots!$A:$A,0)),"introuvable")</f>
        <v/>
      </c>
      <c r="C605" s="30" t="inlineStr">
        <is>
          <t>bas_vetements</t>
        </is>
      </c>
    </row>
    <row r="606">
      <c r="A606" s="30" t="inlineStr">
        <is>
          <t>pantalon</t>
        </is>
      </c>
      <c r="B606" s="26">
        <f>IFERROR(INDEX(Mots!$B:$B,MATCH($A606,Mots!$A:$A,0)),"introuvable")</f>
        <v/>
      </c>
      <c r="C606" s="30" t="inlineStr">
        <is>
          <t>bas_vetements</t>
        </is>
      </c>
    </row>
    <row r="607">
      <c r="A607" s="30" t="inlineStr">
        <is>
          <t>pantalon_jeans</t>
        </is>
      </c>
      <c r="B607" s="26">
        <f>IFERROR(INDEX(Mots!$B:$B,MATCH($A607,Mots!$A:$A,0)),"introuvable")</f>
        <v/>
      </c>
      <c r="C607" s="30" t="inlineStr">
        <is>
          <t>bas_vetements</t>
        </is>
      </c>
    </row>
    <row r="608">
      <c r="A608" s="30" t="inlineStr">
        <is>
          <t>cuissettes</t>
        </is>
      </c>
      <c r="B608" s="26">
        <f>IFERROR(INDEX(Mots!$B:$B,MATCH($A608,Mots!$A:$A,0)),"introuvable")</f>
        <v/>
      </c>
      <c r="C608" s="30" t="inlineStr">
        <is>
          <t>bas_vetements</t>
        </is>
      </c>
    </row>
    <row r="609">
      <c r="A609" s="30" t="inlineStr">
        <is>
          <t>jupe</t>
        </is>
      </c>
      <c r="B609" s="26">
        <f>IFERROR(INDEX(Mots!$B:$B,MATCH($A609,Mots!$A:$A,0)),"introuvable")</f>
        <v/>
      </c>
      <c r="C609" s="30" t="inlineStr">
        <is>
          <t>bas_vetements</t>
        </is>
      </c>
    </row>
    <row r="610">
      <c r="A610" s="30" t="inlineStr">
        <is>
          <t>juste_au_corps</t>
        </is>
      </c>
      <c r="B610" s="26">
        <f>IFERROR(INDEX(Mots!$B:$B,MATCH($A610,Mots!$A:$A,0)),"introuvable")</f>
        <v/>
      </c>
      <c r="C610" s="30" t="inlineStr">
        <is>
          <t>haut_vêtements</t>
        </is>
      </c>
    </row>
    <row r="611">
      <c r="A611" s="30" t="inlineStr">
        <is>
          <t>t_shirt</t>
        </is>
      </c>
      <c r="B611" s="26">
        <f>IFERROR(INDEX(Mots!$B:$B,MATCH($A611,Mots!$A:$A,0)),"introuvable")</f>
        <v/>
      </c>
      <c r="C611" s="30" t="inlineStr">
        <is>
          <t>haut_vêtements</t>
        </is>
      </c>
    </row>
    <row r="612">
      <c r="A612" s="30" t="inlineStr">
        <is>
          <t>chemise</t>
        </is>
      </c>
      <c r="B612" s="26">
        <f>IFERROR(INDEX(Mots!$B:$B,MATCH($A612,Mots!$A:$A,0)),"introuvable")</f>
        <v/>
      </c>
      <c r="C612" s="30" t="inlineStr">
        <is>
          <t>haut_vêtements</t>
        </is>
      </c>
    </row>
    <row r="613">
      <c r="A613" s="30" t="inlineStr">
        <is>
          <t>polo</t>
        </is>
      </c>
      <c r="B613" s="26">
        <f>IFERROR(INDEX(Mots!$B:$B,MATCH($A613,Mots!$A:$A,0)),"introuvable")</f>
        <v/>
      </c>
      <c r="C613" s="30" t="inlineStr">
        <is>
          <t>haut_vêtements</t>
        </is>
      </c>
    </row>
    <row r="614">
      <c r="A614" s="30" t="inlineStr">
        <is>
          <t>pull_ou_pullover</t>
        </is>
      </c>
      <c r="B614" s="26">
        <f>IFERROR(INDEX(Mots!$B:$B,MATCH($A614,Mots!$A:$A,0)),"introuvable")</f>
        <v/>
      </c>
      <c r="C614" s="30" t="inlineStr">
        <is>
          <t>haut_vêtements</t>
        </is>
      </c>
    </row>
    <row r="615">
      <c r="A615" s="30" t="inlineStr">
        <is>
          <t>veste</t>
        </is>
      </c>
      <c r="B615" s="26">
        <f>IFERROR(INDEX(Mots!$B:$B,MATCH($A615,Mots!$A:$A,0)),"introuvable")</f>
        <v/>
      </c>
      <c r="C615" s="30" t="inlineStr">
        <is>
          <t>haut_vêtements</t>
        </is>
      </c>
    </row>
    <row r="616">
      <c r="A616" s="30" t="inlineStr">
        <is>
          <t>pain</t>
        </is>
      </c>
      <c r="B616" s="26">
        <f>IFERROR(INDEX(Mots!$B:$B,MATCH($A616,Mots!$A:$A,0)),"introuvable")</f>
        <v/>
      </c>
      <c r="C616" s="30" t="inlineStr">
        <is>
          <t>souper</t>
        </is>
      </c>
    </row>
    <row r="617">
      <c r="A617" s="30" t="inlineStr">
        <is>
          <t>gendarme_charc</t>
        </is>
      </c>
      <c r="B617" s="26">
        <f>IFERROR(INDEX(Mots!$B:$B,MATCH($A617,Mots!$A:$A,0)),"introuvable")</f>
        <v/>
      </c>
      <c r="C617" s="30" t="inlineStr">
        <is>
          <t>souper</t>
        </is>
      </c>
    </row>
    <row r="618">
      <c r="A618" s="30" t="inlineStr">
        <is>
          <t>saucisse</t>
        </is>
      </c>
      <c r="B618" s="26">
        <f>IFERROR(INDEX(Mots!$B:$B,MATCH($A618,Mots!$A:$A,0)),"introuvable")</f>
        <v/>
      </c>
      <c r="C618" s="30" t="inlineStr">
        <is>
          <t>souper</t>
        </is>
      </c>
    </row>
    <row r="619">
      <c r="A619" s="30" t="inlineStr">
        <is>
          <t>cafe</t>
        </is>
      </c>
      <c r="B619" s="26">
        <f>IFERROR(INDEX(Mots!$B:$B,MATCH($A619,Mots!$A:$A,0)),"introuvable")</f>
        <v/>
      </c>
      <c r="C619" s="30" t="inlineStr">
        <is>
          <t>souper</t>
        </is>
      </c>
      <c r="D619" s="30" t="inlineStr">
        <is>
          <t>boissons_chaudes</t>
        </is>
      </c>
    </row>
    <row r="620">
      <c r="A620" s="30" t="inlineStr">
        <is>
          <t>fromage</t>
        </is>
      </c>
      <c r="B620" s="26">
        <f>IFERROR(INDEX(Mots!$B:$B,MATCH($A620,Mots!$A:$A,0)),"introuvable")</f>
        <v/>
      </c>
      <c r="C620" s="30" t="inlineStr">
        <is>
          <t>souper</t>
        </is>
      </c>
      <c r="D620" s="30" t="inlineStr">
        <is>
          <t>denrees_base</t>
        </is>
      </c>
    </row>
    <row r="621">
      <c r="A621" s="30" t="inlineStr">
        <is>
          <t>maison</t>
        </is>
      </c>
      <c r="B621" s="26">
        <f>IFERROR(INDEX(Mots!$B:$B,MATCH($A621,Mots!$A:$A,0)),"introuvable")</f>
        <v/>
      </c>
      <c r="C621" s="30" t="inlineStr">
        <is>
          <t>structure_maison</t>
        </is>
      </c>
    </row>
    <row r="622">
      <c r="A622" s="30" t="inlineStr">
        <is>
          <t>chalet</t>
        </is>
      </c>
      <c r="B622" s="26">
        <f>IFERROR(INDEX(Mots!$B:$B,MATCH($A622,Mots!$A:$A,0)),"introuvable")</f>
        <v/>
      </c>
      <c r="C622" s="30" t="inlineStr">
        <is>
          <t>structure_maison</t>
        </is>
      </c>
    </row>
    <row r="623">
      <c r="A623" s="30" t="inlineStr">
        <is>
          <t>garage</t>
        </is>
      </c>
      <c r="B623" s="26">
        <f>IFERROR(INDEX(Mots!$B:$B,MATCH($A623,Mots!$A:$A,0)),"introuvable")</f>
        <v/>
      </c>
      <c r="C623" s="30" t="inlineStr">
        <is>
          <t>structure_maison</t>
        </is>
      </c>
    </row>
    <row r="624">
      <c r="A624" s="30" t="inlineStr">
        <is>
          <t>porte</t>
        </is>
      </c>
      <c r="B624" s="26">
        <f>IFERROR(INDEX(Mots!$B:$B,MATCH($A624,Mots!$A:$A,0)),"introuvable")</f>
        <v/>
      </c>
      <c r="C624" s="30" t="inlineStr">
        <is>
          <t>structure_maison</t>
        </is>
      </c>
    </row>
    <row r="625">
      <c r="A625" s="30" t="inlineStr">
        <is>
          <t>fenetre</t>
        </is>
      </c>
      <c r="B625" s="26">
        <f>IFERROR(INDEX(Mots!$B:$B,MATCH($A625,Mots!$A:$A,0)),"introuvable")</f>
        <v/>
      </c>
      <c r="C625" s="30" t="inlineStr">
        <is>
          <t>structure_maison</t>
        </is>
      </c>
    </row>
    <row r="626">
      <c r="A626" s="30" t="inlineStr">
        <is>
          <t>stores</t>
        </is>
      </c>
      <c r="B626" s="26">
        <f>IFERROR(INDEX(Mots!$B:$B,MATCH($A626,Mots!$A:$A,0)),"introuvable")</f>
        <v/>
      </c>
      <c r="C626" s="30" t="inlineStr">
        <is>
          <t>structure_maison</t>
        </is>
      </c>
    </row>
    <row r="627">
      <c r="A627" s="30" t="inlineStr">
        <is>
          <t>volets</t>
        </is>
      </c>
      <c r="B627" s="26">
        <f>IFERROR(INDEX(Mots!$B:$B,MATCH($A627,Mots!$A:$A,0)),"introuvable")</f>
        <v/>
      </c>
      <c r="C627" s="30" t="inlineStr">
        <is>
          <t>structure_maison</t>
        </is>
      </c>
    </row>
    <row r="628">
      <c r="A628" s="30" t="inlineStr">
        <is>
          <t>escalier</t>
        </is>
      </c>
      <c r="B628" s="26">
        <f>IFERROR(INDEX(Mots!$B:$B,MATCH($A628,Mots!$A:$A,0)),"introuvable")</f>
        <v/>
      </c>
      <c r="C628" s="30" t="inlineStr">
        <is>
          <t>structure_maison</t>
        </is>
      </c>
    </row>
    <row r="629">
      <c r="A629" s="30" t="inlineStr">
        <is>
          <t>ampoule</t>
        </is>
      </c>
      <c r="B629" s="26">
        <f>IFERROR(INDEX(Mots!$B:$B,MATCH($A629,Mots!$A:$A,0)),"introuvable")</f>
        <v/>
      </c>
      <c r="C629" s="30" t="inlineStr">
        <is>
          <t>structure_maison</t>
        </is>
      </c>
    </row>
    <row r="630">
      <c r="A630" s="30" t="inlineStr">
        <is>
          <t>interupteur</t>
        </is>
      </c>
      <c r="B630" s="26">
        <f>IFERROR(INDEX(Mots!$B:$B,MATCH($A630,Mots!$A:$A,0)),"introuvable")</f>
        <v/>
      </c>
      <c r="C630" s="30" t="inlineStr">
        <is>
          <t>structure_maison</t>
        </is>
      </c>
    </row>
    <row r="631">
      <c r="A631" s="30" t="inlineStr">
        <is>
          <t>fusibles_pour_lelectricite</t>
        </is>
      </c>
      <c r="B631" s="26">
        <f>IFERROR(INDEX(Mots!$B:$B,MATCH($A631,Mots!$A:$A,0)),"introuvable")</f>
        <v/>
      </c>
      <c r="C631" s="30" t="inlineStr">
        <is>
          <t>structure_maison</t>
        </is>
      </c>
    </row>
    <row r="632">
      <c r="A632" s="30" t="inlineStr">
        <is>
          <t>mur</t>
        </is>
      </c>
      <c r="B632" s="26">
        <f>IFERROR(INDEX(Mots!$B:$B,MATCH($A632,Mots!$A:$A,0)),"introuvable")</f>
        <v/>
      </c>
      <c r="C632" s="30" t="inlineStr">
        <is>
          <t>structure_maison</t>
        </is>
      </c>
    </row>
    <row r="633">
      <c r="A633" s="30" t="inlineStr">
        <is>
          <t>toit</t>
        </is>
      </c>
      <c r="B633" s="26">
        <f>IFERROR(INDEX(Mots!$B:$B,MATCH($A633,Mots!$A:$A,0)),"introuvable")</f>
        <v/>
      </c>
      <c r="C633" s="30" t="inlineStr">
        <is>
          <t>structure_maison</t>
        </is>
      </c>
    </row>
    <row r="634">
      <c r="A634" s="30" t="inlineStr">
        <is>
          <t>cheneau</t>
        </is>
      </c>
      <c r="B634" s="26">
        <f>IFERROR(INDEX(Mots!$B:$B,MATCH($A634,Mots!$A:$A,0)),"introuvable")</f>
        <v/>
      </c>
      <c r="C634" s="30" t="inlineStr">
        <is>
          <t>structure_maison</t>
        </is>
      </c>
    </row>
    <row r="635">
      <c r="A635" s="30" t="inlineStr">
        <is>
          <t>barriere</t>
        </is>
      </c>
      <c r="B635" s="26">
        <f>IFERROR(INDEX(Mots!$B:$B,MATCH($A635,Mots!$A:$A,0)),"introuvable")</f>
        <v/>
      </c>
      <c r="C635" s="30" t="inlineStr">
        <is>
          <t>structure_maison</t>
        </is>
      </c>
    </row>
    <row r="636">
      <c r="A636" s="30" t="inlineStr">
        <is>
          <t>prise</t>
        </is>
      </c>
      <c r="B636" s="26">
        <f>IFERROR(INDEX(Mots!$B:$B,MATCH($A636,Mots!$A:$A,0)),"introuvable")</f>
        <v/>
      </c>
      <c r="C636" s="30" t="inlineStr">
        <is>
          <t>structure_maison</t>
        </is>
      </c>
    </row>
    <row r="637">
      <c r="A637" s="30" t="inlineStr">
        <is>
          <t>serrure</t>
        </is>
      </c>
      <c r="B637" s="26">
        <f>IFERROR(INDEX(Mots!$B:$B,MATCH($A637,Mots!$A:$A,0)),"introuvable")</f>
        <v/>
      </c>
      <c r="C637" s="30" t="inlineStr">
        <is>
          <t>structure_maison</t>
        </is>
      </c>
    </row>
    <row r="638">
      <c r="A638" s="30" t="inlineStr">
        <is>
          <t>fourneau_bois</t>
        </is>
      </c>
      <c r="B638" s="26">
        <f>IFERROR(INDEX(Mots!$B:$B,MATCH($A638,Mots!$A:$A,0)),"introuvable")</f>
        <v/>
      </c>
      <c r="C638" s="30" t="inlineStr">
        <is>
          <t>structure_maison</t>
        </is>
      </c>
      <c r="D638" s="30" t="inlineStr">
        <is>
          <t>salon_maison</t>
        </is>
      </c>
    </row>
    <row r="639">
      <c r="A639" s="30" t="inlineStr">
        <is>
          <t>fourneau_pellets</t>
        </is>
      </c>
      <c r="B639" s="26">
        <f>IFERROR(INDEX(Mots!$B:$B,MATCH($A639,Mots!$A:$A,0)),"introuvable")</f>
        <v/>
      </c>
      <c r="C639" s="30" t="inlineStr">
        <is>
          <t>structure_maison</t>
        </is>
      </c>
      <c r="D639" s="30" t="inlineStr">
        <is>
          <t>salon_maison</t>
        </is>
      </c>
    </row>
    <row r="640">
      <c r="A640" s="30" t="inlineStr">
        <is>
          <t>christophe_g</t>
        </is>
      </c>
      <c r="B640" s="26">
        <f>IFERROR(INDEX(Mots!$B:$B,MATCH($A640,Mots!$A:$A,0)),"introuvable")</f>
        <v/>
      </c>
      <c r="C640" s="30" t="inlineStr">
        <is>
          <t>divers</t>
        </is>
      </c>
    </row>
    <row r="641">
      <c r="A641" s="30" t="inlineStr">
        <is>
          <t>claudine_f</t>
        </is>
      </c>
      <c r="B641" s="26">
        <f>IFERROR(INDEX(Mots!$B:$B,MATCH($A641,Mots!$A:$A,0)),"introuvable")</f>
        <v/>
      </c>
      <c r="C641" s="30" t="inlineStr">
        <is>
          <t>divers</t>
        </is>
      </c>
    </row>
    <row r="642">
      <c r="A642" s="30" t="inlineStr">
        <is>
          <t>damien_lagger</t>
        </is>
      </c>
      <c r="B642" s="26">
        <f>IFERROR(INDEX(Mots!$B:$B,MATCH($A642,Mots!$A:$A,0)),"introuvable")</f>
        <v/>
      </c>
      <c r="C642" s="30" t="inlineStr">
        <is>
          <t>divers</t>
        </is>
      </c>
    </row>
    <row r="643">
      <c r="A643" s="30" t="inlineStr">
        <is>
          <t>gautier_m</t>
        </is>
      </c>
      <c r="B643" s="26">
        <f>IFERROR(INDEX(Mots!$B:$B,MATCH($A643,Mots!$A:$A,0)),"introuvable")</f>
        <v/>
      </c>
      <c r="C643" s="30" t="inlineStr">
        <is>
          <t>divers</t>
        </is>
      </c>
    </row>
    <row r="644">
      <c r="A644" s="30" t="inlineStr">
        <is>
          <t>cuves</t>
        </is>
      </c>
      <c r="B644" s="26">
        <f>IFERROR(INDEX(Mots!$B:$B,MATCH($A644,Mots!$A:$A,0)),"introuvable")</f>
        <v/>
      </c>
      <c r="C644" s="30" t="inlineStr">
        <is>
          <t>divers</t>
        </is>
      </c>
    </row>
    <row r="645">
      <c r="A645" s="30" t="inlineStr">
        <is>
          <t>guepe</t>
        </is>
      </c>
      <c r="B645" s="26">
        <f>IFERROR(INDEX(Mots!$B:$B,MATCH($A645,Mots!$A:$A,0)),"introuvable")</f>
        <v/>
      </c>
      <c r="C645" s="30" t="inlineStr">
        <is>
          <t>insectes</t>
        </is>
      </c>
    </row>
    <row r="646">
      <c r="A646" s="30" t="inlineStr">
        <is>
          <t>personne</t>
        </is>
      </c>
      <c r="B646" s="26">
        <f>IFERROR(INDEX(Mots!$B:$B,MATCH($A646,Mots!$A:$A,0)),"introuvable")</f>
        <v/>
      </c>
      <c r="C646" s="30" t="inlineStr">
        <is>
          <t>divers</t>
        </is>
      </c>
    </row>
    <row r="647">
      <c r="A647" s="30" t="inlineStr">
        <is>
          <t>poche</t>
        </is>
      </c>
      <c r="B647" s="26">
        <f>IFERROR(INDEX(Mots!$B:$B,MATCH($A647,Mots!$A:$A,0)),"introuvable")</f>
        <v/>
      </c>
      <c r="C647" s="30" t="inlineStr">
        <is>
          <t>bas_vetements</t>
        </is>
      </c>
    </row>
    <row r="648">
      <c r="A648" s="30" t="inlineStr">
        <is>
          <t>robe</t>
        </is>
      </c>
      <c r="B648" s="26">
        <f>IFERROR(INDEX(Mots!$B:$B,MATCH($A648,Mots!$A:$A,0)),"introuvable")</f>
        <v/>
      </c>
      <c r="C648" s="30" t="inlineStr">
        <is>
          <t>bas_vetements</t>
        </is>
      </c>
    </row>
    <row r="649">
      <c r="A649" s="30" t="inlineStr">
        <is>
          <t>serviette</t>
        </is>
      </c>
      <c r="B649" s="26">
        <f>IFERROR(INDEX(Mots!$B:$B,MATCH($A649,Mots!$A:$A,0)),"introuvable")</f>
        <v/>
      </c>
      <c r="C649" s="30" t="inlineStr">
        <is>
          <t>sdb_maison</t>
        </is>
      </c>
    </row>
    <row r="650">
      <c r="A650" s="30" t="inlineStr">
        <is>
          <t>allumette</t>
        </is>
      </c>
      <c r="B650" s="26">
        <f>IFERROR(INDEX(Mots!$B:$B,MATCH($A650,Mots!$A:$A,0)),"introuvable")</f>
        <v/>
      </c>
      <c r="C650" s="30" t="inlineStr">
        <is>
          <t>structure_maison</t>
        </is>
      </c>
    </row>
    <row r="651">
      <c r="A651" s="30" t="inlineStr">
        <is>
          <t>bagage</t>
        </is>
      </c>
      <c r="B651" s="26">
        <f>IFERROR(INDEX(Mots!$B:$B,MATCH($A651,Mots!$A:$A,0)),"introuvable")</f>
        <v/>
      </c>
      <c r="C651" s="30" t="inlineStr">
        <is>
          <t>structure_maison</t>
        </is>
      </c>
    </row>
    <row r="652">
      <c r="A652" s="30" t="inlineStr">
        <is>
          <t>bouton</t>
        </is>
      </c>
      <c r="B652" s="26">
        <f>IFERROR(INDEX(Mots!$B:$B,MATCH($A652,Mots!$A:$A,0)),"introuvable")</f>
        <v/>
      </c>
      <c r="C652" s="30" t="inlineStr">
        <is>
          <t>haut_vêtements</t>
        </is>
      </c>
    </row>
    <row r="653">
      <c r="A653" s="30" t="inlineStr">
        <is>
          <t>chapeau</t>
        </is>
      </c>
      <c r="B653" s="26">
        <f>IFERROR(INDEX(Mots!$B:$B,MATCH($A653,Mots!$A:$A,0)),"introuvable")</f>
        <v/>
      </c>
      <c r="C653" s="30" t="inlineStr">
        <is>
          <t>accessoires</t>
        </is>
      </c>
    </row>
    <row r="654">
      <c r="A654" s="30" t="inlineStr">
        <is>
          <t>jardin</t>
        </is>
      </c>
      <c r="B654" s="26">
        <f>IFERROR(INDEX(Mots!$B:$B,MATCH($A654,Mots!$A:$A,0)),"introuvable")</f>
        <v/>
      </c>
      <c r="C654" s="30" t="inlineStr">
        <is>
          <t>divers</t>
        </is>
      </c>
    </row>
    <row r="655">
      <c r="A655" s="30" t="inlineStr">
        <is>
          <t>manteau</t>
        </is>
      </c>
      <c r="B655" s="26">
        <f>IFERROR(INDEX(Mots!$B:$B,MATCH($A655,Mots!$A:$A,0)),"introuvable")</f>
        <v/>
      </c>
      <c r="C655" s="30" t="inlineStr">
        <is>
          <t>haut_vêtements</t>
        </is>
      </c>
    </row>
    <row r="656">
      <c r="A656" s="30" t="inlineStr">
        <is>
          <t>miel</t>
        </is>
      </c>
      <c r="B656" s="26">
        <f>IFERROR(INDEX(Mots!$B:$B,MATCH($A656,Mots!$A:$A,0)),"introuvable")</f>
        <v/>
      </c>
      <c r="C656" s="30" t="inlineStr">
        <is>
          <t>denrees_base</t>
        </is>
      </c>
    </row>
    <row r="657">
      <c r="A657" s="30" t="inlineStr">
        <is>
          <t>plat</t>
        </is>
      </c>
      <c r="B657" s="26">
        <f>IFERROR(INDEX(Mots!$B:$B,MATCH($A657,Mots!$A:$A,0)),"introuvable")</f>
        <v/>
      </c>
      <c r="C657" s="30" t="inlineStr">
        <is>
          <t>cuisine_maison</t>
        </is>
      </c>
    </row>
    <row r="658">
      <c r="A658" s="30" t="inlineStr">
        <is>
          <t>repas</t>
        </is>
      </c>
      <c r="B658" s="26">
        <f>IFERROR(INDEX(Mots!$B:$B,MATCH($A658,Mots!$A:$A,0)),"introuvable")</f>
        <v/>
      </c>
      <c r="C658" s="30" t="inlineStr">
        <is>
          <t>divers</t>
        </is>
      </c>
    </row>
    <row r="659">
      <c r="A659" s="30" t="inlineStr">
        <is>
          <t>rideau</t>
        </is>
      </c>
      <c r="B659" s="26">
        <f>IFERROR(INDEX(Mots!$B:$B,MATCH($A659,Mots!$A:$A,0)),"introuvable")</f>
        <v/>
      </c>
      <c r="C659" s="30" t="inlineStr">
        <is>
          <t>chambre_maison</t>
        </is>
      </c>
      <c r="D659" s="30" t="inlineStr">
        <is>
          <t>divers</t>
        </is>
      </c>
    </row>
    <row r="660">
      <c r="A660" s="30" t="inlineStr">
        <is>
          <t>tonneaux</t>
        </is>
      </c>
      <c r="B660" s="26">
        <f>IFERROR(INDEX(Mots!$B:$B,MATCH($A660,Mots!$A:$A,0)),"introuvable")</f>
        <v/>
      </c>
      <c r="C660" s="30" t="inlineStr">
        <is>
          <t>divers</t>
        </is>
      </c>
    </row>
    <row r="661">
      <c r="A661" s="30" t="inlineStr">
        <is>
          <t>voisin</t>
        </is>
      </c>
      <c r="B661" s="26">
        <f>IFERROR(INDEX(Mots!$B:$B,MATCH($A661,Mots!$A:$A,0)),"introuvable")</f>
        <v/>
      </c>
      <c r="C661" s="30" t="inlineStr">
        <is>
          <t>divers</t>
        </is>
      </c>
    </row>
    <row r="662">
      <c r="A662" s="30" t="inlineStr">
        <is>
          <t>ciseaux</t>
        </is>
      </c>
      <c r="B662" s="26">
        <f>IFERROR(INDEX(Mots!$B:$B,MATCH($A662,Mots!$A:$A,0)),"introuvable")</f>
        <v/>
      </c>
      <c r="C662" s="30" t="inlineStr">
        <is>
          <t>cuisine_maison</t>
        </is>
      </c>
    </row>
    <row r="663">
      <c r="A663" s="30" t="inlineStr">
        <is>
          <t>gens</t>
        </is>
      </c>
      <c r="B663" s="26">
        <f>IFERROR(INDEX(Mots!$B:$B,MATCH($A663,Mots!$A:$A,0)),"introuvable")</f>
        <v/>
      </c>
      <c r="C663" s="30" t="inlineStr">
        <is>
          <t>divers</t>
        </is>
      </c>
    </row>
    <row r="664">
      <c r="A664" s="30" t="inlineStr">
        <is>
          <t>lunettes</t>
        </is>
      </c>
      <c r="B664" s="26">
        <f>IFERROR(INDEX(Mots!$B:$B,MATCH($A664,Mots!$A:$A,0)),"introuvable")</f>
        <v/>
      </c>
      <c r="C664" s="30" t="inlineStr">
        <is>
          <t>mots_courants</t>
        </is>
      </c>
    </row>
    <row r="665">
      <c r="A665" s="30" t="inlineStr">
        <is>
          <t>outil</t>
        </is>
      </c>
      <c r="B665" s="26">
        <f>IFERROR(INDEX(Mots!$B:$B,MATCH($A665,Mots!$A:$A,0)),"introuvable")</f>
        <v/>
      </c>
      <c r="C665" s="30" t="inlineStr">
        <is>
          <t>structure_maison</t>
        </is>
      </c>
    </row>
    <row r="666">
      <c r="A666" s="30" t="inlineStr">
        <is>
          <t>philippe_g</t>
        </is>
      </c>
      <c r="B666" s="26">
        <f>IFERROR(INDEX(Mots!$B:$B,MATCH($A666,Mots!$A:$A,0)),"introuvable")</f>
        <v/>
      </c>
      <c r="C666" s="30" t="inlineStr">
        <is>
          <t>divers</t>
        </is>
      </c>
    </row>
    <row r="667">
      <c r="A667" s="30" t="inlineStr">
        <is>
          <t>régis_e</t>
        </is>
      </c>
      <c r="B667" s="26">
        <f>IFERROR(INDEX(Mots!$B:$B,MATCH($A667,Mots!$A:$A,0)),"introuvable")</f>
        <v/>
      </c>
      <c r="C667" s="30" t="inlineStr">
        <is>
          <t>divers</t>
        </is>
      </c>
    </row>
    <row r="668">
      <c r="A668" s="30" t="inlineStr">
        <is>
          <t>stéphanie_g</t>
        </is>
      </c>
      <c r="B668" s="26">
        <f>IFERROR(INDEX(Mots!$B:$B,MATCH($A668,Mots!$A:$A,0)),"introuvable")</f>
        <v/>
      </c>
      <c r="C668" s="30" t="inlineStr">
        <is>
          <t>divers</t>
        </is>
      </c>
    </row>
    <row r="669">
      <c r="A669" s="30" t="inlineStr">
        <is>
          <t>yogurt</t>
        </is>
      </c>
      <c r="B669" s="26">
        <f>IFERROR(INDEX(Mots!$B:$B,MATCH($A669,Mots!$A:$A,0)),"introuvable")</f>
        <v/>
      </c>
      <c r="C669" s="30" t="inlineStr">
        <is>
          <t>denrees_base</t>
        </is>
      </c>
    </row>
    <row r="670">
      <c r="A670" s="30" t="inlineStr">
        <is>
          <t>vinaigre</t>
        </is>
      </c>
      <c r="B670" s="26">
        <f>IFERROR(INDEX(Mots!$B:$B,MATCH($A670,Mots!$A:$A,0)),"introuvable")</f>
        <v/>
      </c>
      <c r="C670" s="30" t="inlineStr">
        <is>
          <t>denrees_base</t>
        </is>
      </c>
    </row>
    <row r="671">
      <c r="A671" s="30" t="inlineStr">
        <is>
          <t>accompagnements</t>
        </is>
      </c>
      <c r="B671" s="26">
        <f>IFERROR(INDEX(Mots!$B:$B,MATCH($A671,Mots!$A:$A,0)),"introuvable")</f>
        <v/>
      </c>
      <c r="C671" s="30" t="inlineStr">
        <is>
          <t>accompagnements</t>
        </is>
      </c>
    </row>
    <row r="672">
      <c r="A672" s="30" t="inlineStr">
        <is>
          <t>tiramisu</t>
        </is>
      </c>
      <c r="B672" s="26">
        <f>IFERROR(INDEX(Mots!$B:$B,MATCH($A672,Mots!$A:$A,0)),"introuvable")</f>
        <v/>
      </c>
      <c r="C672" s="30" t="inlineStr">
        <is>
          <t>plats_cuisinés</t>
        </is>
      </c>
    </row>
    <row r="673">
      <c r="A673" s="30" t="inlineStr">
        <is>
          <t>coupe_fraises</t>
        </is>
      </c>
      <c r="B673" s="26">
        <f>IFERROR(INDEX(Mots!$B:$B,MATCH($A673,Mots!$A:$A,0)),"introuvable")</f>
        <v/>
      </c>
      <c r="C673" s="30" t="inlineStr">
        <is>
          <t>plats_cuisinés</t>
        </is>
      </c>
    </row>
    <row r="674">
      <c r="A674" s="30" t="inlineStr">
        <is>
          <t>big_mac</t>
        </is>
      </c>
      <c r="B674" s="26">
        <f>IFERROR(INDEX(Mots!$B:$B,MATCH($A674,Mots!$A:$A,0)),"introuvable")</f>
        <v/>
      </c>
      <c r="C674" s="30" t="inlineStr">
        <is>
          <t>a_emporter</t>
        </is>
      </c>
    </row>
    <row r="675">
      <c r="A675" s="30" t="inlineStr">
        <is>
          <t>carrelage</t>
        </is>
      </c>
      <c r="B675" s="26">
        <f>IFERROR(INDEX(Mots!$B:$B,MATCH($A675,Mots!$A:$A,0)),"introuvable")</f>
        <v/>
      </c>
      <c r="C675" s="30" t="inlineStr">
        <is>
          <t>structure_maison</t>
        </is>
      </c>
    </row>
    <row r="676">
      <c r="A676" s="30" t="inlineStr">
        <is>
          <t>poignee</t>
        </is>
      </c>
      <c r="B676" s="26">
        <f>IFERROR(INDEX(Mots!$B:$B,MATCH($A676,Mots!$A:$A,0)),"introuvable")</f>
        <v/>
      </c>
      <c r="C676" s="30" t="inlineStr">
        <is>
          <t>structure_maison</t>
        </is>
      </c>
    </row>
    <row r="677">
      <c r="A677" s="30" t="inlineStr">
        <is>
          <t>m_note</t>
        </is>
      </c>
      <c r="B677" s="26">
        <f>IFERROR(INDEX(Mots!$B:$B,MATCH($A677,Mots!$A:$A,0)),"introuvable")</f>
        <v/>
      </c>
      <c r="C677" s="30" t="inlineStr">
        <is>
          <t>solfège_musique</t>
        </is>
      </c>
    </row>
    <row r="678">
      <c r="A678" s="30" t="inlineStr">
        <is>
          <t>gamme</t>
        </is>
      </c>
      <c r="B678" s="26">
        <f>IFERROR(INDEX(Mots!$B:$B,MATCH($A678,Mots!$A:$A,0)),"introuvable")</f>
        <v/>
      </c>
      <c r="C678" s="30" t="inlineStr">
        <is>
          <t>solfège_musique</t>
        </is>
      </c>
    </row>
    <row r="679">
      <c r="A679" s="30" t="inlineStr">
        <is>
          <t>metronome</t>
        </is>
      </c>
      <c r="B679" s="26">
        <f>IFERROR(INDEX(Mots!$B:$B,MATCH($A679,Mots!$A:$A,0)),"introuvable")</f>
        <v/>
      </c>
      <c r="C679" s="30" t="inlineStr">
        <is>
          <t>accessoires_musique</t>
        </is>
      </c>
    </row>
    <row r="680">
      <c r="A680" s="30" t="inlineStr">
        <is>
          <t>levier_vitesse</t>
        </is>
      </c>
      <c r="B680" s="26">
        <f>IFERROR(INDEX(Mots!$B:$B,MATCH($A680,Mots!$A:$A,0)),"introuvable")</f>
        <v/>
      </c>
      <c r="C680" s="30" t="inlineStr">
        <is>
          <t>ma_voiture_int</t>
        </is>
      </c>
    </row>
    <row r="681">
      <c r="A681" s="30" t="inlineStr">
        <is>
          <t>v_recurrer</t>
        </is>
      </c>
      <c r="B681" s="26">
        <f>IFERROR(INDEX(Mots!$B:$B,MATCH($A681,Mots!$A:$A,0)),"introuvable")</f>
        <v/>
      </c>
      <c r="C681" s="30" t="inlineStr">
        <is>
          <t>nettoyage_maison</t>
        </is>
      </c>
    </row>
    <row r="682">
      <c r="A682" s="30" t="inlineStr">
        <is>
          <t>leopard</t>
        </is>
      </c>
      <c r="B682" s="26">
        <f>IFERROR(INDEX(Mots!$B:$B,MATCH($A682,Mots!$A:$A,0)),"introuvable")</f>
        <v/>
      </c>
      <c r="C682" s="30" t="inlineStr">
        <is>
          <t>sauvages</t>
        </is>
      </c>
    </row>
    <row r="683">
      <c r="A683" s="30" t="inlineStr">
        <is>
          <t>moustique</t>
        </is>
      </c>
      <c r="B683" s="26">
        <f>IFERROR(INDEX(Mots!$B:$B,MATCH($A683,Mots!$A:$A,0)),"introuvable")</f>
        <v/>
      </c>
      <c r="C683" s="30" t="inlineStr">
        <is>
          <t>insectes</t>
        </is>
      </c>
    </row>
    <row r="684">
      <c r="A684" s="30" t="inlineStr">
        <is>
          <t>jambon</t>
        </is>
      </c>
      <c r="B684" s="26">
        <f>IFERROR(INDEX(Mots!$B:$B,MATCH($A684,Mots!$A:$A,0)),"introuvable")</f>
        <v/>
      </c>
      <c r="C684" s="30"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30" t="inlineStr">
        <is>
          <t>meuble</t>
        </is>
      </c>
      <c r="F26" s="26">
        <f>IFERROR(INDEX(Mots!$B:$B,MATCH($E26,Mots!$A:$A,0)),"introuvable")</f>
        <v/>
      </c>
    </row>
    <row r="27">
      <c r="A27" s="15" t="inlineStr">
        <is>
          <t>sorte</t>
        </is>
      </c>
      <c r="B27" s="15" t="inlineStr">
        <is>
          <t>outil</t>
        </is>
      </c>
      <c r="C27" s="15" t="inlineStr">
        <is>
          <t>un outil</t>
        </is>
      </c>
      <c r="D27" s="15" t="n">
        <v>4</v>
      </c>
      <c r="E27" s="30" t="inlineStr">
        <is>
          <t>outil</t>
        </is>
      </c>
      <c r="F27" s="26">
        <f>IFERROR(INDEX(Mots!$B:$B,MATCH($E27,Mots!$A:$A,0)),"introuvable")</f>
        <v/>
      </c>
    </row>
    <row r="28">
      <c r="A28" s="15" t="inlineStr">
        <is>
          <t>sorte</t>
        </is>
      </c>
      <c r="B28" s="15" t="inlineStr">
        <is>
          <t>appareil</t>
        </is>
      </c>
      <c r="C28" s="15" t="inlineStr">
        <is>
          <t>un appareil</t>
        </is>
      </c>
      <c r="D28" s="15" t="n">
        <v>5</v>
      </c>
      <c r="E28" s="30" t="inlineStr">
        <is>
          <t>appareil</t>
        </is>
      </c>
      <c r="F28" s="26">
        <f>IFERROR(INDEX(Mots!$B:$B,MATCH($E28,Mots!$A:$A,0)),"introuvable")</f>
        <v/>
      </c>
    </row>
    <row r="29">
      <c r="A29" s="15" t="inlineStr">
        <is>
          <t>sorte</t>
        </is>
      </c>
      <c r="B29" s="15" t="inlineStr">
        <is>
          <t>recipient</t>
        </is>
      </c>
      <c r="C29" s="15" t="inlineStr">
        <is>
          <t>un récipient</t>
        </is>
      </c>
      <c r="D29" s="15" t="n">
        <v>6</v>
      </c>
      <c r="E29" s="30" t="inlineStr">
        <is>
          <t>recipient</t>
        </is>
      </c>
      <c r="F29" s="26">
        <f>IFERROR(INDEX(Mots!$B:$B,MATCH($E29,Mots!$A:$A,0)),"introuvable")</f>
        <v/>
      </c>
    </row>
    <row r="30">
      <c r="A30" s="15" t="inlineStr">
        <is>
          <t>sorte</t>
        </is>
      </c>
      <c r="B30" s="15" t="inlineStr">
        <is>
          <t>vetement</t>
        </is>
      </c>
      <c r="C30" s="15" t="inlineStr">
        <is>
          <t>un vêtement</t>
        </is>
      </c>
      <c r="D30" s="15" t="n">
        <v>7</v>
      </c>
      <c r="E30" s="30" t="inlineStr">
        <is>
          <t>habit</t>
        </is>
      </c>
      <c r="F30" s="26">
        <f>IFERROR(INDEX(Mots!$B:$B,MATCH($E30,Mots!$A:$A,0)),"introuvable")</f>
        <v/>
      </c>
    </row>
    <row r="31">
      <c r="A31" s="15" t="inlineStr">
        <is>
          <t>sorte</t>
        </is>
      </c>
      <c r="B31" s="15" t="inlineStr">
        <is>
          <t>aliment</t>
        </is>
      </c>
      <c r="C31" s="15" t="inlineStr">
        <is>
          <t>un aliment</t>
        </is>
      </c>
      <c r="D31" s="15" t="n">
        <v>8</v>
      </c>
      <c r="E31" s="30"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30" t="inlineStr">
        <is>
          <t>batiment</t>
        </is>
      </c>
      <c r="F33" s="26">
        <f>IFERROR(INDEX(Mots!$B:$B,MATCH($E33,Mots!$A:$A,0)),"introuvable")</f>
        <v/>
      </c>
    </row>
    <row r="34">
      <c r="A34" s="15" t="inlineStr">
        <is>
          <t>sorte</t>
        </is>
      </c>
      <c r="B34" s="15" t="inlineStr">
        <is>
          <t>animal</t>
        </is>
      </c>
      <c r="C34" s="15" t="inlineStr">
        <is>
          <t>un animal</t>
        </is>
      </c>
      <c r="D34" s="15" t="n">
        <v>11</v>
      </c>
      <c r="E34" s="30" t="inlineStr">
        <is>
          <t>animal</t>
        </is>
      </c>
      <c r="F34" s="26">
        <f>IFERROR(INDEX(Mots!$B:$B,MATCH($E34,Mots!$A:$A,0)),"introuvable")</f>
        <v/>
      </c>
    </row>
    <row r="35">
      <c r="A35" s="15" t="inlineStr">
        <is>
          <t>sorte</t>
        </is>
      </c>
      <c r="B35" s="15" t="inlineStr">
        <is>
          <t>plante</t>
        </is>
      </c>
      <c r="C35" s="15" t="inlineStr">
        <is>
          <t>une plante</t>
        </is>
      </c>
      <c r="D35" s="15" t="n">
        <v>12</v>
      </c>
      <c r="E35" s="30" t="inlineStr">
        <is>
          <t>plante</t>
        </is>
      </c>
      <c r="F35" s="26">
        <f>IFERROR(INDEX(Mots!$B:$B,MATCH($E35,Mots!$A:$A,0)),"introuvable")</f>
        <v/>
      </c>
    </row>
    <row r="36">
      <c r="A36" s="15" t="inlineStr">
        <is>
          <t>sorte</t>
        </is>
      </c>
      <c r="B36" s="15" t="inlineStr">
        <is>
          <t>document</t>
        </is>
      </c>
      <c r="C36" s="15" t="inlineStr">
        <is>
          <t>un document</t>
        </is>
      </c>
      <c r="D36" s="15" t="n">
        <v>13</v>
      </c>
      <c r="E36" s="30" t="inlineStr">
        <is>
          <t>document</t>
        </is>
      </c>
      <c r="F36" s="26">
        <f>IFERROR(INDEX(Mots!$B:$B,MATCH($E36,Mots!$A:$A,0)),"introuvable")</f>
        <v/>
      </c>
    </row>
    <row r="37">
      <c r="A37" s="15" t="inlineStr">
        <is>
          <t>sorte</t>
        </is>
      </c>
      <c r="B37" s="15" t="inlineStr">
        <is>
          <t>matiere</t>
        </is>
      </c>
      <c r="C37" s="15" t="inlineStr">
        <is>
          <t>une matière</t>
        </is>
      </c>
      <c r="D37" s="15" t="n">
        <v>14</v>
      </c>
      <c r="E37" s="30"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30"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30" t="inlineStr">
        <is>
          <t>sandwich</t>
        </is>
      </c>
      <c r="B2" s="26">
        <f>IFERROR(INDEX(Mots!$B:$B,MATCH($A2,Mots!$A:$A,0)),"introuvable")</f>
        <v/>
      </c>
      <c r="I2" s="30" t="inlineStr">
        <is>
          <t>cuisine</t>
        </is>
      </c>
      <c r="N2" s="30" t="inlineStr">
        <is>
          <t>manger_boire</t>
        </is>
      </c>
    </row>
    <row r="3">
      <c r="A3" s="30" t="inlineStr">
        <is>
          <t>lettre</t>
        </is>
      </c>
      <c r="B3" s="26">
        <f>IFERROR(INDEX(Mots!$B:$B,MATCH($A3,Mots!$A:$A,0)),"introuvable")</f>
        <v/>
      </c>
      <c r="I3" s="30" t="inlineStr">
        <is>
          <t>travail</t>
        </is>
      </c>
      <c r="N3" s="30" t="inlineStr">
        <is>
          <t>travailler</t>
        </is>
      </c>
    </row>
    <row r="4">
      <c r="A4" s="30" t="inlineStr">
        <is>
          <t>reunion</t>
        </is>
      </c>
      <c r="B4" s="26">
        <f>IFERROR(INDEX(Mots!$B:$B,MATCH($A4,Mots!$A:$A,0)),"introuvable")</f>
        <v/>
      </c>
      <c r="I4" s="30" t="inlineStr">
        <is>
          <t>travail</t>
        </is>
      </c>
      <c r="N4" s="30" t="inlineStr">
        <is>
          <t>travailler</t>
        </is>
      </c>
    </row>
    <row r="5">
      <c r="A5" s="30" t="inlineStr">
        <is>
          <t>m_bureau</t>
        </is>
      </c>
      <c r="B5" s="26">
        <f>IFERROR(INDEX(Mots!$B:$B,MATCH($A5,Mots!$A:$A,0)),"introuvable")</f>
        <v/>
      </c>
      <c r="C5" s="30" t="inlineStr">
        <is>
          <t>meuble</t>
        </is>
      </c>
      <c r="I5" s="30" t="inlineStr">
        <is>
          <t>travail</t>
        </is>
      </c>
      <c r="N5" s="30" t="inlineStr">
        <is>
          <t>travailler</t>
        </is>
      </c>
    </row>
    <row r="6">
      <c r="A6" s="30" t="inlineStr">
        <is>
          <t>rapport</t>
        </is>
      </c>
      <c r="B6" s="26">
        <f>IFERROR(INDEX(Mots!$B:$B,MATCH($A6,Mots!$A:$A,0)),"introuvable")</f>
        <v/>
      </c>
      <c r="I6" s="30" t="inlineStr">
        <is>
          <t>travail</t>
        </is>
      </c>
      <c r="N6" s="30" t="inlineStr">
        <is>
          <t>travailler</t>
        </is>
      </c>
    </row>
    <row r="7">
      <c r="A7" s="30" t="inlineStr">
        <is>
          <t>entreprise</t>
        </is>
      </c>
      <c r="B7" s="26">
        <f>IFERROR(INDEX(Mots!$B:$B,MATCH($A7,Mots!$A:$A,0)),"introuvable")</f>
        <v/>
      </c>
      <c r="I7" s="30" t="inlineStr">
        <is>
          <t>travail</t>
        </is>
      </c>
      <c r="N7" s="30" t="inlineStr">
        <is>
          <t>travailler</t>
        </is>
      </c>
    </row>
    <row r="8">
      <c r="A8" s="30" t="inlineStr">
        <is>
          <t>equipe</t>
        </is>
      </c>
      <c r="B8" s="26">
        <f>IFERROR(INDEX(Mots!$B:$B,MATCH($A8,Mots!$A:$A,0)),"introuvable")</f>
        <v/>
      </c>
      <c r="I8" s="30" t="inlineStr">
        <is>
          <t>travail</t>
        </is>
      </c>
      <c r="N8" s="30" t="inlineStr">
        <is>
          <t>travailler</t>
        </is>
      </c>
    </row>
    <row r="9">
      <c r="A9" s="30" t="inlineStr">
        <is>
          <t>famille</t>
        </is>
      </c>
      <c r="B9" s="26">
        <f>IFERROR(INDEX(Mots!$B:$B,MATCH($A9,Mots!$A:$A,0)),"introuvable")</f>
        <v/>
      </c>
      <c r="W9" s="30" t="inlineStr">
        <is>
          <t>famille</t>
        </is>
      </c>
      <c r="X9" s="30" t="inlineStr">
        <is>
          <t>connaissance</t>
        </is>
      </c>
    </row>
    <row r="10">
      <c r="A10" s="30" t="inlineStr">
        <is>
          <t>mari_et_femme</t>
        </is>
      </c>
      <c r="B10" s="26">
        <f>IFERROR(INDEX(Mots!$B:$B,MATCH($A10,Mots!$A:$A,0)),"introuvable")</f>
        <v/>
      </c>
      <c r="W10" s="30" t="inlineStr">
        <is>
          <t>famille</t>
        </is>
      </c>
    </row>
    <row r="11">
      <c r="A11" s="30" t="inlineStr">
        <is>
          <t>mere</t>
        </is>
      </c>
      <c r="B11" s="26">
        <f>IFERROR(INDEX(Mots!$B:$B,MATCH($A11,Mots!$A:$A,0)),"introuvable")</f>
        <v/>
      </c>
      <c r="W11" s="30" t="inlineStr">
        <is>
          <t>famille</t>
        </is>
      </c>
    </row>
    <row r="12">
      <c r="A12" s="30" t="inlineStr">
        <is>
          <t>pere</t>
        </is>
      </c>
      <c r="B12" s="26">
        <f>IFERROR(INDEX(Mots!$B:$B,MATCH($A12,Mots!$A:$A,0)),"introuvable")</f>
        <v/>
      </c>
      <c r="W12" s="30" t="inlineStr">
        <is>
          <t>famille</t>
        </is>
      </c>
    </row>
    <row r="13">
      <c r="A13" s="30" t="inlineStr">
        <is>
          <t>enfants</t>
        </is>
      </c>
      <c r="B13" s="26">
        <f>IFERROR(INDEX(Mots!$B:$B,MATCH($A13,Mots!$A:$A,0)),"introuvable")</f>
        <v/>
      </c>
      <c r="W13" s="30" t="inlineStr">
        <is>
          <t>famille</t>
        </is>
      </c>
    </row>
    <row r="14">
      <c r="A14" s="30" t="inlineStr">
        <is>
          <t>bebe</t>
        </is>
      </c>
      <c r="B14" s="26">
        <f>IFERROR(INDEX(Mots!$B:$B,MATCH($A14,Mots!$A:$A,0)),"introuvable")</f>
        <v/>
      </c>
      <c r="W14" s="30" t="inlineStr">
        <is>
          <t>famille</t>
        </is>
      </c>
    </row>
    <row r="15">
      <c r="A15" s="30" t="inlineStr">
        <is>
          <t>fille</t>
        </is>
      </c>
      <c r="B15" s="26">
        <f>IFERROR(INDEX(Mots!$B:$B,MATCH($A15,Mots!$A:$A,0)),"introuvable")</f>
        <v/>
      </c>
      <c r="W15" s="30" t="inlineStr">
        <is>
          <t>famille</t>
        </is>
      </c>
    </row>
    <row r="16">
      <c r="A16" s="30" t="inlineStr">
        <is>
          <t>fils</t>
        </is>
      </c>
      <c r="B16" s="26">
        <f>IFERROR(INDEX(Mots!$B:$B,MATCH($A16,Mots!$A:$A,0)),"introuvable")</f>
        <v/>
      </c>
      <c r="W16" s="30" t="inlineStr">
        <is>
          <t>famille</t>
        </is>
      </c>
    </row>
    <row r="17">
      <c r="A17" s="30" t="inlineStr">
        <is>
          <t>grand_mere</t>
        </is>
      </c>
      <c r="B17" s="26">
        <f>IFERROR(INDEX(Mots!$B:$B,MATCH($A17,Mots!$A:$A,0)),"introuvable")</f>
        <v/>
      </c>
      <c r="W17" s="30" t="inlineStr">
        <is>
          <t>famille</t>
        </is>
      </c>
    </row>
    <row r="18">
      <c r="A18" s="30" t="inlineStr">
        <is>
          <t>grand_pere</t>
        </is>
      </c>
      <c r="B18" s="26">
        <f>IFERROR(INDEX(Mots!$B:$B,MATCH($A18,Mots!$A:$A,0)),"introuvable")</f>
        <v/>
      </c>
      <c r="W18" s="30" t="inlineStr">
        <is>
          <t>famille</t>
        </is>
      </c>
    </row>
    <row r="19">
      <c r="A19" s="30" t="inlineStr">
        <is>
          <t>soeur</t>
        </is>
      </c>
      <c r="B19" s="26">
        <f>IFERROR(INDEX(Mots!$B:$B,MATCH($A19,Mots!$A:$A,0)),"introuvable")</f>
        <v/>
      </c>
      <c r="W19" s="30" t="inlineStr">
        <is>
          <t>famille</t>
        </is>
      </c>
    </row>
    <row r="20">
      <c r="A20" s="30" t="inlineStr">
        <is>
          <t>frere</t>
        </is>
      </c>
      <c r="B20" s="26">
        <f>IFERROR(INDEX(Mots!$B:$B,MATCH($A20,Mots!$A:$A,0)),"introuvable")</f>
        <v/>
      </c>
      <c r="W20" s="30" t="inlineStr">
        <is>
          <t>famille</t>
        </is>
      </c>
    </row>
    <row r="21">
      <c r="A21" s="30" t="inlineStr">
        <is>
          <t>tante</t>
        </is>
      </c>
      <c r="B21" s="26">
        <f>IFERROR(INDEX(Mots!$B:$B,MATCH($A21,Mots!$A:$A,0)),"introuvable")</f>
        <v/>
      </c>
      <c r="W21" s="30" t="inlineStr">
        <is>
          <t>famille</t>
        </is>
      </c>
    </row>
    <row r="22">
      <c r="A22" s="30" t="inlineStr">
        <is>
          <t>oncle</t>
        </is>
      </c>
      <c r="B22" s="26">
        <f>IFERROR(INDEX(Mots!$B:$B,MATCH($A22,Mots!$A:$A,0)),"introuvable")</f>
        <v/>
      </c>
      <c r="W22" s="30" t="inlineStr">
        <is>
          <t>famille</t>
        </is>
      </c>
    </row>
    <row r="23">
      <c r="A23" s="30" t="inlineStr">
        <is>
          <t>pelouse</t>
        </is>
      </c>
      <c r="B23" s="26">
        <f>IFERROR(INDEX(Mots!$B:$B,MATCH($A23,Mots!$A:$A,0)),"introuvable")</f>
        <v/>
      </c>
      <c r="I23" s="30" t="inlineStr">
        <is>
          <t>dehors</t>
        </is>
      </c>
    </row>
    <row r="24">
      <c r="A24" s="30" t="inlineStr">
        <is>
          <t>table_de_jardin</t>
        </is>
      </c>
      <c r="B24" s="26">
        <f>IFERROR(INDEX(Mots!$B:$B,MATCH($A24,Mots!$A:$A,0)),"introuvable")</f>
        <v/>
      </c>
      <c r="C24" s="30" t="inlineStr">
        <is>
          <t>meuble</t>
        </is>
      </c>
      <c r="I24" s="30" t="inlineStr">
        <is>
          <t>dehors</t>
        </is>
      </c>
    </row>
    <row r="25">
      <c r="A25" s="30" t="inlineStr">
        <is>
          <t>haie_de_thujas</t>
        </is>
      </c>
      <c r="B25" s="26">
        <f>IFERROR(INDEX(Mots!$B:$B,MATCH($A25,Mots!$A:$A,0)),"introuvable")</f>
        <v/>
      </c>
      <c r="C25" s="30" t="inlineStr">
        <is>
          <t>plante</t>
        </is>
      </c>
      <c r="I25" s="30" t="inlineStr">
        <is>
          <t>dehors</t>
        </is>
      </c>
    </row>
    <row r="26">
      <c r="A26" s="30" t="inlineStr">
        <is>
          <t>arrosage_automatique</t>
        </is>
      </c>
      <c r="B26" s="26">
        <f>IFERROR(INDEX(Mots!$B:$B,MATCH($A26,Mots!$A:$A,0)),"introuvable")</f>
        <v/>
      </c>
      <c r="I26" s="30" t="inlineStr">
        <is>
          <t>dehors</t>
        </is>
      </c>
    </row>
    <row r="27">
      <c r="A27" s="30" t="inlineStr">
        <is>
          <t>tondeuse_a_gazon</t>
        </is>
      </c>
      <c r="B27" s="26">
        <f>IFERROR(INDEX(Mots!$B:$B,MATCH($A27,Mots!$A:$A,0)),"introuvable")</f>
        <v/>
      </c>
      <c r="C27" s="30" t="inlineStr">
        <is>
          <t>appareil</t>
        </is>
      </c>
      <c r="I27" s="30" t="inlineStr">
        <is>
          <t>dehors</t>
        </is>
      </c>
    </row>
    <row r="28">
      <c r="A28" s="30" t="inlineStr">
        <is>
          <t>essence_pour_tondeuse</t>
        </is>
      </c>
      <c r="B28" s="26">
        <f>IFERROR(INDEX(Mots!$B:$B,MATCH($A28,Mots!$A:$A,0)),"introuvable")</f>
        <v/>
      </c>
      <c r="I28" s="30" t="inlineStr">
        <is>
          <t>dehors</t>
        </is>
      </c>
    </row>
    <row r="29">
      <c r="A29" s="30" t="inlineStr">
        <is>
          <t>debroussailleuse</t>
        </is>
      </c>
      <c r="B29" s="26">
        <f>IFERROR(INDEX(Mots!$B:$B,MATCH($A29,Mots!$A:$A,0)),"introuvable")</f>
        <v/>
      </c>
      <c r="C29" s="30" t="inlineStr">
        <is>
          <t>outil</t>
        </is>
      </c>
      <c r="I29" s="30" t="inlineStr">
        <is>
          <t>dehors</t>
        </is>
      </c>
    </row>
    <row r="30">
      <c r="A30" s="30" t="inlineStr">
        <is>
          <t>fil_debroussailleuse</t>
        </is>
      </c>
      <c r="B30" s="26">
        <f>IFERROR(INDEX(Mots!$B:$B,MATCH($A30,Mots!$A:$A,0)),"introuvable")</f>
        <v/>
      </c>
      <c r="I30" s="30" t="inlineStr">
        <is>
          <t>dehors</t>
        </is>
      </c>
    </row>
    <row r="31">
      <c r="A31" s="30" t="inlineStr">
        <is>
          <t>don_honneur</t>
        </is>
      </c>
      <c r="B31" s="26">
        <f>IFERROR(INDEX(Mots!$B:$B,MATCH($A31,Mots!$A:$A,0)),"introuvable")</f>
        <v/>
      </c>
      <c r="I31" s="30" t="inlineStr">
        <is>
          <t>musique</t>
        </is>
      </c>
      <c r="N31" s="30" t="inlineStr">
        <is>
          <t>jouer_musique</t>
        </is>
      </c>
    </row>
    <row r="32">
      <c r="A32" s="30" t="inlineStr">
        <is>
          <t>le_defile</t>
        </is>
      </c>
      <c r="B32" s="26">
        <f>IFERROR(INDEX(Mots!$B:$B,MATCH($A32,Mots!$A:$A,0)),"introuvable")</f>
        <v/>
      </c>
      <c r="I32" s="30" t="inlineStr">
        <is>
          <t>musique</t>
        </is>
      </c>
      <c r="N32" s="30" t="inlineStr">
        <is>
          <t>jouer_musique</t>
        </is>
      </c>
    </row>
    <row r="33">
      <c r="A33" s="30" t="inlineStr">
        <is>
          <t>asm</t>
        </is>
      </c>
      <c r="B33" s="26">
        <f>IFERROR(INDEX(Mots!$B:$B,MATCH($A33,Mots!$A:$A,0)),"introuvable")</f>
        <v/>
      </c>
      <c r="I33" s="30" t="inlineStr">
        <is>
          <t>musique</t>
        </is>
      </c>
      <c r="N33" s="30" t="inlineStr">
        <is>
          <t>jouer_musique</t>
        </is>
      </c>
    </row>
    <row r="34">
      <c r="A34" s="30" t="inlineStr">
        <is>
          <t>acmv</t>
        </is>
      </c>
      <c r="B34" s="26">
        <f>IFERROR(INDEX(Mots!$B:$B,MATCH($A34,Mots!$A:$A,0)),"introuvable")</f>
        <v/>
      </c>
      <c r="I34" s="30" t="inlineStr">
        <is>
          <t>musique</t>
        </is>
      </c>
      <c r="N34" s="30" t="inlineStr">
        <is>
          <t>jouer_musique</t>
        </is>
      </c>
    </row>
    <row r="35">
      <c r="A35" s="30" t="inlineStr">
        <is>
          <t>fmvc</t>
        </is>
      </c>
      <c r="B35" s="26">
        <f>IFERROR(INDEX(Mots!$B:$B,MATCH($A35,Mots!$A:$A,0)),"introuvable")</f>
        <v/>
      </c>
      <c r="I35" s="30" t="inlineStr">
        <is>
          <t>musique</t>
        </is>
      </c>
      <c r="N35" s="30" t="inlineStr">
        <is>
          <t>jouer_musique</t>
        </is>
      </c>
    </row>
    <row r="36">
      <c r="A36" s="30" t="inlineStr">
        <is>
          <t>yvan_maistre</t>
        </is>
      </c>
      <c r="B36" s="26">
        <f>IFERROR(INDEX(Mots!$B:$B,MATCH($A36,Mots!$A:$A,0)),"introuvable")</f>
        <v/>
      </c>
      <c r="I36" s="30" t="inlineStr">
        <is>
          <t>musique</t>
        </is>
      </c>
      <c r="N36" s="30" t="inlineStr">
        <is>
          <t>jouer_musique</t>
        </is>
      </c>
    </row>
    <row r="37">
      <c r="A37" s="30" t="inlineStr">
        <is>
          <t>baguette</t>
        </is>
      </c>
      <c r="B37" s="26">
        <f>IFERROR(INDEX(Mots!$B:$B,MATCH($A37,Mots!$A:$A,0)),"introuvable")</f>
        <v/>
      </c>
      <c r="I37" s="30" t="inlineStr">
        <is>
          <t>musique</t>
        </is>
      </c>
      <c r="N37" s="30" t="inlineStr">
        <is>
          <t>jouer_musique</t>
        </is>
      </c>
    </row>
    <row r="38">
      <c r="A38" s="30" t="inlineStr">
        <is>
          <t>chanson</t>
        </is>
      </c>
      <c r="B38" s="26">
        <f>IFERROR(INDEX(Mots!$B:$B,MATCH($A38,Mots!$A:$A,0)),"introuvable")</f>
        <v/>
      </c>
      <c r="I38" s="30" t="inlineStr">
        <is>
          <t>musique</t>
        </is>
      </c>
      <c r="N38" s="30" t="inlineStr">
        <is>
          <t>jouer_musique</t>
        </is>
      </c>
    </row>
    <row r="39">
      <c r="A39" s="30" t="inlineStr">
        <is>
          <t>chorale</t>
        </is>
      </c>
      <c r="B39" s="26">
        <f>IFERROR(INDEX(Mots!$B:$B,MATCH($A39,Mots!$A:$A,0)),"introuvable")</f>
        <v/>
      </c>
      <c r="I39" s="30" t="inlineStr">
        <is>
          <t>musique</t>
        </is>
      </c>
      <c r="N39" s="30" t="inlineStr">
        <is>
          <t>jouer_musique</t>
        </is>
      </c>
    </row>
    <row r="40">
      <c r="A40" s="30" t="inlineStr">
        <is>
          <t>danse</t>
        </is>
      </c>
      <c r="B40" s="26">
        <f>IFERROR(INDEX(Mots!$B:$B,MATCH($A40,Mots!$A:$A,0)),"introuvable")</f>
        <v/>
      </c>
      <c r="I40" s="30" t="inlineStr">
        <is>
          <t>musique</t>
        </is>
      </c>
      <c r="N40" s="30" t="inlineStr">
        <is>
          <t>jouer_musique</t>
        </is>
      </c>
    </row>
    <row r="41">
      <c r="A41" s="30" t="inlineStr">
        <is>
          <t>melodie</t>
        </is>
      </c>
      <c r="B41" s="26">
        <f>IFERROR(INDEX(Mots!$B:$B,MATCH($A41,Mots!$A:$A,0)),"introuvable")</f>
        <v/>
      </c>
      <c r="I41" s="30" t="inlineStr">
        <is>
          <t>musique</t>
        </is>
      </c>
      <c r="N41" s="30" t="inlineStr">
        <is>
          <t>jouer_musique</t>
        </is>
      </c>
    </row>
    <row r="42">
      <c r="A42" s="30" t="inlineStr">
        <is>
          <t>partition</t>
        </is>
      </c>
      <c r="B42" s="26">
        <f>IFERROR(INDEX(Mots!$B:$B,MATCH($A42,Mots!$A:$A,0)),"introuvable")</f>
        <v/>
      </c>
      <c r="I42" s="30" t="inlineStr">
        <is>
          <t>musique</t>
        </is>
      </c>
      <c r="N42" s="30" t="inlineStr">
        <is>
          <t>jouer_musique</t>
        </is>
      </c>
    </row>
    <row r="43">
      <c r="A43" s="30" t="inlineStr">
        <is>
          <t>repetition</t>
        </is>
      </c>
      <c r="B43" s="26">
        <f>IFERROR(INDEX(Mots!$B:$B,MATCH($A43,Mots!$A:$A,0)),"introuvable")</f>
        <v/>
      </c>
      <c r="I43" s="30" t="inlineStr">
        <is>
          <t>musique</t>
        </is>
      </c>
      <c r="N43" s="30" t="inlineStr">
        <is>
          <t>jouer_musique</t>
        </is>
      </c>
    </row>
    <row r="44">
      <c r="A44" s="30" t="inlineStr">
        <is>
          <t>scene</t>
        </is>
      </c>
      <c r="B44" s="26">
        <f>IFERROR(INDEX(Mots!$B:$B,MATCH($A44,Mots!$A:$A,0)),"introuvable")</f>
        <v/>
      </c>
      <c r="I44" s="30" t="inlineStr">
        <is>
          <t>musique</t>
        </is>
      </c>
      <c r="N44" s="30" t="inlineStr">
        <is>
          <t>jouer_musique</t>
        </is>
      </c>
    </row>
    <row r="45">
      <c r="A45" s="30" t="inlineStr">
        <is>
          <t>directeur</t>
        </is>
      </c>
      <c r="B45" s="26">
        <f>IFERROR(INDEX(Mots!$B:$B,MATCH($A45,Mots!$A:$A,0)),"introuvable")</f>
        <v/>
      </c>
      <c r="I45" s="30" t="inlineStr">
        <is>
          <t>musique</t>
        </is>
      </c>
      <c r="N45" s="30" t="inlineStr">
        <is>
          <t>jouer_musique</t>
        </is>
      </c>
    </row>
    <row r="46">
      <c r="A46" s="30" t="inlineStr">
        <is>
          <t>concert</t>
        </is>
      </c>
      <c r="B46" s="26">
        <f>IFERROR(INDEX(Mots!$B:$B,MATCH($A46,Mots!$A:$A,0)),"introuvable")</f>
        <v/>
      </c>
      <c r="I46" s="30" t="inlineStr">
        <is>
          <t>musique</t>
        </is>
      </c>
      <c r="N46" s="30" t="inlineStr">
        <is>
          <t>jouer_musique</t>
        </is>
      </c>
    </row>
    <row r="47">
      <c r="A47" s="30" t="inlineStr">
        <is>
          <t>public</t>
        </is>
      </c>
      <c r="B47" s="26">
        <f>IFERROR(INDEX(Mots!$B:$B,MATCH($A47,Mots!$A:$A,0)),"introuvable")</f>
        <v/>
      </c>
      <c r="I47" s="30" t="inlineStr">
        <is>
          <t>musique</t>
        </is>
      </c>
      <c r="N47" s="30" t="inlineStr">
        <is>
          <t>jouer_musique</t>
        </is>
      </c>
    </row>
    <row r="48">
      <c r="A48" s="30" t="inlineStr">
        <is>
          <t>son</t>
        </is>
      </c>
      <c r="B48" s="26">
        <f>IFERROR(INDEX(Mots!$B:$B,MATCH($A48,Mots!$A:$A,0)),"introuvable")</f>
        <v/>
      </c>
      <c r="I48" s="30" t="inlineStr">
        <is>
          <t>musique</t>
        </is>
      </c>
      <c r="N48" s="30" t="inlineStr">
        <is>
          <t>jouer_musique</t>
        </is>
      </c>
    </row>
    <row r="49">
      <c r="A49" s="30" t="inlineStr">
        <is>
          <t>souffle</t>
        </is>
      </c>
      <c r="B49" s="26">
        <f>IFERROR(INDEX(Mots!$B:$B,MATCH($A49,Mots!$A:$A,0)),"introuvable")</f>
        <v/>
      </c>
      <c r="I49" s="30" t="inlineStr">
        <is>
          <t>musique</t>
        </is>
      </c>
      <c r="N49" s="30" t="inlineStr">
        <is>
          <t>jouer_musique</t>
        </is>
      </c>
    </row>
    <row r="50">
      <c r="A50" s="30" t="inlineStr">
        <is>
          <t>spectacle</t>
        </is>
      </c>
      <c r="B50" s="26">
        <f>IFERROR(INDEX(Mots!$B:$B,MATCH($A50,Mots!$A:$A,0)),"introuvable")</f>
        <v/>
      </c>
      <c r="I50" s="30" t="inlineStr">
        <is>
          <t>salle_de_bain</t>
        </is>
      </c>
    </row>
    <row r="51">
      <c r="A51" s="30" t="inlineStr">
        <is>
          <t>applaudissements</t>
        </is>
      </c>
      <c r="B51" s="26">
        <f>IFERROR(INDEX(Mots!$B:$B,MATCH($A51,Mots!$A:$A,0)),"introuvable")</f>
        <v/>
      </c>
      <c r="I51" s="30" t="inlineStr">
        <is>
          <t>musique</t>
        </is>
      </c>
      <c r="N51" s="30" t="inlineStr">
        <is>
          <t>jouer_musique</t>
        </is>
      </c>
    </row>
    <row r="52">
      <c r="A52" s="30" t="inlineStr">
        <is>
          <t>paroles</t>
        </is>
      </c>
      <c r="B52" s="26">
        <f>IFERROR(INDEX(Mots!$B:$B,MATCH($A52,Mots!$A:$A,0)),"introuvable")</f>
        <v/>
      </c>
      <c r="N52" s="30" t="inlineStr">
        <is>
          <t>communiquer</t>
        </is>
      </c>
    </row>
    <row r="53">
      <c r="A53" s="30" t="inlineStr">
        <is>
          <t>harmonie</t>
        </is>
      </c>
      <c r="B53" s="26">
        <f>IFERROR(INDEX(Mots!$B:$B,MATCH($A53,Mots!$A:$A,0)),"introuvable")</f>
        <v/>
      </c>
      <c r="I53" s="30" t="inlineStr">
        <is>
          <t>musique</t>
        </is>
      </c>
      <c r="N53" s="30" t="inlineStr">
        <is>
          <t>jouer_musique</t>
        </is>
      </c>
    </row>
    <row r="54">
      <c r="A54" s="30" t="inlineStr">
        <is>
          <t>cuisine</t>
        </is>
      </c>
      <c r="B54" s="26">
        <f>IFERROR(INDEX(Mots!$B:$B,MATCH($A54,Mots!$A:$A,0)),"introuvable")</f>
        <v/>
      </c>
      <c r="E54" s="30" t="inlineStr">
        <is>
          <t>maison</t>
        </is>
      </c>
      <c r="I54" s="30" t="inlineStr">
        <is>
          <t>cuisine</t>
        </is>
      </c>
      <c r="N54" s="30" t="inlineStr">
        <is>
          <t>cuisiner</t>
        </is>
      </c>
    </row>
    <row r="55">
      <c r="A55" s="30" t="inlineStr">
        <is>
          <t>frigo</t>
        </is>
      </c>
      <c r="B55" s="26">
        <f>IFERROR(INDEX(Mots!$B:$B,MATCH($A55,Mots!$A:$A,0)),"introuvable")</f>
        <v/>
      </c>
      <c r="C55" s="30" t="inlineStr">
        <is>
          <t>appareil</t>
        </is>
      </c>
      <c r="I55" s="30" t="inlineStr">
        <is>
          <t>cuisine</t>
        </is>
      </c>
      <c r="N55" s="30" t="inlineStr">
        <is>
          <t>cuisiner</t>
        </is>
      </c>
    </row>
    <row r="56">
      <c r="A56" s="30" t="inlineStr">
        <is>
          <t>lave_vaisselle</t>
        </is>
      </c>
      <c r="B56" s="26">
        <f>IFERROR(INDEX(Mots!$B:$B,MATCH($A56,Mots!$A:$A,0)),"introuvable")</f>
        <v/>
      </c>
      <c r="C56" s="30" t="inlineStr">
        <is>
          <t>appareil</t>
        </is>
      </c>
      <c r="I56" s="30" t="inlineStr">
        <is>
          <t>cuisine</t>
        </is>
      </c>
      <c r="N56" s="30" t="inlineStr">
        <is>
          <t>cuisiner</t>
        </is>
      </c>
    </row>
    <row r="57">
      <c r="A57" s="30" t="inlineStr">
        <is>
          <t>four</t>
        </is>
      </c>
      <c r="B57" s="26">
        <f>IFERROR(INDEX(Mots!$B:$B,MATCH($A57,Mots!$A:$A,0)),"introuvable")</f>
        <v/>
      </c>
      <c r="C57" s="30" t="inlineStr">
        <is>
          <t>appareil</t>
        </is>
      </c>
      <c r="I57" s="30" t="inlineStr">
        <is>
          <t>cuisine</t>
        </is>
      </c>
      <c r="N57" s="30" t="inlineStr">
        <is>
          <t>cuisiner</t>
        </is>
      </c>
    </row>
    <row r="58">
      <c r="A58" s="30" t="inlineStr">
        <is>
          <t>micro_onde</t>
        </is>
      </c>
      <c r="B58" s="26">
        <f>IFERROR(INDEX(Mots!$B:$B,MATCH($A58,Mots!$A:$A,0)),"introuvable")</f>
        <v/>
      </c>
      <c r="C58" s="30" t="inlineStr">
        <is>
          <t>appareil</t>
        </is>
      </c>
      <c r="I58" s="30" t="inlineStr">
        <is>
          <t>cuisine</t>
        </is>
      </c>
      <c r="N58" s="30" t="inlineStr">
        <is>
          <t>cuisiner</t>
        </is>
      </c>
    </row>
    <row r="59">
      <c r="A59" s="30" t="inlineStr">
        <is>
          <t>cuisiniere_vitroceram</t>
        </is>
      </c>
      <c r="B59" s="26">
        <f>IFERROR(INDEX(Mots!$B:$B,MATCH($A59,Mots!$A:$A,0)),"introuvable")</f>
        <v/>
      </c>
      <c r="C59" s="30" t="inlineStr">
        <is>
          <t>appareil</t>
        </is>
      </c>
      <c r="I59" s="30" t="inlineStr">
        <is>
          <t>cuisine</t>
        </is>
      </c>
      <c r="N59" s="30" t="inlineStr">
        <is>
          <t>cuisiner</t>
        </is>
      </c>
    </row>
    <row r="60">
      <c r="A60" s="30" t="inlineStr">
        <is>
          <t>machine_a_cafe</t>
        </is>
      </c>
      <c r="B60" s="26">
        <f>IFERROR(INDEX(Mots!$B:$B,MATCH($A60,Mots!$A:$A,0)),"introuvable")</f>
        <v/>
      </c>
      <c r="C60" s="30" t="inlineStr">
        <is>
          <t>appareil</t>
        </is>
      </c>
      <c r="I60" s="30" t="inlineStr">
        <is>
          <t>cuisine</t>
        </is>
      </c>
      <c r="N60" s="30" t="inlineStr">
        <is>
          <t>cuisiner</t>
        </is>
      </c>
    </row>
    <row r="61">
      <c r="A61" s="30" t="inlineStr">
        <is>
          <t>verre</t>
        </is>
      </c>
      <c r="B61" s="26">
        <f>IFERROR(INDEX(Mots!$B:$B,MATCH($A61,Mots!$A:$A,0)),"introuvable")</f>
        <v/>
      </c>
      <c r="C61" s="30" t="inlineStr">
        <is>
          <t>recipient</t>
        </is>
      </c>
      <c r="I61" s="30" t="inlineStr">
        <is>
          <t>cuisine</t>
        </is>
      </c>
      <c r="N61" s="30" t="inlineStr">
        <is>
          <t>cuisiner</t>
        </is>
      </c>
    </row>
    <row r="62">
      <c r="A62" s="30" t="inlineStr">
        <is>
          <t>tasse</t>
        </is>
      </c>
      <c r="B62" s="26">
        <f>IFERROR(INDEX(Mots!$B:$B,MATCH($A62,Mots!$A:$A,0)),"introuvable")</f>
        <v/>
      </c>
      <c r="C62" s="30" t="inlineStr">
        <is>
          <t>recipient</t>
        </is>
      </c>
      <c r="I62" s="30" t="inlineStr">
        <is>
          <t>cuisine</t>
        </is>
      </c>
      <c r="N62" s="30" t="inlineStr">
        <is>
          <t>cuisiner</t>
        </is>
      </c>
    </row>
    <row r="63">
      <c r="A63" s="30" t="inlineStr">
        <is>
          <t>bouteilles</t>
        </is>
      </c>
      <c r="B63" s="26">
        <f>IFERROR(INDEX(Mots!$B:$B,MATCH($A63,Mots!$A:$A,0)),"introuvable")</f>
        <v/>
      </c>
      <c r="I63" s="30" t="inlineStr">
        <is>
          <t>cuisine</t>
        </is>
      </c>
      <c r="N63" s="30" t="inlineStr">
        <is>
          <t>cuisiner</t>
        </is>
      </c>
    </row>
    <row r="64">
      <c r="A64" s="30" t="inlineStr">
        <is>
          <t>pot_ou_une_mesure</t>
        </is>
      </c>
      <c r="B64" s="26">
        <f>IFERROR(INDEX(Mots!$B:$B,MATCH($A64,Mots!$A:$A,0)),"introuvable")</f>
        <v/>
      </c>
      <c r="C64" s="30" t="inlineStr">
        <is>
          <t>recipient</t>
        </is>
      </c>
      <c r="I64" s="30" t="inlineStr">
        <is>
          <t>cuisine</t>
        </is>
      </c>
      <c r="N64" s="30" t="inlineStr">
        <is>
          <t>cuisiner</t>
        </is>
      </c>
    </row>
    <row r="65">
      <c r="A65" s="30" t="inlineStr">
        <is>
          <t>assiette</t>
        </is>
      </c>
      <c r="B65" s="26">
        <f>IFERROR(INDEX(Mots!$B:$B,MATCH($A65,Mots!$A:$A,0)),"introuvable")</f>
        <v/>
      </c>
      <c r="C65" s="30" t="inlineStr">
        <is>
          <t>recipient</t>
        </is>
      </c>
      <c r="I65" s="30" t="inlineStr">
        <is>
          <t>cuisine</t>
        </is>
      </c>
      <c r="N65" s="30" t="inlineStr">
        <is>
          <t>cuisiner</t>
        </is>
      </c>
    </row>
    <row r="66">
      <c r="A66" s="30" t="inlineStr">
        <is>
          <t>fourchette</t>
        </is>
      </c>
      <c r="B66" s="26">
        <f>IFERROR(INDEX(Mots!$B:$B,MATCH($A66,Mots!$A:$A,0)),"introuvable")</f>
        <v/>
      </c>
      <c r="C66" s="30" t="inlineStr">
        <is>
          <t>aliment</t>
        </is>
      </c>
      <c r="I66" s="30" t="inlineStr">
        <is>
          <t>cuisine</t>
        </is>
      </c>
      <c r="N66" s="30" t="inlineStr">
        <is>
          <t>cuisiner</t>
        </is>
      </c>
    </row>
    <row r="67">
      <c r="A67" s="30" t="inlineStr">
        <is>
          <t>cuillere</t>
        </is>
      </c>
      <c r="B67" s="26">
        <f>IFERROR(INDEX(Mots!$B:$B,MATCH($A67,Mots!$A:$A,0)),"introuvable")</f>
        <v/>
      </c>
      <c r="I67" s="30" t="inlineStr">
        <is>
          <t>cuisine</t>
        </is>
      </c>
      <c r="N67" s="30" t="inlineStr">
        <is>
          <t>cuisiner</t>
        </is>
      </c>
    </row>
    <row r="68">
      <c r="A68" s="30" t="inlineStr">
        <is>
          <t>couteau</t>
        </is>
      </c>
      <c r="B68" s="26">
        <f>IFERROR(INDEX(Mots!$B:$B,MATCH($A68,Mots!$A:$A,0)),"introuvable")</f>
        <v/>
      </c>
      <c r="I68" s="30" t="inlineStr">
        <is>
          <t>cuisine</t>
        </is>
      </c>
      <c r="N68" s="30" t="inlineStr">
        <is>
          <t>cuisiner</t>
        </is>
      </c>
    </row>
    <row r="69">
      <c r="A69" s="30" t="inlineStr">
        <is>
          <t>casserole</t>
        </is>
      </c>
      <c r="B69" s="26">
        <f>IFERROR(INDEX(Mots!$B:$B,MATCH($A69,Mots!$A:$A,0)),"introuvable")</f>
        <v/>
      </c>
      <c r="C69" s="30" t="inlineStr">
        <is>
          <t>recipient</t>
        </is>
      </c>
      <c r="I69" s="30" t="inlineStr">
        <is>
          <t>cuisine</t>
        </is>
      </c>
      <c r="N69" s="30" t="inlineStr">
        <is>
          <t>cuisiner</t>
        </is>
      </c>
    </row>
    <row r="70">
      <c r="A70" s="30" t="inlineStr">
        <is>
          <t>marmitte</t>
        </is>
      </c>
      <c r="B70" s="26">
        <f>IFERROR(INDEX(Mots!$B:$B,MATCH($A70,Mots!$A:$A,0)),"introuvable")</f>
        <v/>
      </c>
      <c r="C70" s="30" t="inlineStr">
        <is>
          <t>recipient</t>
        </is>
      </c>
      <c r="I70" s="30" t="inlineStr">
        <is>
          <t>cuisine</t>
        </is>
      </c>
      <c r="N70" s="30" t="inlineStr">
        <is>
          <t>cuisiner</t>
        </is>
      </c>
    </row>
    <row r="71">
      <c r="A71" s="30" t="inlineStr">
        <is>
          <t>poele</t>
        </is>
      </c>
      <c r="B71" s="26">
        <f>IFERROR(INDEX(Mots!$B:$B,MATCH($A71,Mots!$A:$A,0)),"introuvable")</f>
        <v/>
      </c>
      <c r="C71" s="30" t="inlineStr">
        <is>
          <t>recipient</t>
        </is>
      </c>
      <c r="I71" s="30" t="inlineStr">
        <is>
          <t>cuisine</t>
        </is>
      </c>
      <c r="N71" s="30" t="inlineStr">
        <is>
          <t>cuisiner</t>
        </is>
      </c>
    </row>
    <row r="72">
      <c r="A72" s="30" t="inlineStr">
        <is>
          <t>evier_ou_plonge</t>
        </is>
      </c>
      <c r="B72" s="26">
        <f>IFERROR(INDEX(Mots!$B:$B,MATCH($A72,Mots!$A:$A,0)),"introuvable")</f>
        <v/>
      </c>
      <c r="I72" s="30" t="inlineStr">
        <is>
          <t>cuisine</t>
        </is>
      </c>
      <c r="N72" s="30" t="inlineStr">
        <is>
          <t>cuisiner</t>
        </is>
      </c>
    </row>
    <row r="73">
      <c r="A73" s="30" t="inlineStr">
        <is>
          <t>caquelon_rechaud</t>
        </is>
      </c>
      <c r="B73" s="26">
        <f>IFERROR(INDEX(Mots!$B:$B,MATCH($A73,Mots!$A:$A,0)),"introuvable")</f>
        <v/>
      </c>
      <c r="C73" s="30" t="inlineStr">
        <is>
          <t>recipient</t>
        </is>
      </c>
      <c r="I73" s="30" t="inlineStr">
        <is>
          <t>cuisine</t>
        </is>
      </c>
      <c r="N73" s="30" t="inlineStr">
        <is>
          <t>cuisiner</t>
        </is>
      </c>
    </row>
    <row r="74">
      <c r="A74" s="30" t="inlineStr">
        <is>
          <t>four_a_raclette</t>
        </is>
      </c>
      <c r="B74" s="26">
        <f>IFERROR(INDEX(Mots!$B:$B,MATCH($A74,Mots!$A:$A,0)),"introuvable")</f>
        <v/>
      </c>
      <c r="C74" s="30" t="inlineStr">
        <is>
          <t>appareil</t>
        </is>
      </c>
      <c r="I74" s="30" t="inlineStr">
        <is>
          <t>cuisine</t>
        </is>
      </c>
      <c r="N74" s="30" t="inlineStr">
        <is>
          <t>cuisiner</t>
        </is>
      </c>
    </row>
    <row r="75">
      <c r="A75" s="30" t="inlineStr">
        <is>
          <t>robinet</t>
        </is>
      </c>
      <c r="B75" s="26">
        <f>IFERROR(INDEX(Mots!$B:$B,MATCH($A75,Mots!$A:$A,0)),"introuvable")</f>
        <v/>
      </c>
      <c r="C75" s="30" t="inlineStr">
        <is>
          <t>appareil</t>
        </is>
      </c>
      <c r="I75" s="30" t="inlineStr">
        <is>
          <t>cuisine</t>
        </is>
      </c>
      <c r="N75" s="30" t="inlineStr">
        <is>
          <t>cuisiner</t>
        </is>
      </c>
    </row>
    <row r="76">
      <c r="A76" s="30" t="inlineStr">
        <is>
          <t>table</t>
        </is>
      </c>
      <c r="B76" s="26">
        <f>IFERROR(INDEX(Mots!$B:$B,MATCH($A76,Mots!$A:$A,0)),"introuvable")</f>
        <v/>
      </c>
      <c r="C76" s="30" t="inlineStr">
        <is>
          <t>meuble</t>
        </is>
      </c>
      <c r="I76" s="30" t="inlineStr">
        <is>
          <t>cuisine</t>
        </is>
      </c>
      <c r="N76" s="30" t="inlineStr">
        <is>
          <t>cuisiner</t>
        </is>
      </c>
    </row>
    <row r="77">
      <c r="A77" s="30" t="inlineStr">
        <is>
          <t>chaise</t>
        </is>
      </c>
      <c r="B77" s="26">
        <f>IFERROR(INDEX(Mots!$B:$B,MATCH($A77,Mots!$A:$A,0)),"introuvable")</f>
        <v/>
      </c>
      <c r="I77" s="30" t="inlineStr">
        <is>
          <t>cuisine</t>
        </is>
      </c>
      <c r="N77" s="30" t="inlineStr">
        <is>
          <t>cuisiner</t>
        </is>
      </c>
    </row>
    <row r="78">
      <c r="A78" s="30" t="inlineStr">
        <is>
          <t>buffet</t>
        </is>
      </c>
      <c r="B78" s="26">
        <f>IFERROR(INDEX(Mots!$B:$B,MATCH($A78,Mots!$A:$A,0)),"introuvable")</f>
        <v/>
      </c>
      <c r="C78" s="30" t="inlineStr">
        <is>
          <t>meuble</t>
        </is>
      </c>
      <c r="I78" s="30" t="inlineStr">
        <is>
          <t>cuisine</t>
        </is>
      </c>
      <c r="N78" s="30" t="inlineStr">
        <is>
          <t>cuisiner</t>
        </is>
      </c>
    </row>
    <row r="79">
      <c r="A79" s="30" t="inlineStr">
        <is>
          <t>vaisselle</t>
        </is>
      </c>
      <c r="B79" s="26">
        <f>IFERROR(INDEX(Mots!$B:$B,MATCH($A79,Mots!$A:$A,0)),"introuvable")</f>
        <v/>
      </c>
      <c r="I79" s="30" t="inlineStr">
        <is>
          <t>cuisine</t>
        </is>
      </c>
      <c r="N79" s="30" t="inlineStr">
        <is>
          <t>cuisiner</t>
        </is>
      </c>
    </row>
    <row r="80">
      <c r="A80" s="30" t="inlineStr">
        <is>
          <t>dossier</t>
        </is>
      </c>
      <c r="B80" s="26">
        <f>IFERROR(INDEX(Mots!$B:$B,MATCH($A80,Mots!$A:$A,0)),"introuvable")</f>
        <v/>
      </c>
      <c r="I80" s="30" t="inlineStr">
        <is>
          <t>travail</t>
        </is>
      </c>
      <c r="N80" s="30" t="inlineStr">
        <is>
          <t>travailler</t>
        </is>
      </c>
    </row>
    <row r="81">
      <c r="A81" s="30" t="inlineStr">
        <is>
          <t>lave_linge</t>
        </is>
      </c>
      <c r="B81" s="26">
        <f>IFERROR(INDEX(Mots!$B:$B,MATCH($A81,Mots!$A:$A,0)),"introuvable")</f>
        <v/>
      </c>
      <c r="C81" s="30" t="inlineStr">
        <is>
          <t>appareil</t>
        </is>
      </c>
      <c r="I81" s="30" t="inlineStr">
        <is>
          <t>salle_de_bain</t>
        </is>
      </c>
      <c r="N81" s="30" t="inlineStr">
        <is>
          <t>nettoyer</t>
        </is>
      </c>
    </row>
    <row r="82">
      <c r="A82" s="30" t="inlineStr">
        <is>
          <t>seche_linge</t>
        </is>
      </c>
      <c r="B82" s="26">
        <f>IFERROR(INDEX(Mots!$B:$B,MATCH($A82,Mots!$A:$A,0)),"introuvable")</f>
        <v/>
      </c>
      <c r="C82" s="30" t="inlineStr">
        <is>
          <t>appareil</t>
        </is>
      </c>
      <c r="I82" s="30" t="inlineStr">
        <is>
          <t>salle_de_bain</t>
        </is>
      </c>
      <c r="N82" s="30" t="inlineStr">
        <is>
          <t>nettoyer</t>
        </is>
      </c>
    </row>
    <row r="83">
      <c r="A83" s="30" t="inlineStr">
        <is>
          <t>fer_a_repasser</t>
        </is>
      </c>
      <c r="B83" s="26">
        <f>IFERROR(INDEX(Mots!$B:$B,MATCH($A83,Mots!$A:$A,0)),"introuvable")</f>
        <v/>
      </c>
      <c r="C83" s="30" t="inlineStr">
        <is>
          <t>appareil</t>
        </is>
      </c>
      <c r="I83" s="30" t="inlineStr">
        <is>
          <t>salle_de_bain</t>
        </is>
      </c>
      <c r="N83" s="30" t="inlineStr">
        <is>
          <t>nettoyer</t>
        </is>
      </c>
    </row>
    <row r="84">
      <c r="A84" s="30" t="inlineStr">
        <is>
          <t>salon</t>
        </is>
      </c>
      <c r="B84" s="26">
        <f>IFERROR(INDEX(Mots!$B:$B,MATCH($A84,Mots!$A:$A,0)),"introuvable")</f>
        <v/>
      </c>
      <c r="I84" s="30" t="inlineStr">
        <is>
          <t>salon</t>
        </is>
      </c>
      <c r="N84" s="30" t="inlineStr">
        <is>
          <t>se_reposer</t>
        </is>
      </c>
    </row>
    <row r="85">
      <c r="A85" s="30" t="inlineStr">
        <is>
          <t>canape</t>
        </is>
      </c>
      <c r="B85" s="26">
        <f>IFERROR(INDEX(Mots!$B:$B,MATCH($A85,Mots!$A:$A,0)),"introuvable")</f>
        <v/>
      </c>
      <c r="I85" s="30" t="inlineStr">
        <is>
          <t>salon</t>
        </is>
      </c>
      <c r="N85" s="30" t="inlineStr">
        <is>
          <t>se_reposer</t>
        </is>
      </c>
    </row>
    <row r="86">
      <c r="A86" s="30" t="inlineStr">
        <is>
          <t>fauteuil</t>
        </is>
      </c>
      <c r="B86" s="26">
        <f>IFERROR(INDEX(Mots!$B:$B,MATCH($A86,Mots!$A:$A,0)),"introuvable")</f>
        <v/>
      </c>
      <c r="I86" s="30" t="inlineStr">
        <is>
          <t>salon</t>
        </is>
      </c>
      <c r="N86" s="30" t="inlineStr">
        <is>
          <t>se_reposer</t>
        </is>
      </c>
    </row>
    <row r="87">
      <c r="A87" s="30" t="inlineStr">
        <is>
          <t>meuble</t>
        </is>
      </c>
      <c r="B87" s="26">
        <f>IFERROR(INDEX(Mots!$B:$B,MATCH($A87,Mots!$A:$A,0)),"introuvable")</f>
        <v/>
      </c>
      <c r="C87" s="30" t="inlineStr">
        <is>
          <t>meuble</t>
        </is>
      </c>
      <c r="I87" s="30" t="inlineStr">
        <is>
          <t>salon</t>
        </is>
      </c>
      <c r="N87" s="30" t="inlineStr">
        <is>
          <t>se_reposer</t>
        </is>
      </c>
    </row>
    <row r="88">
      <c r="A88" s="30" t="inlineStr">
        <is>
          <t>television</t>
        </is>
      </c>
      <c r="B88" s="26">
        <f>IFERROR(INDEX(Mots!$B:$B,MATCH($A88,Mots!$A:$A,0)),"introuvable")</f>
        <v/>
      </c>
      <c r="I88" s="30" t="inlineStr">
        <is>
          <t>salon</t>
        </is>
      </c>
      <c r="N88" s="30" t="inlineStr">
        <is>
          <t>se_reposer</t>
        </is>
      </c>
    </row>
    <row r="89">
      <c r="A89" s="30" t="inlineStr">
        <is>
          <t>lampe</t>
        </is>
      </c>
      <c r="B89" s="26">
        <f>IFERROR(INDEX(Mots!$B:$B,MATCH($A89,Mots!$A:$A,0)),"introuvable")</f>
        <v/>
      </c>
      <c r="C89" s="30" t="inlineStr">
        <is>
          <t>appareil</t>
        </is>
      </c>
      <c r="I89" s="30" t="inlineStr">
        <is>
          <t>salon</t>
        </is>
      </c>
      <c r="N89" s="30" t="inlineStr">
        <is>
          <t>se_reposer</t>
        </is>
      </c>
    </row>
    <row r="90">
      <c r="A90" s="30" t="inlineStr">
        <is>
          <t>portee_et_mesures</t>
        </is>
      </c>
      <c r="B90" s="26">
        <f>IFERROR(INDEX(Mots!$B:$B,MATCH($A90,Mots!$A:$A,0)),"introuvable")</f>
        <v/>
      </c>
      <c r="I90" s="30" t="inlineStr">
        <is>
          <t>musique</t>
        </is>
      </c>
      <c r="N90" s="30" t="inlineStr">
        <is>
          <t>jouer_musique</t>
        </is>
      </c>
    </row>
    <row r="91">
      <c r="A91" s="30" t="inlineStr">
        <is>
          <t>cle_de_sol</t>
        </is>
      </c>
      <c r="B91" s="26">
        <f>IFERROR(INDEX(Mots!$B:$B,MATCH($A91,Mots!$A:$A,0)),"introuvable")</f>
        <v/>
      </c>
      <c r="I91" s="30" t="inlineStr">
        <is>
          <t>musique</t>
        </is>
      </c>
      <c r="N91" s="30" t="inlineStr">
        <is>
          <t>jouer_musique</t>
        </is>
      </c>
    </row>
    <row r="92">
      <c r="A92" s="30" t="inlineStr">
        <is>
          <t>figures_notes</t>
        </is>
      </c>
      <c r="B92" s="26">
        <f>IFERROR(INDEX(Mots!$B:$B,MATCH($A92,Mots!$A:$A,0)),"introuvable")</f>
        <v/>
      </c>
      <c r="I92" s="30" t="inlineStr">
        <is>
          <t>musique</t>
        </is>
      </c>
      <c r="N92" s="30" t="inlineStr">
        <is>
          <t>jouer_musique</t>
        </is>
      </c>
    </row>
    <row r="93">
      <c r="A93" s="30" t="inlineStr">
        <is>
          <t>alterations</t>
        </is>
      </c>
      <c r="B93" s="26">
        <f>IFERROR(INDEX(Mots!$B:$B,MATCH($A93,Mots!$A:$A,0)),"introuvable")</f>
        <v/>
      </c>
      <c r="I93" s="30" t="inlineStr">
        <is>
          <t>musique</t>
        </is>
      </c>
      <c r="N93" s="30" t="inlineStr">
        <is>
          <t>jouer_musique</t>
        </is>
      </c>
    </row>
    <row r="94">
      <c r="A94" s="30" t="inlineStr">
        <is>
          <t>silences</t>
        </is>
      </c>
      <c r="B94" s="26">
        <f>IFERROR(INDEX(Mots!$B:$B,MATCH($A94,Mots!$A:$A,0)),"introuvable")</f>
        <v/>
      </c>
      <c r="I94" s="30" t="inlineStr">
        <is>
          <t>musique</t>
        </is>
      </c>
      <c r="N94" s="30" t="inlineStr">
        <is>
          <t>jouer_musique</t>
        </is>
      </c>
    </row>
    <row r="95">
      <c r="A95" s="30" t="inlineStr">
        <is>
          <t>les_nuances</t>
        </is>
      </c>
      <c r="B95" s="26">
        <f>IFERROR(INDEX(Mots!$B:$B,MATCH($A95,Mots!$A:$A,0)),"introuvable")</f>
        <v/>
      </c>
      <c r="I95" s="30" t="inlineStr">
        <is>
          <t>musique</t>
        </is>
      </c>
      <c r="N95" s="30" t="inlineStr">
        <is>
          <t>jouer_musique</t>
        </is>
      </c>
    </row>
    <row r="96">
      <c r="A96" s="30" t="inlineStr">
        <is>
          <t>crescendo_decrescendo</t>
        </is>
      </c>
      <c r="B96" s="26">
        <f>IFERROR(INDEX(Mots!$B:$B,MATCH($A96,Mots!$A:$A,0)),"introuvable")</f>
        <v/>
      </c>
      <c r="I96" s="30" t="inlineStr">
        <is>
          <t>musique</t>
        </is>
      </c>
      <c r="N96" s="30" t="inlineStr">
        <is>
          <t>jouer_musique</t>
        </is>
      </c>
    </row>
    <row r="97">
      <c r="A97" s="30" t="inlineStr">
        <is>
          <t>seconde</t>
        </is>
      </c>
      <c r="B97" s="26">
        <f>IFERROR(INDEX(Mots!$B:$B,MATCH($A97,Mots!$A:$A,0)),"introuvable")</f>
        <v/>
      </c>
      <c r="G97" s="30" t="inlineStr">
        <is>
          <t>temps</t>
        </is>
      </c>
    </row>
    <row r="98">
      <c r="A98" s="30" t="inlineStr">
        <is>
          <t>minute</t>
        </is>
      </c>
      <c r="B98" s="26">
        <f>IFERROR(INDEX(Mots!$B:$B,MATCH($A98,Mots!$A:$A,0)),"introuvable")</f>
        <v/>
      </c>
      <c r="G98" s="30" t="inlineStr">
        <is>
          <t>temps</t>
        </is>
      </c>
    </row>
    <row r="99">
      <c r="A99" s="30" t="inlineStr">
        <is>
          <t>heure</t>
        </is>
      </c>
      <c r="B99" s="26">
        <f>IFERROR(INDEX(Mots!$B:$B,MATCH($A99,Mots!$A:$A,0)),"introuvable")</f>
        <v/>
      </c>
      <c r="G99" s="30" t="inlineStr">
        <is>
          <t>temps</t>
        </is>
      </c>
    </row>
    <row r="100">
      <c r="A100" s="30" t="inlineStr">
        <is>
          <t>jour</t>
        </is>
      </c>
      <c r="B100" s="26">
        <f>IFERROR(INDEX(Mots!$B:$B,MATCH($A100,Mots!$A:$A,0)),"introuvable")</f>
        <v/>
      </c>
      <c r="G100" s="30" t="inlineStr">
        <is>
          <t>temps</t>
        </is>
      </c>
    </row>
    <row r="101">
      <c r="A101" s="30" t="inlineStr">
        <is>
          <t>matin</t>
        </is>
      </c>
      <c r="B101" s="26">
        <f>IFERROR(INDEX(Mots!$B:$B,MATCH($A101,Mots!$A:$A,0)),"introuvable")</f>
        <v/>
      </c>
      <c r="G101" s="30" t="inlineStr">
        <is>
          <t>temps</t>
        </is>
      </c>
    </row>
    <row r="102">
      <c r="A102" s="30" t="inlineStr">
        <is>
          <t>soir</t>
        </is>
      </c>
      <c r="B102" s="26">
        <f>IFERROR(INDEX(Mots!$B:$B,MATCH($A102,Mots!$A:$A,0)),"introuvable")</f>
        <v/>
      </c>
      <c r="G102" s="30" t="inlineStr">
        <is>
          <t>temps</t>
        </is>
      </c>
    </row>
    <row r="103">
      <c r="A103" s="30" t="inlineStr">
        <is>
          <t>nuit</t>
        </is>
      </c>
      <c r="B103" s="26">
        <f>IFERROR(INDEX(Mots!$B:$B,MATCH($A103,Mots!$A:$A,0)),"introuvable")</f>
        <v/>
      </c>
      <c r="G103" s="30" t="inlineStr">
        <is>
          <t>temps</t>
        </is>
      </c>
    </row>
    <row r="104">
      <c r="A104" s="30" t="inlineStr">
        <is>
          <t>semaine</t>
        </is>
      </c>
      <c r="B104" s="26">
        <f>IFERROR(INDEX(Mots!$B:$B,MATCH($A104,Mots!$A:$A,0)),"introuvable")</f>
        <v/>
      </c>
      <c r="G104" s="30" t="inlineStr">
        <is>
          <t>temps</t>
        </is>
      </c>
    </row>
    <row r="105">
      <c r="A105" s="30" t="inlineStr">
        <is>
          <t>mois</t>
        </is>
      </c>
      <c r="B105" s="26">
        <f>IFERROR(INDEX(Mots!$B:$B,MATCH($A105,Mots!$A:$A,0)),"introuvable")</f>
        <v/>
      </c>
      <c r="G105" s="30" t="inlineStr">
        <is>
          <t>temps</t>
        </is>
      </c>
    </row>
    <row r="106">
      <c r="A106" s="30" t="inlineStr">
        <is>
          <t>annee</t>
        </is>
      </c>
      <c r="B106" s="26">
        <f>IFERROR(INDEX(Mots!$B:$B,MATCH($A106,Mots!$A:$A,0)),"introuvable")</f>
        <v/>
      </c>
      <c r="G106" s="30" t="inlineStr">
        <is>
          <t>temps</t>
        </is>
      </c>
    </row>
    <row r="107">
      <c r="A107" s="30" t="inlineStr">
        <is>
          <t>siecle</t>
        </is>
      </c>
      <c r="B107" s="26">
        <f>IFERROR(INDEX(Mots!$B:$B,MATCH($A107,Mots!$A:$A,0)),"introuvable")</f>
        <v/>
      </c>
      <c r="G107" s="30" t="inlineStr">
        <is>
          <t>temps</t>
        </is>
      </c>
    </row>
    <row r="108">
      <c r="A108" s="30" t="inlineStr">
        <is>
          <t>printemps</t>
        </is>
      </c>
      <c r="B108" s="26">
        <f>IFERROR(INDEX(Mots!$B:$B,MATCH($A108,Mots!$A:$A,0)),"introuvable")</f>
        <v/>
      </c>
      <c r="G108" s="30" t="inlineStr">
        <is>
          <t>temps</t>
        </is>
      </c>
    </row>
    <row r="109">
      <c r="A109" s="30" t="inlineStr">
        <is>
          <t>ete</t>
        </is>
      </c>
      <c r="B109" s="26">
        <f>IFERROR(INDEX(Mots!$B:$B,MATCH($A109,Mots!$A:$A,0)),"introuvable")</f>
        <v/>
      </c>
      <c r="G109" s="30" t="inlineStr">
        <is>
          <t>temps</t>
        </is>
      </c>
    </row>
    <row r="110">
      <c r="A110" s="30" t="inlineStr">
        <is>
          <t>automne</t>
        </is>
      </c>
      <c r="B110" s="26">
        <f>IFERROR(INDEX(Mots!$B:$B,MATCH($A110,Mots!$A:$A,0)),"introuvable")</f>
        <v/>
      </c>
      <c r="G110" s="30" t="inlineStr">
        <is>
          <t>temps</t>
        </is>
      </c>
    </row>
    <row r="111">
      <c r="A111" s="30" t="inlineStr">
        <is>
          <t>hiver</t>
        </is>
      </c>
      <c r="B111" s="26">
        <f>IFERROR(INDEX(Mots!$B:$B,MATCH($A111,Mots!$A:$A,0)),"introuvable")</f>
        <v/>
      </c>
      <c r="G111" s="30" t="inlineStr">
        <is>
          <t>temps</t>
        </is>
      </c>
    </row>
    <row r="112">
      <c r="A112" s="30" t="inlineStr">
        <is>
          <t>saison</t>
        </is>
      </c>
      <c r="B112" s="26">
        <f>IFERROR(INDEX(Mots!$B:$B,MATCH($A112,Mots!$A:$A,0)),"introuvable")</f>
        <v/>
      </c>
      <c r="G112" s="30" t="inlineStr">
        <is>
          <t>temps</t>
        </is>
      </c>
    </row>
    <row r="113">
      <c r="A113" s="30" t="inlineStr">
        <is>
          <t>date</t>
        </is>
      </c>
      <c r="B113" s="26">
        <f>IFERROR(INDEX(Mots!$B:$B,MATCH($A113,Mots!$A:$A,0)),"introuvable")</f>
        <v/>
      </c>
      <c r="G113" s="30" t="inlineStr">
        <is>
          <t>temps</t>
        </is>
      </c>
    </row>
    <row r="114">
      <c r="A114" s="30" t="inlineStr">
        <is>
          <t>anniversaire</t>
        </is>
      </c>
      <c r="B114" s="26">
        <f>IFERROR(INDEX(Mots!$B:$B,MATCH($A114,Mots!$A:$A,0)),"introuvable")</f>
        <v/>
      </c>
      <c r="G114" s="30" t="inlineStr">
        <is>
          <t>temps</t>
        </is>
      </c>
    </row>
    <row r="115">
      <c r="A115" s="30" t="inlineStr">
        <is>
          <t>aujourd_hui</t>
        </is>
      </c>
      <c r="B115" s="26">
        <f>IFERROR(INDEX(Mots!$B:$B,MATCH($A115,Mots!$A:$A,0)),"introuvable")</f>
        <v/>
      </c>
      <c r="G115" s="30" t="inlineStr">
        <is>
          <t>temps</t>
        </is>
      </c>
    </row>
    <row r="116">
      <c r="A116" s="30" t="inlineStr">
        <is>
          <t>hier</t>
        </is>
      </c>
      <c r="B116" s="26">
        <f>IFERROR(INDEX(Mots!$B:$B,MATCH($A116,Mots!$A:$A,0)),"introuvable")</f>
        <v/>
      </c>
      <c r="G116" s="30" t="inlineStr">
        <is>
          <t>temps</t>
        </is>
      </c>
    </row>
    <row r="117">
      <c r="A117" s="30" t="inlineStr">
        <is>
          <t>demain</t>
        </is>
      </c>
      <c r="B117" s="26">
        <f>IFERROR(INDEX(Mots!$B:$B,MATCH($A117,Mots!$A:$A,0)),"introuvable")</f>
        <v/>
      </c>
      <c r="G117" s="30" t="inlineStr">
        <is>
          <t>temps</t>
        </is>
      </c>
    </row>
    <row r="118">
      <c r="A118" s="30" t="inlineStr">
        <is>
          <t>maintenant</t>
        </is>
      </c>
      <c r="B118" s="26">
        <f>IFERROR(INDEX(Mots!$B:$B,MATCH($A118,Mots!$A:$A,0)),"introuvable")</f>
        <v/>
      </c>
      <c r="G118" s="30" t="inlineStr">
        <is>
          <t>temps</t>
        </is>
      </c>
    </row>
    <row r="119">
      <c r="A119" s="30" t="inlineStr">
        <is>
          <t>calendrier</t>
        </is>
      </c>
      <c r="B119" s="26">
        <f>IFERROR(INDEX(Mots!$B:$B,MATCH($A119,Mots!$A:$A,0)),"introuvable")</f>
        <v/>
      </c>
      <c r="G119" s="30" t="inlineStr">
        <is>
          <t>temps</t>
        </is>
      </c>
    </row>
    <row r="120">
      <c r="A120" s="30" t="inlineStr">
        <is>
          <t>agenda</t>
        </is>
      </c>
      <c r="B120" s="26">
        <f>IFERROR(INDEX(Mots!$B:$B,MATCH($A120,Mots!$A:$A,0)),"introuvable")</f>
        <v/>
      </c>
      <c r="G120" s="30" t="inlineStr">
        <is>
          <t>temps</t>
        </is>
      </c>
    </row>
    <row r="121">
      <c r="A121" s="30" t="inlineStr">
        <is>
          <t>duree</t>
        </is>
      </c>
      <c r="B121" s="26">
        <f>IFERROR(INDEX(Mots!$B:$B,MATCH($A121,Mots!$A:$A,0)),"introuvable")</f>
        <v/>
      </c>
      <c r="G121" s="30" t="inlineStr">
        <is>
          <t>temps</t>
        </is>
      </c>
    </row>
    <row r="122">
      <c r="A122" s="30" t="inlineStr">
        <is>
          <t>tot</t>
        </is>
      </c>
      <c r="B122" s="26">
        <f>IFERROR(INDEX(Mots!$B:$B,MATCH($A122,Mots!$A:$A,0)),"introuvable")</f>
        <v/>
      </c>
      <c r="G122" s="30" t="inlineStr">
        <is>
          <t>temps</t>
        </is>
      </c>
    </row>
    <row r="123">
      <c r="A123" s="30" t="inlineStr">
        <is>
          <t>tard</t>
        </is>
      </c>
      <c r="B123" s="26">
        <f>IFERROR(INDEX(Mots!$B:$B,MATCH($A123,Mots!$A:$A,0)),"introuvable")</f>
        <v/>
      </c>
      <c r="G123" s="30" t="inlineStr">
        <is>
          <t>temps</t>
        </is>
      </c>
    </row>
    <row r="124">
      <c r="A124" s="30" t="inlineStr">
        <is>
          <t>toujours</t>
        </is>
      </c>
      <c r="B124" s="26">
        <f>IFERROR(INDEX(Mots!$B:$B,MATCH($A124,Mots!$A:$A,0)),"introuvable")</f>
        <v/>
      </c>
      <c r="G124" s="30" t="inlineStr">
        <is>
          <t>temps</t>
        </is>
      </c>
    </row>
    <row r="125">
      <c r="A125" s="30" t="inlineStr">
        <is>
          <t>jamais</t>
        </is>
      </c>
      <c r="B125" s="26">
        <f>IFERROR(INDEX(Mots!$B:$B,MATCH($A125,Mots!$A:$A,0)),"introuvable")</f>
        <v/>
      </c>
      <c r="G125" s="30" t="inlineStr">
        <is>
          <t>temps</t>
        </is>
      </c>
    </row>
    <row r="126">
      <c r="A126" s="30" t="inlineStr">
        <is>
          <t>souvent</t>
        </is>
      </c>
      <c r="B126" s="26">
        <f>IFERROR(INDEX(Mots!$B:$B,MATCH($A126,Mots!$A:$A,0)),"introuvable")</f>
        <v/>
      </c>
      <c r="G126" s="30" t="inlineStr">
        <is>
          <t>temps</t>
        </is>
      </c>
    </row>
    <row r="127">
      <c r="A127" s="30" t="inlineStr">
        <is>
          <t>parfois</t>
        </is>
      </c>
      <c r="B127" s="26">
        <f>IFERROR(INDEX(Mots!$B:$B,MATCH($A127,Mots!$A:$A,0)),"introuvable")</f>
        <v/>
      </c>
      <c r="G127" s="30" t="inlineStr">
        <is>
          <t>temps</t>
        </is>
      </c>
    </row>
    <row r="128">
      <c r="A128" s="30" t="inlineStr">
        <is>
          <t>paire</t>
        </is>
      </c>
      <c r="B128" s="26">
        <f>IFERROR(INDEX(Mots!$B:$B,MATCH($A128,Mots!$A:$A,0)),"introuvable")</f>
        <v/>
      </c>
      <c r="G128" s="30" t="inlineStr">
        <is>
          <t>nombre</t>
        </is>
      </c>
    </row>
    <row r="129">
      <c r="A129" s="30" t="inlineStr">
        <is>
          <t>douzaine</t>
        </is>
      </c>
      <c r="B129" s="26">
        <f>IFERROR(INDEX(Mots!$B:$B,MATCH($A129,Mots!$A:$A,0)),"introuvable")</f>
        <v/>
      </c>
      <c r="G129" s="30" t="inlineStr">
        <is>
          <t>nombre</t>
        </is>
      </c>
    </row>
    <row r="130">
      <c r="A130" s="30" t="inlineStr">
        <is>
          <t>centaine</t>
        </is>
      </c>
      <c r="B130" s="26">
        <f>IFERROR(INDEX(Mots!$B:$B,MATCH($A130,Mots!$A:$A,0)),"introuvable")</f>
        <v/>
      </c>
      <c r="G130" s="30" t="inlineStr">
        <is>
          <t>liaison</t>
        </is>
      </c>
    </row>
    <row r="131">
      <c r="A131" s="30" t="inlineStr">
        <is>
          <t>ventre</t>
        </is>
      </c>
      <c r="B131" s="26">
        <f>IFERROR(INDEX(Mots!$B:$B,MATCH($A131,Mots!$A:$A,0)),"introuvable")</f>
        <v/>
      </c>
      <c r="E131" s="30" t="inlineStr">
        <is>
          <t>corps</t>
        </is>
      </c>
      <c r="N131" s="30" t="inlineStr">
        <is>
          <t>se_soigner</t>
        </is>
      </c>
    </row>
    <row r="132">
      <c r="A132" s="30" t="inlineStr">
        <is>
          <t>dos</t>
        </is>
      </c>
      <c r="B132" s="26">
        <f>IFERROR(INDEX(Mots!$B:$B,MATCH($A132,Mots!$A:$A,0)),"introuvable")</f>
        <v/>
      </c>
      <c r="C132" s="30" t="inlineStr">
        <is>
          <t>partie_corps</t>
        </is>
      </c>
      <c r="E132" s="30" t="inlineStr">
        <is>
          <t>corps</t>
        </is>
      </c>
      <c r="N132" s="30" t="inlineStr">
        <is>
          <t>se_soigner</t>
        </is>
      </c>
    </row>
    <row r="133">
      <c r="A133" s="30" t="inlineStr">
        <is>
          <t>coeur</t>
        </is>
      </c>
      <c r="B133" s="26">
        <f>IFERROR(INDEX(Mots!$B:$B,MATCH($A133,Mots!$A:$A,0)),"introuvable")</f>
        <v/>
      </c>
      <c r="C133" s="30" t="inlineStr">
        <is>
          <t>partie_corps</t>
        </is>
      </c>
      <c r="E133" s="30" t="inlineStr">
        <is>
          <t>corps</t>
        </is>
      </c>
      <c r="N133" s="30" t="inlineStr">
        <is>
          <t>se_soigner</t>
        </is>
      </c>
    </row>
    <row r="134">
      <c r="A134" s="30" t="inlineStr">
        <is>
          <t>poitrine</t>
        </is>
      </c>
      <c r="B134" s="26">
        <f>IFERROR(INDEX(Mots!$B:$B,MATCH($A134,Mots!$A:$A,0)),"introuvable")</f>
        <v/>
      </c>
      <c r="E134" s="30" t="inlineStr">
        <is>
          <t>corps</t>
        </is>
      </c>
      <c r="N134" s="30" t="inlineStr">
        <is>
          <t>se_soigner</t>
        </is>
      </c>
    </row>
    <row r="135">
      <c r="A135" s="30" t="inlineStr">
        <is>
          <t>torse</t>
        </is>
      </c>
      <c r="B135" s="26">
        <f>IFERROR(INDEX(Mots!$B:$B,MATCH($A135,Mots!$A:$A,0)),"introuvable")</f>
        <v/>
      </c>
      <c r="E135" s="30" t="inlineStr">
        <is>
          <t>corps</t>
        </is>
      </c>
      <c r="N135" s="30" t="inlineStr">
        <is>
          <t>se_soigner</t>
        </is>
      </c>
    </row>
    <row r="136">
      <c r="A136" s="30" t="inlineStr">
        <is>
          <t>epaule</t>
        </is>
      </c>
      <c r="B136" s="26">
        <f>IFERROR(INDEX(Mots!$B:$B,MATCH($A136,Mots!$A:$A,0)),"introuvable")</f>
        <v/>
      </c>
      <c r="C136" s="30" t="inlineStr">
        <is>
          <t>partie_corps</t>
        </is>
      </c>
      <c r="E136" s="30" t="inlineStr">
        <is>
          <t>corps</t>
        </is>
      </c>
      <c r="N136" s="30" t="inlineStr">
        <is>
          <t>se_soigner</t>
        </is>
      </c>
    </row>
    <row r="137">
      <c r="A137" s="30" t="inlineStr">
        <is>
          <t>tete</t>
        </is>
      </c>
      <c r="B137" s="26">
        <f>IFERROR(INDEX(Mots!$B:$B,MATCH($A137,Mots!$A:$A,0)),"introuvable")</f>
        <v/>
      </c>
      <c r="E137" s="30" t="inlineStr">
        <is>
          <t>corps</t>
        </is>
      </c>
      <c r="N137" s="30" t="inlineStr">
        <is>
          <t>se_soigner</t>
        </is>
      </c>
    </row>
    <row r="138">
      <c r="A138" s="30" t="inlineStr">
        <is>
          <t>cheveux</t>
        </is>
      </c>
      <c r="B138" s="26">
        <f>IFERROR(INDEX(Mots!$B:$B,MATCH($A138,Mots!$A:$A,0)),"introuvable")</f>
        <v/>
      </c>
      <c r="E138" s="30" t="inlineStr">
        <is>
          <t>corps</t>
        </is>
      </c>
      <c r="N138" s="30" t="inlineStr">
        <is>
          <t>se_soigner</t>
        </is>
      </c>
    </row>
    <row r="139">
      <c r="A139" s="30" t="inlineStr">
        <is>
          <t>oeil</t>
        </is>
      </c>
      <c r="B139" s="26">
        <f>IFERROR(INDEX(Mots!$B:$B,MATCH($A139,Mots!$A:$A,0)),"introuvable")</f>
        <v/>
      </c>
      <c r="C139" s="30" t="inlineStr">
        <is>
          <t>partie_corps</t>
        </is>
      </c>
      <c r="E139" s="30" t="inlineStr">
        <is>
          <t>corps</t>
        </is>
      </c>
      <c r="N139" s="30" t="inlineStr">
        <is>
          <t>se_soigner</t>
        </is>
      </c>
    </row>
    <row r="140">
      <c r="A140" s="30" t="inlineStr">
        <is>
          <t>nez</t>
        </is>
      </c>
      <c r="B140" s="26">
        <f>IFERROR(INDEX(Mots!$B:$B,MATCH($A140,Mots!$A:$A,0)),"introuvable")</f>
        <v/>
      </c>
      <c r="E140" s="30" t="inlineStr">
        <is>
          <t>corps</t>
        </is>
      </c>
      <c r="N140" s="30" t="inlineStr">
        <is>
          <t>se_soigner</t>
        </is>
      </c>
    </row>
    <row r="141">
      <c r="A141" s="30" t="inlineStr">
        <is>
          <t>bouche</t>
        </is>
      </c>
      <c r="B141" s="26">
        <f>IFERROR(INDEX(Mots!$B:$B,MATCH($A141,Mots!$A:$A,0)),"introuvable")</f>
        <v/>
      </c>
      <c r="E141" s="30" t="inlineStr">
        <is>
          <t>corps</t>
        </is>
      </c>
      <c r="N141" s="30" t="inlineStr">
        <is>
          <t>se_soigner</t>
        </is>
      </c>
    </row>
    <row r="142">
      <c r="A142" s="30" t="inlineStr">
        <is>
          <t>dent</t>
        </is>
      </c>
      <c r="B142" s="26">
        <f>IFERROR(INDEX(Mots!$B:$B,MATCH($A142,Mots!$A:$A,0)),"introuvable")</f>
        <v/>
      </c>
      <c r="C142" s="30" t="inlineStr">
        <is>
          <t>aliment</t>
        </is>
      </c>
      <c r="E142" s="30" t="inlineStr">
        <is>
          <t>corps</t>
        </is>
      </c>
      <c r="N142" s="30" t="inlineStr">
        <is>
          <t>se_soigner</t>
        </is>
      </c>
    </row>
    <row r="143">
      <c r="A143" s="30" t="inlineStr">
        <is>
          <t>oreille</t>
        </is>
      </c>
      <c r="B143" s="26">
        <f>IFERROR(INDEX(Mots!$B:$B,MATCH($A143,Mots!$A:$A,0)),"introuvable")</f>
        <v/>
      </c>
      <c r="C143" s="30" t="inlineStr">
        <is>
          <t>partie_corps</t>
        </is>
      </c>
      <c r="E143" s="30" t="inlineStr">
        <is>
          <t>corps</t>
        </is>
      </c>
      <c r="N143" s="30" t="inlineStr">
        <is>
          <t>se_soigner</t>
        </is>
      </c>
    </row>
    <row r="144">
      <c r="A144" s="30" t="inlineStr">
        <is>
          <t>joue</t>
        </is>
      </c>
      <c r="B144" s="26">
        <f>IFERROR(INDEX(Mots!$B:$B,MATCH($A144,Mots!$A:$A,0)),"introuvable")</f>
        <v/>
      </c>
      <c r="E144" s="30" t="inlineStr">
        <is>
          <t>corps</t>
        </is>
      </c>
      <c r="N144" s="30" t="inlineStr">
        <is>
          <t>se_soigner</t>
        </is>
      </c>
    </row>
    <row r="145">
      <c r="A145" s="30" t="inlineStr">
        <is>
          <t>langue</t>
        </is>
      </c>
      <c r="B145" s="26">
        <f>IFERROR(INDEX(Mots!$B:$B,MATCH($A145,Mots!$A:$A,0)),"introuvable")</f>
        <v/>
      </c>
      <c r="E145" s="30" t="inlineStr">
        <is>
          <t>corps</t>
        </is>
      </c>
      <c r="N145" s="30" t="inlineStr">
        <is>
          <t>se_soigner</t>
        </is>
      </c>
    </row>
    <row r="146">
      <c r="A146" s="30" t="inlineStr">
        <is>
          <t>levre</t>
        </is>
      </c>
      <c r="B146" s="26">
        <f>IFERROR(INDEX(Mots!$B:$B,MATCH($A146,Mots!$A:$A,0)),"introuvable")</f>
        <v/>
      </c>
      <c r="E146" s="30" t="inlineStr">
        <is>
          <t>corps</t>
        </is>
      </c>
      <c r="N146" s="30" t="inlineStr">
        <is>
          <t>se_soigner</t>
        </is>
      </c>
    </row>
    <row r="147">
      <c r="A147" s="30" t="inlineStr">
        <is>
          <t>cou</t>
        </is>
      </c>
      <c r="B147" s="26">
        <f>IFERROR(INDEX(Mots!$B:$B,MATCH($A147,Mots!$A:$A,0)),"introuvable")</f>
        <v/>
      </c>
      <c r="C147" s="30" t="inlineStr">
        <is>
          <t>partie_corps</t>
        </is>
      </c>
      <c r="E147" s="30" t="inlineStr">
        <is>
          <t>corps</t>
        </is>
      </c>
      <c r="N147" s="30" t="inlineStr">
        <is>
          <t>se_soigner</t>
        </is>
      </c>
    </row>
    <row r="148">
      <c r="A148" s="30" t="inlineStr">
        <is>
          <t>front</t>
        </is>
      </c>
      <c r="B148" s="26">
        <f>IFERROR(INDEX(Mots!$B:$B,MATCH($A148,Mots!$A:$A,0)),"introuvable")</f>
        <v/>
      </c>
      <c r="E148" s="30" t="inlineStr">
        <is>
          <t>corps</t>
        </is>
      </c>
      <c r="N148" s="30" t="inlineStr">
        <is>
          <t>se_soigner</t>
        </is>
      </c>
    </row>
    <row r="149">
      <c r="A149" s="30" t="inlineStr">
        <is>
          <t>casquette</t>
        </is>
      </c>
      <c r="B149" s="26">
        <f>IFERROR(INDEX(Mots!$B:$B,MATCH($A149,Mots!$A:$A,0)),"introuvable")</f>
        <v/>
      </c>
      <c r="C149" s="30" t="inlineStr">
        <is>
          <t>vetement</t>
        </is>
      </c>
      <c r="N149" s="30" t="inlineStr">
        <is>
          <t>s_habiller</t>
        </is>
      </c>
    </row>
    <row r="150">
      <c r="A150" s="30" t="inlineStr">
        <is>
          <t>ceinture</t>
        </is>
      </c>
      <c r="B150" s="26">
        <f>IFERROR(INDEX(Mots!$B:$B,MATCH($A150,Mots!$A:$A,0)),"introuvable")</f>
        <v/>
      </c>
      <c r="C150" s="30" t="inlineStr">
        <is>
          <t>matiere</t>
        </is>
      </c>
      <c r="N150" s="30" t="inlineStr">
        <is>
          <t>s_habiller</t>
        </is>
      </c>
    </row>
    <row r="151">
      <c r="A151" s="30" t="inlineStr">
        <is>
          <t>bonnet</t>
        </is>
      </c>
      <c r="B151" s="26">
        <f>IFERROR(INDEX(Mots!$B:$B,MATCH($A151,Mots!$A:$A,0)),"introuvable")</f>
        <v/>
      </c>
      <c r="N151" s="30" t="inlineStr">
        <is>
          <t>s_habiller</t>
        </is>
      </c>
    </row>
    <row r="152">
      <c r="A152" s="30" t="inlineStr">
        <is>
          <t>gant</t>
        </is>
      </c>
      <c r="B152" s="26">
        <f>IFERROR(INDEX(Mots!$B:$B,MATCH($A152,Mots!$A:$A,0)),"introuvable")</f>
        <v/>
      </c>
      <c r="C152" s="30" t="inlineStr">
        <is>
          <t>vetement</t>
        </is>
      </c>
      <c r="N152" s="30" t="inlineStr">
        <is>
          <t>s_habiller</t>
        </is>
      </c>
    </row>
    <row r="153">
      <c r="A153" s="30" t="inlineStr">
        <is>
          <t>echarpe</t>
        </is>
      </c>
      <c r="B153" s="26">
        <f>IFERROR(INDEX(Mots!$B:$B,MATCH($A153,Mots!$A:$A,0)),"introuvable")</f>
        <v/>
      </c>
      <c r="C153" s="30" t="inlineStr">
        <is>
          <t>matiere</t>
        </is>
      </c>
      <c r="N153" s="30" t="inlineStr">
        <is>
          <t>s_habiller</t>
        </is>
      </c>
    </row>
    <row r="154">
      <c r="A154" s="30" t="inlineStr">
        <is>
          <t>sourdine_cup</t>
        </is>
      </c>
      <c r="B154" s="26">
        <f>IFERROR(INDEX(Mots!$B:$B,MATCH($A154,Mots!$A:$A,0)),"introuvable")</f>
        <v/>
      </c>
      <c r="I154" s="30" t="inlineStr">
        <is>
          <t>musique</t>
        </is>
      </c>
      <c r="N154" s="30" t="inlineStr">
        <is>
          <t>jouer_musique</t>
        </is>
      </c>
    </row>
    <row r="155">
      <c r="A155" s="30" t="inlineStr">
        <is>
          <t>sourdine_straignt_ou_metal</t>
        </is>
      </c>
      <c r="B155" s="26">
        <f>IFERROR(INDEX(Mots!$B:$B,MATCH($A155,Mots!$A:$A,0)),"introuvable")</f>
        <v/>
      </c>
      <c r="C155" s="30" t="inlineStr">
        <is>
          <t>matiere</t>
        </is>
      </c>
      <c r="I155" s="30" t="inlineStr">
        <is>
          <t>musique</t>
        </is>
      </c>
      <c r="N155" s="30" t="inlineStr">
        <is>
          <t>jouer_musique</t>
        </is>
      </c>
    </row>
    <row r="156">
      <c r="A156" s="30" t="inlineStr">
        <is>
          <t>embouchure</t>
        </is>
      </c>
      <c r="B156" s="26">
        <f>IFERROR(INDEX(Mots!$B:$B,MATCH($A156,Mots!$A:$A,0)),"introuvable")</f>
        <v/>
      </c>
      <c r="C156" s="30" t="inlineStr">
        <is>
          <t>matiere</t>
        </is>
      </c>
      <c r="I156" s="30" t="inlineStr">
        <is>
          <t>musique</t>
        </is>
      </c>
      <c r="N156" s="30" t="inlineStr">
        <is>
          <t>jouer_musique</t>
        </is>
      </c>
    </row>
    <row r="157">
      <c r="A157" s="30" t="inlineStr">
        <is>
          <t>pistons</t>
        </is>
      </c>
      <c r="B157" s="26">
        <f>IFERROR(INDEX(Mots!$B:$B,MATCH($A157,Mots!$A:$A,0)),"introuvable")</f>
        <v/>
      </c>
      <c r="I157" s="30" t="inlineStr">
        <is>
          <t>musique</t>
        </is>
      </c>
      <c r="N157" s="30" t="inlineStr">
        <is>
          <t>jouer_musique</t>
        </is>
      </c>
    </row>
    <row r="158">
      <c r="A158" s="30" t="inlineStr">
        <is>
          <t>coulisse</t>
        </is>
      </c>
      <c r="B158" s="26">
        <f>IFERROR(INDEX(Mots!$B:$B,MATCH($A158,Mots!$A:$A,0)),"introuvable")</f>
        <v/>
      </c>
      <c r="C158" s="30" t="inlineStr">
        <is>
          <t>matiere</t>
        </is>
      </c>
      <c r="I158" s="30" t="inlineStr">
        <is>
          <t>musique</t>
        </is>
      </c>
      <c r="N158" s="30" t="inlineStr">
        <is>
          <t>jouer_musique</t>
        </is>
      </c>
    </row>
    <row r="159">
      <c r="A159" s="30" t="inlineStr">
        <is>
          <t>coffre_instrument</t>
        </is>
      </c>
      <c r="B159" s="26">
        <f>IFERROR(INDEX(Mots!$B:$B,MATCH($A159,Mots!$A:$A,0)),"introuvable")</f>
        <v/>
      </c>
      <c r="C159" s="30" t="inlineStr">
        <is>
          <t>instrument</t>
        </is>
      </c>
      <c r="I159" s="30" t="inlineStr">
        <is>
          <t>musique</t>
        </is>
      </c>
      <c r="N159" s="30" t="inlineStr">
        <is>
          <t>jouer_musique</t>
        </is>
      </c>
    </row>
    <row r="160">
      <c r="A160" s="30" t="inlineStr">
        <is>
          <t>huile_instrument</t>
        </is>
      </c>
      <c r="B160" s="26">
        <f>IFERROR(INDEX(Mots!$B:$B,MATCH($A160,Mots!$A:$A,0)),"introuvable")</f>
        <v/>
      </c>
      <c r="I160" s="30" t="inlineStr">
        <is>
          <t>musique</t>
        </is>
      </c>
      <c r="N160" s="30" t="inlineStr">
        <is>
          <t>jouer_musique</t>
        </is>
      </c>
    </row>
    <row r="161">
      <c r="A161" s="30" t="inlineStr">
        <is>
          <t>graisse_instrument</t>
        </is>
      </c>
      <c r="B161" s="26">
        <f>IFERROR(INDEX(Mots!$B:$B,MATCH($A161,Mots!$A:$A,0)),"introuvable")</f>
        <v/>
      </c>
      <c r="C161" s="30" t="inlineStr">
        <is>
          <t>matiere</t>
        </is>
      </c>
      <c r="I161" s="30" t="inlineStr">
        <is>
          <t>musique</t>
        </is>
      </c>
      <c r="N161" s="30" t="inlineStr">
        <is>
          <t>jouer_musique</t>
        </is>
      </c>
    </row>
    <row r="162">
      <c r="A162" s="30" t="inlineStr">
        <is>
          <t>brosses_instrument</t>
        </is>
      </c>
      <c r="B162" s="26">
        <f>IFERROR(INDEX(Mots!$B:$B,MATCH($A162,Mots!$A:$A,0)),"introuvable")</f>
        <v/>
      </c>
      <c r="C162" s="30" t="inlineStr">
        <is>
          <t>outil</t>
        </is>
      </c>
      <c r="I162" s="30" t="inlineStr">
        <is>
          <t>musique</t>
        </is>
      </c>
      <c r="N162" s="30" t="inlineStr">
        <is>
          <t>jouer_musique</t>
        </is>
      </c>
    </row>
    <row r="163">
      <c r="A163" s="30" t="inlineStr">
        <is>
          <t>pupitre</t>
        </is>
      </c>
      <c r="B163" s="26">
        <f>IFERROR(INDEX(Mots!$B:$B,MATCH($A163,Mots!$A:$A,0)),"introuvable")</f>
        <v/>
      </c>
      <c r="I163" s="30" t="inlineStr">
        <is>
          <t>musique</t>
        </is>
      </c>
      <c r="N163" s="30" t="inlineStr">
        <is>
          <t>jouer_musique</t>
        </is>
      </c>
    </row>
    <row r="164">
      <c r="A164" s="30" t="inlineStr">
        <is>
          <t>uniforme</t>
        </is>
      </c>
      <c r="B164" s="26">
        <f>IFERROR(INDEX(Mots!$B:$B,MATCH($A164,Mots!$A:$A,0)),"introuvable")</f>
        <v/>
      </c>
      <c r="I164" s="30" t="inlineStr">
        <is>
          <t>musique</t>
        </is>
      </c>
      <c r="N164" s="30" t="inlineStr">
        <is>
          <t>jouer_musique</t>
        </is>
      </c>
    </row>
    <row r="165">
      <c r="A165" s="30" t="inlineStr">
        <is>
          <t>pates</t>
        </is>
      </c>
      <c r="B165" s="26">
        <f>IFERROR(INDEX(Mots!$B:$B,MATCH($A165,Mots!$A:$A,0)),"introuvable")</f>
        <v/>
      </c>
      <c r="C165" s="30" t="inlineStr">
        <is>
          <t>aliment</t>
        </is>
      </c>
      <c r="I165" s="30" t="inlineStr">
        <is>
          <t>cuisine</t>
        </is>
      </c>
      <c r="N165" s="30" t="inlineStr">
        <is>
          <t>manger_boire</t>
        </is>
      </c>
    </row>
    <row r="166">
      <c r="A166" s="30" t="inlineStr">
        <is>
          <t>riz</t>
        </is>
      </c>
      <c r="B166" s="26">
        <f>IFERROR(INDEX(Mots!$B:$B,MATCH($A166,Mots!$A:$A,0)),"introuvable")</f>
        <v/>
      </c>
      <c r="C166" s="30" t="inlineStr">
        <is>
          <t>aliment</t>
        </is>
      </c>
      <c r="I166" s="30" t="inlineStr">
        <is>
          <t>cuisine</t>
        </is>
      </c>
      <c r="N166" s="30" t="inlineStr">
        <is>
          <t>manger_boire</t>
        </is>
      </c>
    </row>
    <row r="167">
      <c r="A167" s="30" t="inlineStr">
        <is>
          <t>bagheera</t>
        </is>
      </c>
      <c r="B167" s="26">
        <f>IFERROR(INDEX(Mots!$B:$B,MATCH($A167,Mots!$A:$A,0)),"introuvable")</f>
        <v/>
      </c>
      <c r="I167" s="30" t="inlineStr">
        <is>
          <t>maison</t>
        </is>
      </c>
    </row>
    <row r="168">
      <c r="A168" s="30" t="inlineStr">
        <is>
          <t>naya</t>
        </is>
      </c>
      <c r="B168" s="26">
        <f>IFERROR(INDEX(Mots!$B:$B,MATCH($A168,Mots!$A:$A,0)),"introuvable")</f>
        <v/>
      </c>
      <c r="I168" s="30" t="inlineStr">
        <is>
          <t>maison</t>
        </is>
      </c>
    </row>
    <row r="169">
      <c r="A169" s="30" t="inlineStr">
        <is>
          <t>vache</t>
        </is>
      </c>
      <c r="B169" s="26">
        <f>IFERROR(INDEX(Mots!$B:$B,MATCH($A169,Mots!$A:$A,0)),"introuvable")</f>
        <v/>
      </c>
      <c r="C169" s="30" t="inlineStr">
        <is>
          <t>animal</t>
        </is>
      </c>
      <c r="I169" s="30" t="inlineStr">
        <is>
          <t>dehors</t>
        </is>
      </c>
    </row>
    <row r="170">
      <c r="A170" s="30" t="inlineStr">
        <is>
          <t>cochon</t>
        </is>
      </c>
      <c r="B170" s="26">
        <f>IFERROR(INDEX(Mots!$B:$B,MATCH($A170,Mots!$A:$A,0)),"introuvable")</f>
        <v/>
      </c>
      <c r="C170" s="30" t="inlineStr">
        <is>
          <t>aliment</t>
        </is>
      </c>
      <c r="I170" s="30" t="inlineStr">
        <is>
          <t>dehors</t>
        </is>
      </c>
    </row>
    <row r="171">
      <c r="A171" s="30" t="inlineStr">
        <is>
          <t>mouton</t>
        </is>
      </c>
      <c r="B171" s="26">
        <f>IFERROR(INDEX(Mots!$B:$B,MATCH($A171,Mots!$A:$A,0)),"introuvable")</f>
        <v/>
      </c>
      <c r="C171" s="30" t="inlineStr">
        <is>
          <t>aliment</t>
        </is>
      </c>
      <c r="I171" s="30" t="inlineStr">
        <is>
          <t>dehors</t>
        </is>
      </c>
    </row>
    <row r="172">
      <c r="A172" s="30" t="inlineStr">
        <is>
          <t>poule</t>
        </is>
      </c>
      <c r="B172" s="26">
        <f>IFERROR(INDEX(Mots!$B:$B,MATCH($A172,Mots!$A:$A,0)),"introuvable")</f>
        <v/>
      </c>
      <c r="C172" s="30" t="inlineStr">
        <is>
          <t>animal</t>
        </is>
      </c>
      <c r="I172" s="30" t="inlineStr">
        <is>
          <t>dehors</t>
        </is>
      </c>
    </row>
    <row r="173">
      <c r="A173" s="30" t="inlineStr">
        <is>
          <t>chevre</t>
        </is>
      </c>
      <c r="B173" s="26">
        <f>IFERROR(INDEX(Mots!$B:$B,MATCH($A173,Mots!$A:$A,0)),"introuvable")</f>
        <v/>
      </c>
      <c r="C173" s="30" t="inlineStr">
        <is>
          <t>animal</t>
        </is>
      </c>
      <c r="I173" s="30" t="inlineStr">
        <is>
          <t>dehors</t>
        </is>
      </c>
    </row>
    <row r="174">
      <c r="A174" s="30" t="inlineStr">
        <is>
          <t>cheval</t>
        </is>
      </c>
      <c r="B174" s="26">
        <f>IFERROR(INDEX(Mots!$B:$B,MATCH($A174,Mots!$A:$A,0)),"introuvable")</f>
        <v/>
      </c>
      <c r="C174" s="30" t="inlineStr">
        <is>
          <t>animal</t>
        </is>
      </c>
      <c r="I174" s="30" t="inlineStr">
        <is>
          <t>dehors</t>
        </is>
      </c>
    </row>
    <row r="175">
      <c r="A175" s="30" t="inlineStr">
        <is>
          <t>bassin</t>
        </is>
      </c>
      <c r="B175" s="26">
        <f>IFERROR(INDEX(Mots!$B:$B,MATCH($A175,Mots!$A:$A,0)),"introuvable")</f>
        <v/>
      </c>
      <c r="I175" s="30" t="inlineStr">
        <is>
          <t>dehors</t>
        </is>
      </c>
    </row>
    <row r="176">
      <c r="A176" s="30" t="inlineStr">
        <is>
          <t>chat</t>
        </is>
      </c>
      <c r="B176" s="26">
        <f>IFERROR(INDEX(Mots!$B:$B,MATCH($A176,Mots!$A:$A,0)),"introuvable")</f>
        <v/>
      </c>
      <c r="I176" s="30" t="inlineStr">
        <is>
          <t>maison</t>
        </is>
      </c>
    </row>
    <row r="177">
      <c r="A177" s="30" t="inlineStr">
        <is>
          <t>chien</t>
        </is>
      </c>
      <c r="B177" s="26">
        <f>IFERROR(INDEX(Mots!$B:$B,MATCH($A177,Mots!$A:$A,0)),"introuvable")</f>
        <v/>
      </c>
      <c r="C177" s="30" t="inlineStr">
        <is>
          <t>animal</t>
        </is>
      </c>
      <c r="I177" s="30" t="inlineStr">
        <is>
          <t>maison</t>
        </is>
      </c>
    </row>
    <row r="178">
      <c r="A178" s="30" t="inlineStr">
        <is>
          <t>lapin</t>
        </is>
      </c>
      <c r="B178" s="26">
        <f>IFERROR(INDEX(Mots!$B:$B,MATCH($A178,Mots!$A:$A,0)),"introuvable")</f>
        <v/>
      </c>
      <c r="C178" s="30" t="inlineStr">
        <is>
          <t>animal</t>
        </is>
      </c>
      <c r="I178" s="30" t="inlineStr">
        <is>
          <t>maison</t>
        </is>
      </c>
    </row>
    <row r="179">
      <c r="A179" s="30" t="inlineStr">
        <is>
          <t>souris</t>
        </is>
      </c>
      <c r="B179" s="26">
        <f>IFERROR(INDEX(Mots!$B:$B,MATCH($A179,Mots!$A:$A,0)),"introuvable")</f>
        <v/>
      </c>
      <c r="I179" s="30" t="inlineStr">
        <is>
          <t>dehors</t>
        </is>
      </c>
    </row>
    <row r="180">
      <c r="A180" s="30" t="inlineStr">
        <is>
          <t>ecureuil</t>
        </is>
      </c>
      <c r="B180" s="26">
        <f>IFERROR(INDEX(Mots!$B:$B,MATCH($A180,Mots!$A:$A,0)),"introuvable")</f>
        <v/>
      </c>
      <c r="C180" s="30" t="inlineStr">
        <is>
          <t>animal</t>
        </is>
      </c>
      <c r="I180" s="30" t="inlineStr">
        <is>
          <t>dehors</t>
        </is>
      </c>
    </row>
    <row r="181">
      <c r="A181" s="30" t="inlineStr">
        <is>
          <t>marmotte</t>
        </is>
      </c>
      <c r="B181" s="26">
        <f>IFERROR(INDEX(Mots!$B:$B,MATCH($A181,Mots!$A:$A,0)),"introuvable")</f>
        <v/>
      </c>
      <c r="I181" s="30" t="inlineStr">
        <is>
          <t>dehors</t>
        </is>
      </c>
    </row>
    <row r="182">
      <c r="A182" s="30" t="inlineStr">
        <is>
          <t>loup</t>
        </is>
      </c>
      <c r="B182" s="26">
        <f>IFERROR(INDEX(Mots!$B:$B,MATCH($A182,Mots!$A:$A,0)),"introuvable")</f>
        <v/>
      </c>
      <c r="C182" s="30" t="inlineStr">
        <is>
          <t>animal</t>
        </is>
      </c>
      <c r="I182" s="30" t="inlineStr">
        <is>
          <t>dehors</t>
        </is>
      </c>
    </row>
    <row r="183">
      <c r="A183" s="30" t="inlineStr">
        <is>
          <t>chevreuil</t>
        </is>
      </c>
      <c r="B183" s="26">
        <f>IFERROR(INDEX(Mots!$B:$B,MATCH($A183,Mots!$A:$A,0)),"introuvable")</f>
        <v/>
      </c>
      <c r="C183" s="30" t="inlineStr">
        <is>
          <t>animal</t>
        </is>
      </c>
      <c r="I183" s="30" t="inlineStr">
        <is>
          <t>dehors</t>
        </is>
      </c>
    </row>
    <row r="184">
      <c r="A184" s="30" t="inlineStr">
        <is>
          <t>chamois</t>
        </is>
      </c>
      <c r="B184" s="26">
        <f>IFERROR(INDEX(Mots!$B:$B,MATCH($A184,Mots!$A:$A,0)),"introuvable")</f>
        <v/>
      </c>
      <c r="C184" s="30" t="inlineStr">
        <is>
          <t>animal</t>
        </is>
      </c>
      <c r="I184" s="30" t="inlineStr">
        <is>
          <t>dehors</t>
        </is>
      </c>
    </row>
    <row r="185">
      <c r="A185" s="30" t="inlineStr">
        <is>
          <t>biche</t>
        </is>
      </c>
      <c r="B185" s="26">
        <f>IFERROR(INDEX(Mots!$B:$B,MATCH($A185,Mots!$A:$A,0)),"introuvable")</f>
        <v/>
      </c>
      <c r="C185" s="30" t="inlineStr">
        <is>
          <t>animal</t>
        </is>
      </c>
      <c r="I185" s="30" t="inlineStr">
        <is>
          <t>dehors</t>
        </is>
      </c>
    </row>
    <row r="186">
      <c r="A186" s="30" t="inlineStr">
        <is>
          <t>cerf</t>
        </is>
      </c>
      <c r="B186" s="26">
        <f>IFERROR(INDEX(Mots!$B:$B,MATCH($A186,Mots!$A:$A,0)),"introuvable")</f>
        <v/>
      </c>
      <c r="C186" s="30" t="inlineStr">
        <is>
          <t>animal</t>
        </is>
      </c>
      <c r="I186" s="30" t="inlineStr">
        <is>
          <t>dehors</t>
        </is>
      </c>
    </row>
    <row r="187">
      <c r="A187" s="30" t="inlineStr">
        <is>
          <t>bouquetin</t>
        </is>
      </c>
      <c r="B187" s="26">
        <f>IFERROR(INDEX(Mots!$B:$B,MATCH($A187,Mots!$A:$A,0)),"introuvable")</f>
        <v/>
      </c>
      <c r="C187" s="30" t="inlineStr">
        <is>
          <t>animal</t>
        </is>
      </c>
      <c r="I187" s="30" t="inlineStr">
        <is>
          <t>dehors</t>
        </is>
      </c>
    </row>
    <row r="188">
      <c r="A188" s="30" t="inlineStr">
        <is>
          <t>poisson</t>
        </is>
      </c>
      <c r="B188" s="26">
        <f>IFERROR(INDEX(Mots!$B:$B,MATCH($A188,Mots!$A:$A,0)),"introuvable")</f>
        <v/>
      </c>
      <c r="C188" s="30" t="inlineStr">
        <is>
          <t>animal</t>
        </is>
      </c>
      <c r="I188" s="30" t="inlineStr">
        <is>
          <t>dehors</t>
        </is>
      </c>
    </row>
    <row r="189">
      <c r="A189" s="30" t="inlineStr">
        <is>
          <t>serpent</t>
        </is>
      </c>
      <c r="B189" s="26">
        <f>IFERROR(INDEX(Mots!$B:$B,MATCH($A189,Mots!$A:$A,0)),"introuvable")</f>
        <v/>
      </c>
      <c r="C189" s="30" t="inlineStr">
        <is>
          <t>animal</t>
        </is>
      </c>
      <c r="I189" s="30" t="inlineStr">
        <is>
          <t>dehors</t>
        </is>
      </c>
    </row>
    <row r="190">
      <c r="A190" s="30" t="inlineStr">
        <is>
          <t>elephant</t>
        </is>
      </c>
      <c r="B190" s="26">
        <f>IFERROR(INDEX(Mots!$B:$B,MATCH($A190,Mots!$A:$A,0)),"introuvable")</f>
        <v/>
      </c>
      <c r="C190" s="30" t="inlineStr">
        <is>
          <t>animal</t>
        </is>
      </c>
      <c r="I190" s="30" t="inlineStr">
        <is>
          <t>dehors</t>
        </is>
      </c>
    </row>
    <row r="191">
      <c r="A191" s="30" t="inlineStr">
        <is>
          <t>lion</t>
        </is>
      </c>
      <c r="B191" s="26">
        <f>IFERROR(INDEX(Mots!$B:$B,MATCH($A191,Mots!$A:$A,0)),"introuvable")</f>
        <v/>
      </c>
      <c r="I191" s="30" t="inlineStr">
        <is>
          <t>dehors</t>
        </is>
      </c>
    </row>
    <row r="192">
      <c r="A192" s="30" t="inlineStr">
        <is>
          <t>tigre</t>
        </is>
      </c>
      <c r="B192" s="26">
        <f>IFERROR(INDEX(Mots!$B:$B,MATCH($A192,Mots!$A:$A,0)),"introuvable")</f>
        <v/>
      </c>
      <c r="I192" s="30" t="inlineStr">
        <is>
          <t>dehors</t>
        </is>
      </c>
    </row>
    <row r="193">
      <c r="A193" s="30" t="inlineStr">
        <is>
          <t>fourrure</t>
        </is>
      </c>
      <c r="B193" s="26">
        <f>IFERROR(INDEX(Mots!$B:$B,MATCH($A193,Mots!$A:$A,0)),"introuvable")</f>
        <v/>
      </c>
      <c r="I193" s="30" t="inlineStr">
        <is>
          <t>dehors</t>
        </is>
      </c>
    </row>
    <row r="194">
      <c r="A194" s="30" t="inlineStr">
        <is>
          <t>grenouille</t>
        </is>
      </c>
      <c r="B194" s="26">
        <f>IFERROR(INDEX(Mots!$B:$B,MATCH($A194,Mots!$A:$A,0)),"introuvable")</f>
        <v/>
      </c>
      <c r="C194" s="30" t="inlineStr">
        <is>
          <t>animal</t>
        </is>
      </c>
      <c r="I194" s="30" t="inlineStr">
        <is>
          <t>dehors</t>
        </is>
      </c>
    </row>
    <row r="195">
      <c r="A195" s="30" t="inlineStr">
        <is>
          <t>trompe</t>
        </is>
      </c>
      <c r="B195" s="26">
        <f>IFERROR(INDEX(Mots!$B:$B,MATCH($A195,Mots!$A:$A,0)),"introuvable")</f>
        <v/>
      </c>
      <c r="I195" s="30" t="inlineStr">
        <is>
          <t>dehors</t>
        </is>
      </c>
    </row>
    <row r="196">
      <c r="A196" s="30" t="inlineStr">
        <is>
          <t>canard</t>
        </is>
      </c>
      <c r="B196" s="26">
        <f>IFERROR(INDEX(Mots!$B:$B,MATCH($A196,Mots!$A:$A,0)),"introuvable")</f>
        <v/>
      </c>
      <c r="C196" s="30" t="inlineStr">
        <is>
          <t>animal</t>
        </is>
      </c>
      <c r="I196" s="30" t="inlineStr">
        <is>
          <t>dehors</t>
        </is>
      </c>
    </row>
    <row r="197">
      <c r="A197" s="30" t="inlineStr">
        <is>
          <t>fauve</t>
        </is>
      </c>
      <c r="B197" s="26">
        <f>IFERROR(INDEX(Mots!$B:$B,MATCH($A197,Mots!$A:$A,0)),"introuvable")</f>
        <v/>
      </c>
      <c r="C197" s="30" t="inlineStr">
        <is>
          <t>animal</t>
        </is>
      </c>
      <c r="I197" s="30" t="inlineStr">
        <is>
          <t>dehors</t>
        </is>
      </c>
    </row>
    <row r="198">
      <c r="A198" s="30" t="inlineStr">
        <is>
          <t>renard</t>
        </is>
      </c>
      <c r="B198" s="26">
        <f>IFERROR(INDEX(Mots!$B:$B,MATCH($A198,Mots!$A:$A,0)),"introuvable")</f>
        <v/>
      </c>
      <c r="C198" s="30" t="inlineStr">
        <is>
          <t>animal</t>
        </is>
      </c>
      <c r="I198" s="30" t="inlineStr">
        <is>
          <t>dehors</t>
        </is>
      </c>
    </row>
    <row r="199">
      <c r="A199" s="30" t="inlineStr">
        <is>
          <t>singe</t>
        </is>
      </c>
      <c r="B199" s="26">
        <f>IFERROR(INDEX(Mots!$B:$B,MATCH($A199,Mots!$A:$A,0)),"introuvable")</f>
        <v/>
      </c>
      <c r="C199" s="30" t="inlineStr">
        <is>
          <t>animal</t>
        </is>
      </c>
      <c r="I199" s="30" t="inlineStr">
        <is>
          <t>dehors</t>
        </is>
      </c>
    </row>
    <row r="200">
      <c r="A200" s="30" t="inlineStr">
        <is>
          <t>ours</t>
        </is>
      </c>
      <c r="B200" s="26">
        <f>IFERROR(INDEX(Mots!$B:$B,MATCH($A200,Mots!$A:$A,0)),"introuvable")</f>
        <v/>
      </c>
      <c r="C200" s="30" t="inlineStr">
        <is>
          <t>animal</t>
        </is>
      </c>
      <c r="I200" s="30" t="inlineStr">
        <is>
          <t>dehors</t>
        </is>
      </c>
    </row>
    <row r="201">
      <c r="A201" s="30" t="inlineStr">
        <is>
          <t>sucre</t>
        </is>
      </c>
      <c r="B201" s="26">
        <f>IFERROR(INDEX(Mots!$B:$B,MATCH($A201,Mots!$A:$A,0)),"introuvable")</f>
        <v/>
      </c>
      <c r="I201" s="30" t="inlineStr">
        <is>
          <t>cuisine</t>
        </is>
      </c>
      <c r="N201" s="30" t="inlineStr">
        <is>
          <t>cuisiner</t>
        </is>
      </c>
    </row>
    <row r="202">
      <c r="A202" s="30" t="inlineStr">
        <is>
          <t>sel</t>
        </is>
      </c>
      <c r="B202" s="26">
        <f>IFERROR(INDEX(Mots!$B:$B,MATCH($A202,Mots!$A:$A,0)),"introuvable")</f>
        <v/>
      </c>
      <c r="I202" s="30" t="inlineStr">
        <is>
          <t>cuisine</t>
        </is>
      </c>
      <c r="N202" s="30" t="inlineStr">
        <is>
          <t>cuisiner</t>
        </is>
      </c>
    </row>
    <row r="203">
      <c r="A203" s="30" t="inlineStr">
        <is>
          <t>poivre</t>
        </is>
      </c>
      <c r="B203" s="26">
        <f>IFERROR(INDEX(Mots!$B:$B,MATCH($A203,Mots!$A:$A,0)),"introuvable")</f>
        <v/>
      </c>
      <c r="C203" s="30" t="inlineStr">
        <is>
          <t>plante</t>
        </is>
      </c>
      <c r="I203" s="30" t="inlineStr">
        <is>
          <t>cuisine</t>
        </is>
      </c>
      <c r="N203" s="30" t="inlineStr">
        <is>
          <t>cuisiner</t>
        </is>
      </c>
    </row>
    <row r="204">
      <c r="A204" s="30" t="inlineStr">
        <is>
          <t>arome_maggy</t>
        </is>
      </c>
      <c r="B204" s="26">
        <f>IFERROR(INDEX(Mots!$B:$B,MATCH($A204,Mots!$A:$A,0)),"introuvable")</f>
        <v/>
      </c>
      <c r="I204" s="30" t="inlineStr">
        <is>
          <t>cuisine</t>
        </is>
      </c>
      <c r="N204" s="30" t="inlineStr">
        <is>
          <t>cuisiner</t>
        </is>
      </c>
    </row>
    <row r="205">
      <c r="A205" s="30" t="inlineStr">
        <is>
          <t>curry</t>
        </is>
      </c>
      <c r="B205" s="26">
        <f>IFERROR(INDEX(Mots!$B:$B,MATCH($A205,Mots!$A:$A,0)),"introuvable")</f>
        <v/>
      </c>
      <c r="I205" s="30" t="inlineStr">
        <is>
          <t>cuisine</t>
        </is>
      </c>
      <c r="N205" s="30" t="inlineStr">
        <is>
          <t>cuisiner</t>
        </is>
      </c>
    </row>
    <row r="206">
      <c r="A206" s="30" t="inlineStr">
        <is>
          <t>assurance_invalidité</t>
        </is>
      </c>
      <c r="B206" s="26">
        <f>IFERROR(INDEX(Mots!$B:$B,MATCH($A206,Mots!$A:$A,0)),"introuvable")</f>
        <v/>
      </c>
      <c r="I206" s="30" t="inlineStr">
        <is>
          <t>ville</t>
        </is>
      </c>
      <c r="N206" s="30" t="inlineStr">
        <is>
          <t>travailler</t>
        </is>
      </c>
    </row>
    <row r="207">
      <c r="A207" s="30" t="inlineStr">
        <is>
          <t>caisse_retraite</t>
        </is>
      </c>
      <c r="B207" s="26">
        <f>IFERROR(INDEX(Mots!$B:$B,MATCH($A207,Mots!$A:$A,0)),"introuvable")</f>
        <v/>
      </c>
      <c r="I207" s="30" t="inlineStr">
        <is>
          <t>ville</t>
        </is>
      </c>
      <c r="N207" s="30" t="inlineStr">
        <is>
          <t>travailler</t>
        </is>
      </c>
    </row>
    <row r="208">
      <c r="A208" s="30" t="inlineStr">
        <is>
          <t>assurance_maladie</t>
        </is>
      </c>
      <c r="B208" s="26">
        <f>IFERROR(INDEX(Mots!$B:$B,MATCH($A208,Mots!$A:$A,0)),"introuvable")</f>
        <v/>
      </c>
      <c r="I208" s="30" t="inlineStr">
        <is>
          <t>ville</t>
        </is>
      </c>
      <c r="N208" s="30" t="inlineStr">
        <is>
          <t>travailler</t>
        </is>
      </c>
    </row>
    <row r="209">
      <c r="A209" s="30" t="inlineStr">
        <is>
          <t>banque_migros</t>
        </is>
      </c>
      <c r="B209" s="26">
        <f>IFERROR(INDEX(Mots!$B:$B,MATCH($A209,Mots!$A:$A,0)),"introuvable")</f>
        <v/>
      </c>
      <c r="C209" s="30" t="inlineStr">
        <is>
          <t>partie_corps</t>
        </is>
      </c>
      <c r="I209" s="30" t="inlineStr">
        <is>
          <t>ville</t>
        </is>
      </c>
      <c r="N209" s="30" t="inlineStr">
        <is>
          <t>travailler</t>
        </is>
      </c>
    </row>
    <row r="210">
      <c r="A210" s="30" t="inlineStr">
        <is>
          <t>banque_raiffeisen</t>
        </is>
      </c>
      <c r="B210" s="26">
        <f>IFERROR(INDEX(Mots!$B:$B,MATCH($A210,Mots!$A:$A,0)),"introuvable")</f>
        <v/>
      </c>
      <c r="I210" s="30" t="inlineStr">
        <is>
          <t>ville</t>
        </is>
      </c>
      <c r="N210" s="30" t="inlineStr">
        <is>
          <t>travailler</t>
        </is>
      </c>
    </row>
    <row r="211">
      <c r="A211" s="30" t="inlineStr">
        <is>
          <t>assurance_mobilière</t>
        </is>
      </c>
      <c r="B211" s="26">
        <f>IFERROR(INDEX(Mots!$B:$B,MATCH($A211,Mots!$A:$A,0)),"introuvable")</f>
        <v/>
      </c>
      <c r="I211" s="30" t="inlineStr">
        <is>
          <t>ville</t>
        </is>
      </c>
      <c r="N211" s="30" t="inlineStr">
        <is>
          <t>travailler</t>
        </is>
      </c>
    </row>
    <row r="212">
      <c r="A212" s="30" t="inlineStr">
        <is>
          <t>assurance_Helvetia</t>
        </is>
      </c>
      <c r="B212" s="26">
        <f>IFERROR(INDEX(Mots!$B:$B,MATCH($A212,Mots!$A:$A,0)),"introuvable")</f>
        <v/>
      </c>
      <c r="I212" s="30" t="inlineStr">
        <is>
          <t>ville</t>
        </is>
      </c>
      <c r="N212" s="30" t="inlineStr">
        <is>
          <t>travailler</t>
        </is>
      </c>
    </row>
    <row r="213">
      <c r="A213" s="30" t="inlineStr">
        <is>
          <t>carte_débit</t>
        </is>
      </c>
      <c r="B213" s="26">
        <f>IFERROR(INDEX(Mots!$B:$B,MATCH($A213,Mots!$A:$A,0)),"introuvable")</f>
        <v/>
      </c>
      <c r="I213" s="30" t="inlineStr">
        <is>
          <t>ville</t>
        </is>
      </c>
      <c r="N213" s="30" t="inlineStr">
        <is>
          <t>travailler</t>
        </is>
      </c>
    </row>
    <row r="214">
      <c r="A214" s="30" t="inlineStr">
        <is>
          <t>pret_hypothecaire</t>
        </is>
      </c>
      <c r="B214" s="26">
        <f>IFERROR(INDEX(Mots!$B:$B,MATCH($A214,Mots!$A:$A,0)),"introuvable")</f>
        <v/>
      </c>
      <c r="I214" s="30" t="inlineStr">
        <is>
          <t>ville</t>
        </is>
      </c>
      <c r="N214" s="30" t="inlineStr">
        <is>
          <t>travailler</t>
        </is>
      </c>
    </row>
    <row r="215">
      <c r="A215" s="30" t="inlineStr">
        <is>
          <t>billet_banque</t>
        </is>
      </c>
      <c r="B215" s="26">
        <f>IFERROR(INDEX(Mots!$B:$B,MATCH($A215,Mots!$A:$A,0)),"introuvable")</f>
        <v/>
      </c>
      <c r="I215" s="30" t="inlineStr">
        <is>
          <t>ville</t>
        </is>
      </c>
      <c r="N215" s="30" t="inlineStr">
        <is>
          <t>travailler</t>
        </is>
      </c>
    </row>
    <row r="216">
      <c r="A216" s="30" t="inlineStr">
        <is>
          <t>piece_monnaie</t>
        </is>
      </c>
      <c r="B216" s="26">
        <f>IFERROR(INDEX(Mots!$B:$B,MATCH($A216,Mots!$A:$A,0)),"introuvable")</f>
        <v/>
      </c>
      <c r="C216" s="30" t="inlineStr">
        <is>
          <t>matiere</t>
        </is>
      </c>
      <c r="I216" s="30" t="inlineStr">
        <is>
          <t>ville</t>
        </is>
      </c>
      <c r="N216" s="30" t="inlineStr">
        <is>
          <t>travailler</t>
        </is>
      </c>
    </row>
    <row r="217">
      <c r="A217" s="30" t="inlineStr">
        <is>
          <t>code_nip</t>
        </is>
      </c>
      <c r="B217" s="26">
        <f>IFERROR(INDEX(Mots!$B:$B,MATCH($A217,Mots!$A:$A,0)),"introuvable")</f>
        <v/>
      </c>
      <c r="I217" s="30" t="inlineStr">
        <is>
          <t>ville</t>
        </is>
      </c>
      <c r="N217" s="30" t="inlineStr">
        <is>
          <t>travailler</t>
        </is>
      </c>
    </row>
    <row r="218">
      <c r="A218" s="30" t="inlineStr">
        <is>
          <t>compte</t>
        </is>
      </c>
      <c r="B218" s="26">
        <f>IFERROR(INDEX(Mots!$B:$B,MATCH($A218,Mots!$A:$A,0)),"introuvable")</f>
        <v/>
      </c>
      <c r="I218" s="30" t="inlineStr">
        <is>
          <t>ville</t>
        </is>
      </c>
      <c r="N218" s="30" t="inlineStr">
        <is>
          <t>travailler</t>
        </is>
      </c>
    </row>
    <row r="219">
      <c r="A219" s="30" t="inlineStr">
        <is>
          <t>guichet</t>
        </is>
      </c>
      <c r="B219" s="26">
        <f>IFERROR(INDEX(Mots!$B:$B,MATCH($A219,Mots!$A:$A,0)),"introuvable")</f>
        <v/>
      </c>
      <c r="I219" s="30" t="inlineStr">
        <is>
          <t>ville</t>
        </is>
      </c>
      <c r="N219" s="30" t="inlineStr">
        <is>
          <t>travailler</t>
        </is>
      </c>
    </row>
    <row r="220">
      <c r="A220" s="30" t="inlineStr">
        <is>
          <t>retrait</t>
        </is>
      </c>
      <c r="B220" s="26">
        <f>IFERROR(INDEX(Mots!$B:$B,MATCH($A220,Mots!$A:$A,0)),"introuvable")</f>
        <v/>
      </c>
      <c r="I220" s="30" t="inlineStr">
        <is>
          <t>ville</t>
        </is>
      </c>
      <c r="N220" s="30" t="inlineStr">
        <is>
          <t>travailler</t>
        </is>
      </c>
    </row>
    <row r="221">
      <c r="A221" s="30" t="inlineStr">
        <is>
          <t>solde</t>
        </is>
      </c>
      <c r="B221" s="26">
        <f>IFERROR(INDEX(Mots!$B:$B,MATCH($A221,Mots!$A:$A,0)),"introuvable")</f>
        <v/>
      </c>
      <c r="I221" s="30" t="inlineStr">
        <is>
          <t>ville</t>
        </is>
      </c>
      <c r="N221" s="30" t="inlineStr">
        <is>
          <t>travailler</t>
        </is>
      </c>
    </row>
    <row r="222">
      <c r="A222" s="30" t="inlineStr">
        <is>
          <t>virement</t>
        </is>
      </c>
      <c r="B222" s="26">
        <f>IFERROR(INDEX(Mots!$B:$B,MATCH($A222,Mots!$A:$A,0)),"introuvable")</f>
        <v/>
      </c>
      <c r="I222" s="30" t="inlineStr">
        <is>
          <t>ville</t>
        </is>
      </c>
      <c r="N222" s="30" t="inlineStr">
        <is>
          <t>travailler</t>
        </is>
      </c>
    </row>
    <row r="223">
      <c r="A223" s="30" t="inlineStr">
        <is>
          <t>interet</t>
        </is>
      </c>
      <c r="B223" s="26">
        <f>IFERROR(INDEX(Mots!$B:$B,MATCH($A223,Mots!$A:$A,0)),"introuvable")</f>
        <v/>
      </c>
      <c r="I223" s="30" t="inlineStr">
        <is>
          <t>travail</t>
        </is>
      </c>
    </row>
    <row r="224">
      <c r="A224" s="30" t="inlineStr">
        <is>
          <t>admin_conthey</t>
        </is>
      </c>
      <c r="B224" s="26">
        <f>IFERROR(INDEX(Mots!$B:$B,MATCH($A224,Mots!$A:$A,0)),"introuvable")</f>
        <v/>
      </c>
      <c r="I224" s="30" t="inlineStr">
        <is>
          <t>ville</t>
        </is>
      </c>
    </row>
    <row r="225">
      <c r="A225" s="30" t="inlineStr">
        <is>
          <t>ecole_erde</t>
        </is>
      </c>
      <c r="B225" s="26">
        <f>IFERROR(INDEX(Mots!$B:$B,MATCH($A225,Mots!$A:$A,0)),"introuvable")</f>
        <v/>
      </c>
      <c r="I225" s="30" t="inlineStr">
        <is>
          <t>ville</t>
        </is>
      </c>
    </row>
    <row r="226">
      <c r="A226" s="30" t="inlineStr">
        <is>
          <t>eglise</t>
        </is>
      </c>
      <c r="B226" s="26">
        <f>IFERROR(INDEX(Mots!$B:$B,MATCH($A226,Mots!$A:$A,0)),"introuvable")</f>
        <v/>
      </c>
      <c r="I226" s="30" t="inlineStr">
        <is>
          <t>ville</t>
        </is>
      </c>
    </row>
    <row r="227">
      <c r="A227" s="30" t="inlineStr">
        <is>
          <t>migros</t>
        </is>
      </c>
      <c r="B227" s="26">
        <f>IFERROR(INDEX(Mots!$B:$B,MATCH($A227,Mots!$A:$A,0)),"introuvable")</f>
        <v/>
      </c>
      <c r="I227" s="30" t="inlineStr">
        <is>
          <t>ville</t>
        </is>
      </c>
    </row>
    <row r="228">
      <c r="A228" s="30" t="inlineStr">
        <is>
          <t>station_service</t>
        </is>
      </c>
      <c r="B228" s="26">
        <f>IFERROR(INDEX(Mots!$B:$B,MATCH($A228,Mots!$A:$A,0)),"introuvable")</f>
        <v/>
      </c>
      <c r="I228" s="30" t="inlineStr">
        <is>
          <t>ville</t>
        </is>
      </c>
    </row>
    <row r="229">
      <c r="A229" s="30" t="inlineStr">
        <is>
          <t>garage_nord</t>
        </is>
      </c>
      <c r="B229" s="26">
        <f>IFERROR(INDEX(Mots!$B:$B,MATCH($A229,Mots!$A:$A,0)),"introuvable")</f>
        <v/>
      </c>
      <c r="I229" s="30" t="inlineStr">
        <is>
          <t>ville</t>
        </is>
      </c>
    </row>
    <row r="230">
      <c r="A230" s="30" t="inlineStr">
        <is>
          <t>halle_poly</t>
        </is>
      </c>
      <c r="B230" s="26">
        <f>IFERROR(INDEX(Mots!$B:$B,MATCH($A230,Mots!$A:$A,0)),"introuvable")</f>
        <v/>
      </c>
      <c r="I230" s="30" t="inlineStr">
        <is>
          <t>ville</t>
        </is>
      </c>
    </row>
    <row r="231">
      <c r="A231" s="30" t="inlineStr">
        <is>
          <t>cafe_sapins</t>
        </is>
      </c>
      <c r="B231" s="26">
        <f>IFERROR(INDEX(Mots!$B:$B,MATCH($A231,Mots!$A:$A,0)),"introuvable")</f>
        <v/>
      </c>
      <c r="I231" s="30" t="inlineStr">
        <is>
          <t>ville</t>
        </is>
      </c>
    </row>
    <row r="232">
      <c r="A232" s="30" t="inlineStr">
        <is>
          <t>cafe_rangs</t>
        </is>
      </c>
      <c r="B232" s="26">
        <f>IFERROR(INDEX(Mots!$B:$B,MATCH($A232,Mots!$A:$A,0)),"introuvable")</f>
        <v/>
      </c>
      <c r="I232" s="30" t="inlineStr">
        <is>
          <t>ville</t>
        </is>
      </c>
    </row>
    <row r="233">
      <c r="A233" s="30" t="inlineStr">
        <is>
          <t>resto_sanetsch</t>
        </is>
      </c>
      <c r="B233" s="26">
        <f>IFERROR(INDEX(Mots!$B:$B,MATCH($A233,Mots!$A:$A,0)),"introuvable")</f>
        <v/>
      </c>
      <c r="I233" s="30" t="inlineStr">
        <is>
          <t>ville</t>
        </is>
      </c>
    </row>
    <row r="234">
      <c r="A234" s="30" t="inlineStr">
        <is>
          <t>hopital_sion</t>
        </is>
      </c>
      <c r="B234" s="26">
        <f>IFERROR(INDEX(Mots!$B:$B,MATCH($A234,Mots!$A:$A,0)),"introuvable")</f>
        <v/>
      </c>
      <c r="I234" s="30" t="inlineStr">
        <is>
          <t>ville</t>
        </is>
      </c>
    </row>
    <row r="235">
      <c r="A235" s="30" t="inlineStr">
        <is>
          <t>hopital_sierre</t>
        </is>
      </c>
      <c r="B235" s="26">
        <f>IFERROR(INDEX(Mots!$B:$B,MATCH($A235,Mots!$A:$A,0)),"introuvable")</f>
        <v/>
      </c>
      <c r="I235" s="30" t="inlineStr">
        <is>
          <t>ville</t>
        </is>
      </c>
    </row>
    <row r="236">
      <c r="A236" s="30" t="inlineStr">
        <is>
          <t>gare_sion</t>
        </is>
      </c>
      <c r="B236" s="26">
        <f>IFERROR(INDEX(Mots!$B:$B,MATCH($A236,Mots!$A:$A,0)),"introuvable")</f>
        <v/>
      </c>
      <c r="I236" s="30" t="inlineStr">
        <is>
          <t>ville</t>
        </is>
      </c>
    </row>
    <row r="237">
      <c r="A237" s="30" t="inlineStr">
        <is>
          <t>gare_routiere_sion</t>
        </is>
      </c>
      <c r="B237" s="26">
        <f>IFERROR(INDEX(Mots!$B:$B,MATCH($A237,Mots!$A:$A,0)),"introuvable")</f>
        <v/>
      </c>
      <c r="I237" s="30" t="inlineStr">
        <is>
          <t>ville</t>
        </is>
      </c>
    </row>
    <row r="238">
      <c r="A238" s="30" t="inlineStr">
        <is>
          <t>gare</t>
        </is>
      </c>
      <c r="B238" s="26">
        <f>IFERROR(INDEX(Mots!$B:$B,MATCH($A238,Mots!$A:$A,0)),"introuvable")</f>
        <v/>
      </c>
      <c r="I238" s="30" t="inlineStr">
        <is>
          <t>ville</t>
        </is>
      </c>
    </row>
    <row r="239">
      <c r="A239" s="30" t="inlineStr">
        <is>
          <t>aeroport</t>
        </is>
      </c>
      <c r="B239" s="26">
        <f>IFERROR(INDEX(Mots!$B:$B,MATCH($A239,Mots!$A:$A,0)),"introuvable")</f>
        <v/>
      </c>
      <c r="I239" s="30" t="inlineStr">
        <is>
          <t>ville</t>
        </is>
      </c>
    </row>
    <row r="240">
      <c r="A240" s="30" t="inlineStr">
        <is>
          <t>musee</t>
        </is>
      </c>
      <c r="B240" s="26">
        <f>IFERROR(INDEX(Mots!$B:$B,MATCH($A240,Mots!$A:$A,0)),"introuvable")</f>
        <v/>
      </c>
      <c r="I240" s="30" t="inlineStr">
        <is>
          <t>ville</t>
        </is>
      </c>
    </row>
    <row r="241">
      <c r="A241" s="30" t="inlineStr">
        <is>
          <t>biere_limonade</t>
        </is>
      </c>
      <c r="B241" s="26">
        <f>IFERROR(INDEX(Mots!$B:$B,MATCH($A241,Mots!$A:$A,0)),"introuvable")</f>
        <v/>
      </c>
      <c r="C241" s="30" t="inlineStr">
        <is>
          <t>boisson</t>
        </is>
      </c>
      <c r="I241" s="30" t="inlineStr">
        <is>
          <t>cuisine</t>
        </is>
      </c>
      <c r="N241" s="30" t="inlineStr">
        <is>
          <t>manger_boire</t>
        </is>
      </c>
    </row>
    <row r="242">
      <c r="A242" s="30" t="inlineStr">
        <is>
          <t>verre_de_vin_rouge</t>
        </is>
      </c>
      <c r="B242" s="26">
        <f>IFERROR(INDEX(Mots!$B:$B,MATCH($A242,Mots!$A:$A,0)),"introuvable")</f>
        <v/>
      </c>
      <c r="C242" s="30" t="inlineStr">
        <is>
          <t>boisson</t>
        </is>
      </c>
      <c r="I242" s="30" t="inlineStr">
        <is>
          <t>cuisine</t>
        </is>
      </c>
      <c r="N242" s="30" t="inlineStr">
        <is>
          <t>manger_boire</t>
        </is>
      </c>
    </row>
    <row r="243">
      <c r="A243" s="30" t="inlineStr">
        <is>
          <t>verre_de_vin_blanc</t>
        </is>
      </c>
      <c r="B243" s="26">
        <f>IFERROR(INDEX(Mots!$B:$B,MATCH($A243,Mots!$A:$A,0)),"introuvable")</f>
        <v/>
      </c>
      <c r="C243" s="30" t="inlineStr">
        <is>
          <t>boisson</t>
        </is>
      </c>
      <c r="I243" s="30" t="inlineStr">
        <is>
          <t>cuisine</t>
        </is>
      </c>
      <c r="N243" s="30" t="inlineStr">
        <is>
          <t>manger_boire</t>
        </is>
      </c>
    </row>
    <row r="244">
      <c r="A244" s="30" t="inlineStr">
        <is>
          <t>suze_henniez</t>
        </is>
      </c>
      <c r="B244" s="26">
        <f>IFERROR(INDEX(Mots!$B:$B,MATCH($A244,Mots!$A:$A,0)),"introuvable")</f>
        <v/>
      </c>
      <c r="I244" s="30" t="inlineStr">
        <is>
          <t>cuisine</t>
        </is>
      </c>
      <c r="N244" s="30" t="inlineStr">
        <is>
          <t>manger_boire</t>
        </is>
      </c>
    </row>
    <row r="245">
      <c r="A245" s="30" t="inlineStr">
        <is>
          <t>the</t>
        </is>
      </c>
      <c r="B245" s="26">
        <f>IFERROR(INDEX(Mots!$B:$B,MATCH($A245,Mots!$A:$A,0)),"introuvable")</f>
        <v/>
      </c>
      <c r="C245" s="30" t="inlineStr">
        <is>
          <t>boisson</t>
        </is>
      </c>
      <c r="I245" s="30" t="inlineStr">
        <is>
          <t>cuisine</t>
        </is>
      </c>
      <c r="N245" s="30" t="inlineStr">
        <is>
          <t>manger_boire</t>
        </is>
      </c>
    </row>
    <row r="246">
      <c r="A246" s="30" t="inlineStr">
        <is>
          <t>eau_minerale</t>
        </is>
      </c>
      <c r="B246" s="26">
        <f>IFERROR(INDEX(Mots!$B:$B,MATCH($A246,Mots!$A:$A,0)),"introuvable")</f>
        <v/>
      </c>
      <c r="I246" s="30" t="inlineStr">
        <is>
          <t>cuisine</t>
        </is>
      </c>
      <c r="N246" s="30" t="inlineStr">
        <is>
          <t>manger_boire</t>
        </is>
      </c>
    </row>
    <row r="247">
      <c r="A247" s="30" t="inlineStr">
        <is>
          <t>henniez_cassis</t>
        </is>
      </c>
      <c r="B247" s="26">
        <f>IFERROR(INDEX(Mots!$B:$B,MATCH($A247,Mots!$A:$A,0)),"introuvable")</f>
        <v/>
      </c>
      <c r="I247" s="30" t="inlineStr">
        <is>
          <t>cuisine</t>
        </is>
      </c>
      <c r="N247" s="30" t="inlineStr">
        <is>
          <t>manger_boire</t>
        </is>
      </c>
    </row>
    <row r="248">
      <c r="A248" s="30" t="inlineStr">
        <is>
          <t>coca_cola</t>
        </is>
      </c>
      <c r="B248" s="26">
        <f>IFERROR(INDEX(Mots!$B:$B,MATCH($A248,Mots!$A:$A,0)),"introuvable")</f>
        <v/>
      </c>
      <c r="C248" s="30" t="inlineStr">
        <is>
          <t>boisson</t>
        </is>
      </c>
      <c r="I248" s="30" t="inlineStr">
        <is>
          <t>cuisine</t>
        </is>
      </c>
      <c r="N248" s="30" t="inlineStr">
        <is>
          <t>manger_boire</t>
        </is>
      </c>
    </row>
    <row r="249">
      <c r="A249" s="30" t="inlineStr">
        <is>
          <t>grapefruit</t>
        </is>
      </c>
      <c r="B249" s="26">
        <f>IFERROR(INDEX(Mots!$B:$B,MATCH($A249,Mots!$A:$A,0)),"introuvable")</f>
        <v/>
      </c>
      <c r="C249" s="30" t="inlineStr">
        <is>
          <t>aliment</t>
        </is>
      </c>
      <c r="I249" s="30" t="inlineStr">
        <is>
          <t>cuisine</t>
        </is>
      </c>
      <c r="N249" s="30" t="inlineStr">
        <is>
          <t>manger_boire</t>
        </is>
      </c>
    </row>
    <row r="250">
      <c r="A250" s="30" t="inlineStr">
        <is>
          <t>jus_de_pomme</t>
        </is>
      </c>
      <c r="B250" s="26">
        <f>IFERROR(INDEX(Mots!$B:$B,MATCH($A250,Mots!$A:$A,0)),"introuvable")</f>
        <v/>
      </c>
      <c r="C250" s="30" t="inlineStr">
        <is>
          <t>boisson</t>
        </is>
      </c>
      <c r="I250" s="30" t="inlineStr">
        <is>
          <t>cuisine</t>
        </is>
      </c>
      <c r="N250" s="30" t="inlineStr">
        <is>
          <t>manger_boire</t>
        </is>
      </c>
    </row>
    <row r="251">
      <c r="A251" s="30" t="inlineStr">
        <is>
          <t>jus_dorange</t>
        </is>
      </c>
      <c r="B251" s="26">
        <f>IFERROR(INDEX(Mots!$B:$B,MATCH($A251,Mots!$A:$A,0)),"introuvable")</f>
        <v/>
      </c>
      <c r="C251" s="30" t="inlineStr">
        <is>
          <t>boisson</t>
        </is>
      </c>
      <c r="I251" s="30" t="inlineStr">
        <is>
          <t>cuisine</t>
        </is>
      </c>
      <c r="N251" s="30" t="inlineStr">
        <is>
          <t>manger_boire</t>
        </is>
      </c>
    </row>
    <row r="252">
      <c r="A252" s="30" t="inlineStr">
        <is>
          <t>sprite</t>
        </is>
      </c>
      <c r="B252" s="26">
        <f>IFERROR(INDEX(Mots!$B:$B,MATCH($A252,Mots!$A:$A,0)),"introuvable")</f>
        <v/>
      </c>
      <c r="I252" s="30" t="inlineStr">
        <is>
          <t>cuisine</t>
        </is>
      </c>
      <c r="N252" s="30" t="inlineStr">
        <is>
          <t>manger_boire</t>
        </is>
      </c>
    </row>
    <row r="253">
      <c r="A253" s="30" t="inlineStr">
        <is>
          <t>sirop</t>
        </is>
      </c>
      <c r="B253" s="26">
        <f>IFERROR(INDEX(Mots!$B:$B,MATCH($A253,Mots!$A:$A,0)),"introuvable")</f>
        <v/>
      </c>
      <c r="C253" s="30" t="inlineStr">
        <is>
          <t>aliment</t>
        </is>
      </c>
      <c r="I253" s="30" t="inlineStr">
        <is>
          <t>cuisine</t>
        </is>
      </c>
      <c r="N253" s="30" t="inlineStr">
        <is>
          <t>manger_boire</t>
        </is>
      </c>
    </row>
    <row r="254">
      <c r="A254" s="30" t="inlineStr">
        <is>
          <t>baskets</t>
        </is>
      </c>
      <c r="B254" s="26">
        <f>IFERROR(INDEX(Mots!$B:$B,MATCH($A254,Mots!$A:$A,0)),"introuvable")</f>
        <v/>
      </c>
      <c r="N254" s="30" t="inlineStr">
        <is>
          <t>s_habiller</t>
        </is>
      </c>
    </row>
    <row r="255">
      <c r="A255" s="30" t="inlineStr">
        <is>
          <t>souliers</t>
        </is>
      </c>
      <c r="B255" s="26">
        <f>IFERROR(INDEX(Mots!$B:$B,MATCH($A255,Mots!$A:$A,0)),"introuvable")</f>
        <v/>
      </c>
      <c r="N255" s="30" t="inlineStr">
        <is>
          <t>s_habiller</t>
        </is>
      </c>
    </row>
    <row r="256">
      <c r="A256" s="30" t="inlineStr">
        <is>
          <t>bottillons</t>
        </is>
      </c>
      <c r="B256" s="26">
        <f>IFERROR(INDEX(Mots!$B:$B,MATCH($A256,Mots!$A:$A,0)),"introuvable")</f>
        <v/>
      </c>
      <c r="N256" s="30" t="inlineStr">
        <is>
          <t>s_habiller</t>
        </is>
      </c>
    </row>
    <row r="257">
      <c r="A257" s="30" t="inlineStr">
        <is>
          <t>viande</t>
        </is>
      </c>
      <c r="B257" s="26">
        <f>IFERROR(INDEX(Mots!$B:$B,MATCH($A257,Mots!$A:$A,0)),"introuvable")</f>
        <v/>
      </c>
      <c r="C257" s="30" t="inlineStr">
        <is>
          <t>aliment</t>
        </is>
      </c>
      <c r="I257" s="30" t="inlineStr">
        <is>
          <t>cuisine</t>
        </is>
      </c>
      <c r="N257" s="30" t="inlineStr">
        <is>
          <t>manger_boire</t>
        </is>
      </c>
    </row>
    <row r="258">
      <c r="A258" s="30" t="inlineStr">
        <is>
          <t>lait</t>
        </is>
      </c>
      <c r="B258" s="26">
        <f>IFERROR(INDEX(Mots!$B:$B,MATCH($A258,Mots!$A:$A,0)),"introuvable")</f>
        <v/>
      </c>
      <c r="C258" s="30" t="inlineStr">
        <is>
          <t>animal</t>
        </is>
      </c>
      <c r="I258" s="30" t="inlineStr">
        <is>
          <t>cuisine</t>
        </is>
      </c>
      <c r="N258" s="30" t="inlineStr">
        <is>
          <t>manger_boire</t>
        </is>
      </c>
    </row>
    <row r="259">
      <c r="A259" s="30" t="inlineStr">
        <is>
          <t>huile</t>
        </is>
      </c>
      <c r="B259" s="26">
        <f>IFERROR(INDEX(Mots!$B:$B,MATCH($A259,Mots!$A:$A,0)),"introuvable")</f>
        <v/>
      </c>
      <c r="C259" s="30" t="inlineStr">
        <is>
          <t>animal</t>
        </is>
      </c>
      <c r="I259" s="30" t="inlineStr">
        <is>
          <t>cuisine</t>
        </is>
      </c>
      <c r="N259" s="30" t="inlineStr">
        <is>
          <t>manger_boire</t>
        </is>
      </c>
    </row>
    <row r="260">
      <c r="A260" s="30" t="inlineStr">
        <is>
          <t>oeuf</t>
        </is>
      </c>
      <c r="B260" s="26">
        <f>IFERROR(INDEX(Mots!$B:$B,MATCH($A260,Mots!$A:$A,0)),"introuvable")</f>
        <v/>
      </c>
      <c r="C260" s="30" t="inlineStr">
        <is>
          <t>animal</t>
        </is>
      </c>
      <c r="I260" s="30" t="inlineStr">
        <is>
          <t>cuisine</t>
        </is>
      </c>
      <c r="N260" s="30" t="inlineStr">
        <is>
          <t>manger_boire</t>
        </is>
      </c>
    </row>
    <row r="261">
      <c r="A261" s="30" t="inlineStr">
        <is>
          <t>gateau</t>
        </is>
      </c>
      <c r="B261" s="26">
        <f>IFERROR(INDEX(Mots!$B:$B,MATCH($A261,Mots!$A:$A,0)),"introuvable")</f>
        <v/>
      </c>
      <c r="C261" s="30" t="inlineStr">
        <is>
          <t>aliment</t>
        </is>
      </c>
      <c r="I261" s="30" t="inlineStr">
        <is>
          <t>cuisine</t>
        </is>
      </c>
      <c r="N261" s="30" t="inlineStr">
        <is>
          <t>manger_boire</t>
        </is>
      </c>
    </row>
    <row r="262">
      <c r="A262" s="30" t="inlineStr">
        <is>
          <t>foret</t>
        </is>
      </c>
      <c r="B262" s="26">
        <f>IFERROR(INDEX(Mots!$B:$B,MATCH($A262,Mots!$A:$A,0)),"introuvable")</f>
        <v/>
      </c>
      <c r="C262" s="30" t="inlineStr">
        <is>
          <t>plante</t>
        </is>
      </c>
      <c r="I262" s="30" t="inlineStr">
        <is>
          <t>dehors</t>
        </is>
      </c>
      <c r="N262" s="30" t="inlineStr">
        <is>
          <t>se_promener</t>
        </is>
      </c>
    </row>
    <row r="263">
      <c r="A263" s="30" t="inlineStr">
        <is>
          <t>mer</t>
        </is>
      </c>
      <c r="B263" s="26">
        <f>IFERROR(INDEX(Mots!$B:$B,MATCH($A263,Mots!$A:$A,0)),"introuvable")</f>
        <v/>
      </c>
      <c r="I263" s="30" t="inlineStr">
        <is>
          <t>dehors</t>
        </is>
      </c>
      <c r="N263" s="30" t="inlineStr">
        <is>
          <t>se_promener</t>
        </is>
      </c>
    </row>
    <row r="264">
      <c r="A264" s="30" t="inlineStr">
        <is>
          <t>montagne</t>
        </is>
      </c>
      <c r="B264" s="26">
        <f>IFERROR(INDEX(Mots!$B:$B,MATCH($A264,Mots!$A:$A,0)),"introuvable")</f>
        <v/>
      </c>
      <c r="I264" s="30" t="inlineStr">
        <is>
          <t>dehors</t>
        </is>
      </c>
      <c r="N264" s="30" t="inlineStr">
        <is>
          <t>se_promener</t>
        </is>
      </c>
    </row>
    <row r="265">
      <c r="A265" s="30" t="inlineStr">
        <is>
          <t>riviere</t>
        </is>
      </c>
      <c r="B265" s="26">
        <f>IFERROR(INDEX(Mots!$B:$B,MATCH($A265,Mots!$A:$A,0)),"introuvable")</f>
        <v/>
      </c>
      <c r="I265" s="30" t="inlineStr">
        <is>
          <t>dehors</t>
        </is>
      </c>
      <c r="N265" s="30" t="inlineStr">
        <is>
          <t>se_promener</t>
        </is>
      </c>
    </row>
    <row r="266">
      <c r="A266" s="30" t="inlineStr">
        <is>
          <t>rocher</t>
        </is>
      </c>
      <c r="B266" s="26">
        <f>IFERROR(INDEX(Mots!$B:$B,MATCH($A266,Mots!$A:$A,0)),"introuvable")</f>
        <v/>
      </c>
      <c r="C266" s="30" t="inlineStr">
        <is>
          <t>matiere</t>
        </is>
      </c>
      <c r="I266" s="30" t="inlineStr">
        <is>
          <t>dehors</t>
        </is>
      </c>
      <c r="N266" s="30" t="inlineStr">
        <is>
          <t>se_promener</t>
        </is>
      </c>
    </row>
    <row r="267">
      <c r="A267" s="30" t="inlineStr">
        <is>
          <t>p_lune</t>
        </is>
      </c>
      <c r="B267" s="26">
        <f>IFERROR(INDEX(Mots!$B:$B,MATCH($A267,Mots!$A:$A,0)),"introuvable")</f>
        <v/>
      </c>
      <c r="I267" s="30" t="inlineStr">
        <is>
          <t>dehors</t>
        </is>
      </c>
      <c r="N267" s="30" t="inlineStr">
        <is>
          <t>se_promener</t>
        </is>
      </c>
    </row>
    <row r="268">
      <c r="A268" s="30" t="inlineStr">
        <is>
          <t>e_terre</t>
        </is>
      </c>
      <c r="B268" s="26">
        <f>IFERROR(INDEX(Mots!$B:$B,MATCH($A268,Mots!$A:$A,0)),"introuvable")</f>
        <v/>
      </c>
      <c r="I268" s="30" t="inlineStr">
        <is>
          <t>dehors</t>
        </is>
      </c>
      <c r="N268" s="30" t="inlineStr">
        <is>
          <t>se_promener</t>
        </is>
      </c>
    </row>
    <row r="269">
      <c r="A269" s="30" t="inlineStr">
        <is>
          <t>ciel</t>
        </is>
      </c>
      <c r="B269" s="26">
        <f>IFERROR(INDEX(Mots!$B:$B,MATCH($A269,Mots!$A:$A,0)),"introuvable")</f>
        <v/>
      </c>
      <c r="I269" s="30" t="inlineStr">
        <is>
          <t>dehors</t>
        </is>
      </c>
      <c r="N269" s="30" t="inlineStr">
        <is>
          <t>se_promener</t>
        </is>
      </c>
    </row>
    <row r="270">
      <c r="A270" s="30" t="inlineStr">
        <is>
          <t>feu</t>
        </is>
      </c>
      <c r="B270" s="26">
        <f>IFERROR(INDEX(Mots!$B:$B,MATCH($A270,Mots!$A:$A,0)),"introuvable")</f>
        <v/>
      </c>
      <c r="I270" s="30" t="inlineStr">
        <is>
          <t>dehors</t>
        </is>
      </c>
      <c r="N270" s="30" t="inlineStr">
        <is>
          <t>se_promener</t>
        </is>
      </c>
    </row>
    <row r="271">
      <c r="A271" s="30" t="inlineStr">
        <is>
          <t>soleil</t>
        </is>
      </c>
      <c r="B271" s="26">
        <f>IFERROR(INDEX(Mots!$B:$B,MATCH($A271,Mots!$A:$A,0)),"introuvable")</f>
        <v/>
      </c>
      <c r="I271" s="30" t="inlineStr">
        <is>
          <t>dehors</t>
        </is>
      </c>
      <c r="N271" s="30" t="inlineStr">
        <is>
          <t>se_promener</t>
        </is>
      </c>
    </row>
    <row r="272">
      <c r="A272" s="30" t="inlineStr">
        <is>
          <t>eau</t>
        </is>
      </c>
      <c r="B272" s="26">
        <f>IFERROR(INDEX(Mots!$B:$B,MATCH($A272,Mots!$A:$A,0)),"introuvable")</f>
        <v/>
      </c>
      <c r="I272" s="30" t="inlineStr">
        <is>
          <t>dehors</t>
        </is>
      </c>
      <c r="N272" s="30" t="inlineStr">
        <is>
          <t>se_promener</t>
        </is>
      </c>
    </row>
    <row r="273">
      <c r="A273" s="30" t="inlineStr">
        <is>
          <t>incendie</t>
        </is>
      </c>
      <c r="B273" s="26">
        <f>IFERROR(INDEX(Mots!$B:$B,MATCH($A273,Mots!$A:$A,0)),"introuvable")</f>
        <v/>
      </c>
      <c r="I273" s="30" t="inlineStr">
        <is>
          <t>dehors</t>
        </is>
      </c>
      <c r="N273" s="30" t="inlineStr">
        <is>
          <t>se_promener</t>
        </is>
      </c>
    </row>
    <row r="274">
      <c r="A274" s="30" t="inlineStr">
        <is>
          <t>colere</t>
        </is>
      </c>
      <c r="B274" s="26">
        <f>IFERROR(INDEX(Mots!$B:$B,MATCH($A274,Mots!$A:$A,0)),"introuvable")</f>
        <v/>
      </c>
      <c r="Z274" s="30" t="inlineStr">
        <is>
          <t>desagreable</t>
        </is>
      </c>
    </row>
    <row r="275">
      <c r="A275" s="30" t="inlineStr">
        <is>
          <t>peur</t>
        </is>
      </c>
      <c r="B275" s="26">
        <f>IFERROR(INDEX(Mots!$B:$B,MATCH($A275,Mots!$A:$A,0)),"introuvable")</f>
        <v/>
      </c>
      <c r="Z275" s="30" t="inlineStr">
        <is>
          <t>desagreable</t>
        </is>
      </c>
    </row>
    <row r="276">
      <c r="A276" s="30" t="inlineStr">
        <is>
          <t>solitude</t>
        </is>
      </c>
      <c r="B276" s="26">
        <f>IFERROR(INDEX(Mots!$B:$B,MATCH($A276,Mots!$A:$A,0)),"introuvable")</f>
        <v/>
      </c>
      <c r="Z276" s="30" t="inlineStr">
        <is>
          <t>desagreable</t>
        </is>
      </c>
    </row>
    <row r="277">
      <c r="A277" s="30" t="inlineStr">
        <is>
          <t>tristesse</t>
        </is>
      </c>
      <c r="B277" s="26">
        <f>IFERROR(INDEX(Mots!$B:$B,MATCH($A277,Mots!$A:$A,0)),"introuvable")</f>
        <v/>
      </c>
      <c r="Z277" s="30" t="inlineStr">
        <is>
          <t>desagreable</t>
        </is>
      </c>
    </row>
    <row r="278">
      <c r="A278" s="30" t="inlineStr">
        <is>
          <t>confiance</t>
        </is>
      </c>
      <c r="B278" s="26">
        <f>IFERROR(INDEX(Mots!$B:$B,MATCH($A278,Mots!$A:$A,0)),"introuvable")</f>
        <v/>
      </c>
      <c r="Z278" s="30" t="inlineStr">
        <is>
          <t>agreable</t>
        </is>
      </c>
    </row>
    <row r="279">
      <c r="A279" s="30" t="inlineStr">
        <is>
          <t>fierte</t>
        </is>
      </c>
      <c r="B279" s="26">
        <f>IFERROR(INDEX(Mots!$B:$B,MATCH($A279,Mots!$A:$A,0)),"introuvable")</f>
        <v/>
      </c>
      <c r="Z279" s="30" t="inlineStr">
        <is>
          <t>agreable</t>
        </is>
      </c>
    </row>
    <row r="280">
      <c r="A280" s="30" t="inlineStr">
        <is>
          <t>gratitude</t>
        </is>
      </c>
      <c r="B280" s="26">
        <f>IFERROR(INDEX(Mots!$B:$B,MATCH($A280,Mots!$A:$A,0)),"introuvable")</f>
        <v/>
      </c>
      <c r="Z280" s="30" t="inlineStr">
        <is>
          <t>agreable</t>
        </is>
      </c>
    </row>
    <row r="281">
      <c r="A281" s="30" t="inlineStr">
        <is>
          <t>joie</t>
        </is>
      </c>
      <c r="B281" s="26">
        <f>IFERROR(INDEX(Mots!$B:$B,MATCH($A281,Mots!$A:$A,0)),"introuvable")</f>
        <v/>
      </c>
      <c r="Z281" s="30" t="inlineStr">
        <is>
          <t>agreable</t>
        </is>
      </c>
    </row>
    <row r="282">
      <c r="A282" s="30" t="inlineStr">
        <is>
          <t>surprise</t>
        </is>
      </c>
      <c r="B282" s="26">
        <f>IFERROR(INDEX(Mots!$B:$B,MATCH($A282,Mots!$A:$A,0)),"introuvable")</f>
        <v/>
      </c>
      <c r="Z282" s="30" t="inlineStr">
        <is>
          <t>agreable</t>
        </is>
      </c>
    </row>
    <row r="283">
      <c r="A283" s="30" t="inlineStr">
        <is>
          <t>amour</t>
        </is>
      </c>
      <c r="B283" s="26">
        <f>IFERROR(INDEX(Mots!$B:$B,MATCH($A283,Mots!$A:$A,0)),"introuvable")</f>
        <v/>
      </c>
      <c r="Z283" s="30" t="inlineStr">
        <is>
          <t>agreable</t>
        </is>
      </c>
    </row>
    <row r="284">
      <c r="A284" s="30" t="inlineStr">
        <is>
          <t>bonheur</t>
        </is>
      </c>
      <c r="B284" s="26">
        <f>IFERROR(INDEX(Mots!$B:$B,MATCH($A284,Mots!$A:$A,0)),"introuvable")</f>
        <v/>
      </c>
      <c r="Z284" s="30" t="inlineStr">
        <is>
          <t>agreable</t>
        </is>
      </c>
    </row>
    <row r="285">
      <c r="A285" s="30" t="inlineStr">
        <is>
          <t>courage</t>
        </is>
      </c>
      <c r="B285" s="26">
        <f>IFERROR(INDEX(Mots!$B:$B,MATCH($A285,Mots!$A:$A,0)),"introuvable")</f>
        <v/>
      </c>
      <c r="Z285" s="30" t="inlineStr">
        <is>
          <t>agreable</t>
        </is>
      </c>
      <c r="AA285" s="30" t="inlineStr">
        <is>
          <t>desagreable</t>
        </is>
      </c>
    </row>
    <row r="286">
      <c r="A286" s="30" t="inlineStr">
        <is>
          <t>espoir</t>
        </is>
      </c>
      <c r="B286" s="26">
        <f>IFERROR(INDEX(Mots!$B:$B,MATCH($A286,Mots!$A:$A,0)),"introuvable")</f>
        <v/>
      </c>
      <c r="Z286" s="30" t="inlineStr">
        <is>
          <t>agreable</t>
        </is>
      </c>
    </row>
    <row r="287">
      <c r="A287" s="30" t="inlineStr">
        <is>
          <t>auberge_godet</t>
        </is>
      </c>
      <c r="B287" s="26">
        <f>IFERROR(INDEX(Mots!$B:$B,MATCH($A287,Mots!$A:$A,0)),"introuvable")</f>
        <v/>
      </c>
      <c r="I287" s="30" t="inlineStr">
        <is>
          <t>dehors</t>
        </is>
      </c>
      <c r="N287" s="30" t="inlineStr">
        <is>
          <t>se_promener</t>
        </is>
      </c>
    </row>
    <row r="288">
      <c r="A288" s="30" t="inlineStr">
        <is>
          <t>refuge_lac_derborence</t>
        </is>
      </c>
      <c r="B288" s="26">
        <f>IFERROR(INDEX(Mots!$B:$B,MATCH($A288,Mots!$A:$A,0)),"introuvable")</f>
        <v/>
      </c>
      <c r="I288" s="30" t="inlineStr">
        <is>
          <t>dehors</t>
        </is>
      </c>
      <c r="N288" s="30" t="inlineStr">
        <is>
          <t>se_promener</t>
        </is>
      </c>
    </row>
    <row r="289">
      <c r="A289" s="30" t="inlineStr">
        <is>
          <t>lac_derborence</t>
        </is>
      </c>
      <c r="B289" s="26">
        <f>IFERROR(INDEX(Mots!$B:$B,MATCH($A289,Mots!$A:$A,0)),"introuvable")</f>
        <v/>
      </c>
      <c r="I289" s="30" t="inlineStr">
        <is>
          <t>dehors</t>
        </is>
      </c>
      <c r="N289" s="30" t="inlineStr">
        <is>
          <t>se_promener</t>
        </is>
      </c>
    </row>
    <row r="290">
      <c r="A290" s="30" t="inlineStr">
        <is>
          <t>buvette_dorbon.webp</t>
        </is>
      </c>
      <c r="B290" s="26">
        <f>IFERROR(INDEX(Mots!$B:$B,MATCH($A290,Mots!$A:$A,0)),"introuvable")</f>
        <v/>
      </c>
      <c r="I290" s="30" t="inlineStr">
        <is>
          <t>dehors</t>
        </is>
      </c>
      <c r="N290" s="30" t="inlineStr">
        <is>
          <t>se_promener</t>
        </is>
      </c>
    </row>
    <row r="291">
      <c r="A291" s="30" t="inlineStr">
        <is>
          <t>alpage_airoz</t>
        </is>
      </c>
      <c r="B291" s="26">
        <f>IFERROR(INDEX(Mots!$B:$B,MATCH($A291,Mots!$A:$A,0)),"introuvable")</f>
        <v/>
      </c>
      <c r="I291" s="30" t="inlineStr">
        <is>
          <t>dehors</t>
        </is>
      </c>
      <c r="N291" s="30" t="inlineStr">
        <is>
          <t>se_promener</t>
        </is>
      </c>
    </row>
    <row r="292">
      <c r="A292" s="30" t="inlineStr">
        <is>
          <t>aplage_flore</t>
        </is>
      </c>
      <c r="B292" s="26">
        <f>IFERROR(INDEX(Mots!$B:$B,MATCH($A292,Mots!$A:$A,0)),"introuvable")</f>
        <v/>
      </c>
      <c r="I292" s="30" t="inlineStr">
        <is>
          <t>dehors</t>
        </is>
      </c>
      <c r="N292" s="30" t="inlineStr">
        <is>
          <t>se_promener</t>
        </is>
      </c>
    </row>
    <row r="293">
      <c r="A293" s="30" t="inlineStr">
        <is>
          <t>lac_trente_pas</t>
        </is>
      </c>
      <c r="B293" s="26">
        <f>IFERROR(INDEX(Mots!$B:$B,MATCH($A293,Mots!$A:$A,0)),"introuvable")</f>
        <v/>
      </c>
      <c r="I293" s="30" t="inlineStr">
        <is>
          <t>dehors</t>
        </is>
      </c>
      <c r="N293" s="30" t="inlineStr">
        <is>
          <t>se_promener</t>
        </is>
      </c>
    </row>
    <row r="294">
      <c r="A294" s="30" t="inlineStr">
        <is>
          <t>croix_de_la_chia</t>
        </is>
      </c>
      <c r="B294" s="26">
        <f>IFERROR(INDEX(Mots!$B:$B,MATCH($A294,Mots!$A:$A,0)),"introuvable")</f>
        <v/>
      </c>
      <c r="I294" s="30" t="inlineStr">
        <is>
          <t>dehors</t>
        </is>
      </c>
      <c r="N294" s="30" t="inlineStr">
        <is>
          <t>se_promener</t>
        </is>
      </c>
    </row>
    <row r="295">
      <c r="A295" s="30" t="inlineStr">
        <is>
          <t>gite_lodze</t>
        </is>
      </c>
      <c r="B295" s="26">
        <f>IFERROR(INDEX(Mots!$B:$B,MATCH($A295,Mots!$A:$A,0)),"introuvable")</f>
        <v/>
      </c>
      <c r="I295" s="30" t="inlineStr">
        <is>
          <t>dehors</t>
        </is>
      </c>
      <c r="N295" s="30" t="inlineStr">
        <is>
          <t>se_promener</t>
        </is>
      </c>
    </row>
    <row r="296">
      <c r="A296" s="30" t="inlineStr">
        <is>
          <t>grand_zour</t>
        </is>
      </c>
      <c r="B296" s="26">
        <f>IFERROR(INDEX(Mots!$B:$B,MATCH($A296,Mots!$A:$A,0)),"introuvable")</f>
        <v/>
      </c>
      <c r="I296" s="30" t="inlineStr">
        <is>
          <t>dehors</t>
        </is>
      </c>
      <c r="N296" s="30" t="inlineStr">
        <is>
          <t>se_promener</t>
        </is>
      </c>
    </row>
    <row r="297">
      <c r="A297" s="30" t="inlineStr">
        <is>
          <t>prarochet</t>
        </is>
      </c>
      <c r="B297" s="26">
        <f>IFERROR(INDEX(Mots!$B:$B,MATCH($A297,Mots!$A:$A,0)),"introuvable")</f>
        <v/>
      </c>
      <c r="I297" s="30" t="inlineStr">
        <is>
          <t>dehors</t>
        </is>
      </c>
      <c r="N297" s="30" t="inlineStr">
        <is>
          <t>se_promener</t>
        </is>
      </c>
    </row>
    <row r="298">
      <c r="A298" s="30" t="inlineStr">
        <is>
          <t>barage_grande_dixence</t>
        </is>
      </c>
      <c r="B298" s="26">
        <f>IFERROR(INDEX(Mots!$B:$B,MATCH($A298,Mots!$A:$A,0)),"introuvable")</f>
        <v/>
      </c>
      <c r="I298" s="30" t="inlineStr">
        <is>
          <t>dehors</t>
        </is>
      </c>
      <c r="N298" s="30" t="inlineStr">
        <is>
          <t>se_promener</t>
        </is>
      </c>
    </row>
    <row r="299">
      <c r="A299" s="30" t="inlineStr">
        <is>
          <t>argent</t>
        </is>
      </c>
      <c r="B299" s="26">
        <f>IFERROR(INDEX(Mots!$B:$B,MATCH($A299,Mots!$A:$A,0)),"introuvable")</f>
        <v/>
      </c>
      <c r="I299" s="30" t="inlineStr">
        <is>
          <t>travail</t>
        </is>
      </c>
      <c r="N299" s="30" t="inlineStr">
        <is>
          <t>travailler</t>
        </is>
      </c>
    </row>
    <row r="300">
      <c r="A300" s="30" t="inlineStr">
        <is>
          <t>salaire</t>
        </is>
      </c>
      <c r="B300" s="26">
        <f>IFERROR(INDEX(Mots!$B:$B,MATCH($A300,Mots!$A:$A,0)),"introuvable")</f>
        <v/>
      </c>
      <c r="I300" s="30" t="inlineStr">
        <is>
          <t>travail</t>
        </is>
      </c>
      <c r="N300" s="30" t="inlineStr">
        <is>
          <t>travailler</t>
        </is>
      </c>
    </row>
    <row r="301">
      <c r="A301" s="30" t="inlineStr">
        <is>
          <t>fruit</t>
        </is>
      </c>
      <c r="B301" s="26">
        <f>IFERROR(INDEX(Mots!$B:$B,MATCH($A301,Mots!$A:$A,0)),"introuvable")</f>
        <v/>
      </c>
      <c r="C301" s="30" t="inlineStr">
        <is>
          <t>aliment</t>
        </is>
      </c>
      <c r="I301" s="30" t="inlineStr">
        <is>
          <t>cuisine</t>
        </is>
      </c>
      <c r="N301" s="30" t="inlineStr">
        <is>
          <t>manger_boire</t>
        </is>
      </c>
    </row>
    <row r="302">
      <c r="A302" s="30" t="inlineStr">
        <is>
          <t>pomme</t>
        </is>
      </c>
      <c r="B302" s="26">
        <f>IFERROR(INDEX(Mots!$B:$B,MATCH($A302,Mots!$A:$A,0)),"introuvable")</f>
        <v/>
      </c>
      <c r="C302" s="30" t="inlineStr">
        <is>
          <t>aliment</t>
        </is>
      </c>
      <c r="I302" s="30" t="inlineStr">
        <is>
          <t>cuisine</t>
        </is>
      </c>
      <c r="N302" s="30" t="inlineStr">
        <is>
          <t>manger_boire</t>
        </is>
      </c>
    </row>
    <row r="303">
      <c r="A303" s="30" t="inlineStr">
        <is>
          <t>poire</t>
        </is>
      </c>
      <c r="B303" s="26">
        <f>IFERROR(INDEX(Mots!$B:$B,MATCH($A303,Mots!$A:$A,0)),"introuvable")</f>
        <v/>
      </c>
      <c r="C303" s="30" t="inlineStr">
        <is>
          <t>aliment</t>
        </is>
      </c>
      <c r="I303" s="30" t="inlineStr">
        <is>
          <t>cuisine</t>
        </is>
      </c>
      <c r="N303" s="30" t="inlineStr">
        <is>
          <t>manger_boire</t>
        </is>
      </c>
    </row>
    <row r="304">
      <c r="A304" s="30" t="inlineStr">
        <is>
          <t>pruneau</t>
        </is>
      </c>
      <c r="B304" s="26">
        <f>IFERROR(INDEX(Mots!$B:$B,MATCH($A304,Mots!$A:$A,0)),"introuvable")</f>
        <v/>
      </c>
      <c r="C304" s="30" t="inlineStr">
        <is>
          <t>aliment</t>
        </is>
      </c>
      <c r="I304" s="30" t="inlineStr">
        <is>
          <t>cuisine</t>
        </is>
      </c>
      <c r="N304" s="30" t="inlineStr">
        <is>
          <t>manger_boire</t>
        </is>
      </c>
    </row>
    <row r="305">
      <c r="A305" s="30" t="inlineStr">
        <is>
          <t>cerise</t>
        </is>
      </c>
      <c r="B305" s="26">
        <f>IFERROR(INDEX(Mots!$B:$B,MATCH($A305,Mots!$A:$A,0)),"introuvable")</f>
        <v/>
      </c>
      <c r="C305" s="30" t="inlineStr">
        <is>
          <t>aliment</t>
        </is>
      </c>
      <c r="I305" s="30" t="inlineStr">
        <is>
          <t>cuisine</t>
        </is>
      </c>
      <c r="N305" s="30" t="inlineStr">
        <is>
          <t>manger_boire</t>
        </is>
      </c>
    </row>
    <row r="306">
      <c r="A306" s="30" t="inlineStr">
        <is>
          <t>abricot</t>
        </is>
      </c>
      <c r="B306" s="26">
        <f>IFERROR(INDEX(Mots!$B:$B,MATCH($A306,Mots!$A:$A,0)),"introuvable")</f>
        <v/>
      </c>
      <c r="C306" s="30" t="inlineStr">
        <is>
          <t>aliment</t>
        </is>
      </c>
      <c r="I306" s="30" t="inlineStr">
        <is>
          <t>cuisine</t>
        </is>
      </c>
      <c r="N306" s="30" t="inlineStr">
        <is>
          <t>manger_boire</t>
        </is>
      </c>
    </row>
    <row r="307">
      <c r="A307" s="30" t="inlineStr">
        <is>
          <t>fraise</t>
        </is>
      </c>
      <c r="B307" s="26">
        <f>IFERROR(INDEX(Mots!$B:$B,MATCH($A307,Mots!$A:$A,0)),"introuvable")</f>
        <v/>
      </c>
      <c r="C307" s="30" t="inlineStr">
        <is>
          <t>aliment</t>
        </is>
      </c>
      <c r="I307" s="30" t="inlineStr">
        <is>
          <t>cuisine</t>
        </is>
      </c>
      <c r="N307" s="30" t="inlineStr">
        <is>
          <t>manger_boire</t>
        </is>
      </c>
    </row>
    <row r="308">
      <c r="A308" s="30" t="inlineStr">
        <is>
          <t>framboise</t>
        </is>
      </c>
      <c r="B308" s="26">
        <f>IFERROR(INDEX(Mots!$B:$B,MATCH($A308,Mots!$A:$A,0)),"introuvable")</f>
        <v/>
      </c>
      <c r="C308" s="30" t="inlineStr">
        <is>
          <t>aliment</t>
        </is>
      </c>
      <c r="I308" s="30" t="inlineStr">
        <is>
          <t>cuisine</t>
        </is>
      </c>
      <c r="N308" s="30" t="inlineStr">
        <is>
          <t>manger_boire</t>
        </is>
      </c>
    </row>
    <row r="309">
      <c r="A309" s="30" t="inlineStr">
        <is>
          <t>banane</t>
        </is>
      </c>
      <c r="B309" s="26">
        <f>IFERROR(INDEX(Mots!$B:$B,MATCH($A309,Mots!$A:$A,0)),"introuvable")</f>
        <v/>
      </c>
      <c r="C309" s="30" t="inlineStr">
        <is>
          <t>aliment</t>
        </is>
      </c>
      <c r="I309" s="30" t="inlineStr">
        <is>
          <t>cuisine</t>
        </is>
      </c>
      <c r="N309" s="30" t="inlineStr">
        <is>
          <t>manger_boire</t>
        </is>
      </c>
    </row>
    <row r="310">
      <c r="A310" s="30" t="inlineStr">
        <is>
          <t>orange</t>
        </is>
      </c>
      <c r="B310" s="26">
        <f>IFERROR(INDEX(Mots!$B:$B,MATCH($A310,Mots!$A:$A,0)),"introuvable")</f>
        <v/>
      </c>
      <c r="C310" s="30" t="inlineStr">
        <is>
          <t>aliment</t>
        </is>
      </c>
      <c r="I310" s="30" t="inlineStr">
        <is>
          <t>cuisine</t>
        </is>
      </c>
      <c r="N310" s="30" t="inlineStr">
        <is>
          <t>manger_boire</t>
        </is>
      </c>
    </row>
    <row r="311">
      <c r="A311" s="30" t="inlineStr">
        <is>
          <t>mandarine</t>
        </is>
      </c>
      <c r="B311" s="26">
        <f>IFERROR(INDEX(Mots!$B:$B,MATCH($A311,Mots!$A:$A,0)),"introuvable")</f>
        <v/>
      </c>
      <c r="C311" s="30" t="inlineStr">
        <is>
          <t>aliment</t>
        </is>
      </c>
      <c r="I311" s="30" t="inlineStr">
        <is>
          <t>cuisine</t>
        </is>
      </c>
      <c r="N311" s="30" t="inlineStr">
        <is>
          <t>manger_boire</t>
        </is>
      </c>
    </row>
    <row r="312">
      <c r="A312" s="30" t="inlineStr">
        <is>
          <t>avocat</t>
        </is>
      </c>
      <c r="B312" s="26">
        <f>IFERROR(INDEX(Mots!$B:$B,MATCH($A312,Mots!$A:$A,0)),"introuvable")</f>
        <v/>
      </c>
      <c r="C312" s="30" t="inlineStr">
        <is>
          <t>plante</t>
        </is>
      </c>
      <c r="I312" s="30" t="inlineStr">
        <is>
          <t>cuisine</t>
        </is>
      </c>
      <c r="N312" s="30" t="inlineStr">
        <is>
          <t>manger_boire</t>
        </is>
      </c>
    </row>
    <row r="313">
      <c r="A313" s="30" t="inlineStr">
        <is>
          <t>noix</t>
        </is>
      </c>
      <c r="B313" s="26">
        <f>IFERROR(INDEX(Mots!$B:$B,MATCH($A313,Mots!$A:$A,0)),"introuvable")</f>
        <v/>
      </c>
      <c r="C313" s="30" t="inlineStr">
        <is>
          <t>aliment</t>
        </is>
      </c>
      <c r="I313" s="30" t="inlineStr">
        <is>
          <t>cuisine</t>
        </is>
      </c>
      <c r="N313" s="30" t="inlineStr">
        <is>
          <t>manger_boire</t>
        </is>
      </c>
    </row>
    <row r="314">
      <c r="A314" s="30" t="inlineStr">
        <is>
          <t>peche</t>
        </is>
      </c>
      <c r="B314" s="26">
        <f>IFERROR(INDEX(Mots!$B:$B,MATCH($A314,Mots!$A:$A,0)),"introuvable")</f>
        <v/>
      </c>
      <c r="C314" s="30" t="inlineStr">
        <is>
          <t>aliment</t>
        </is>
      </c>
      <c r="I314" s="30" t="inlineStr">
        <is>
          <t>cuisine</t>
        </is>
      </c>
      <c r="N314" s="30" t="inlineStr">
        <is>
          <t>manger_boire</t>
        </is>
      </c>
    </row>
    <row r="315">
      <c r="A315" s="30" t="inlineStr">
        <is>
          <t>raisin</t>
        </is>
      </c>
      <c r="B315" s="26">
        <f>IFERROR(INDEX(Mots!$B:$B,MATCH($A315,Mots!$A:$A,0)),"introuvable")</f>
        <v/>
      </c>
      <c r="C315" s="30" t="inlineStr">
        <is>
          <t>aliment</t>
        </is>
      </c>
      <c r="I315" s="30" t="inlineStr">
        <is>
          <t>cuisine</t>
        </is>
      </c>
      <c r="N315" s="30" t="inlineStr">
        <is>
          <t>manger_boire</t>
        </is>
      </c>
    </row>
    <row r="316">
      <c r="A316" s="30" t="inlineStr">
        <is>
          <t>fourmi</t>
        </is>
      </c>
      <c r="B316" s="26">
        <f>IFERROR(INDEX(Mots!$B:$B,MATCH($A316,Mots!$A:$A,0)),"introuvable")</f>
        <v/>
      </c>
      <c r="C316" s="30" t="inlineStr">
        <is>
          <t>animal</t>
        </is>
      </c>
      <c r="I316" s="30" t="inlineStr">
        <is>
          <t>dehors</t>
        </is>
      </c>
    </row>
    <row r="317">
      <c r="A317" s="30" t="inlineStr">
        <is>
          <t>mouche</t>
        </is>
      </c>
      <c r="B317" s="26">
        <f>IFERROR(INDEX(Mots!$B:$B,MATCH($A317,Mots!$A:$A,0)),"introuvable")</f>
        <v/>
      </c>
      <c r="C317" s="30" t="inlineStr">
        <is>
          <t>animal</t>
        </is>
      </c>
      <c r="I317" s="30" t="inlineStr">
        <is>
          <t>dehors</t>
        </is>
      </c>
    </row>
    <row r="318">
      <c r="A318" s="30" t="inlineStr">
        <is>
          <t>toile</t>
        </is>
      </c>
      <c r="B318" s="26">
        <f>IFERROR(INDEX(Mots!$B:$B,MATCH($A318,Mots!$A:$A,0)),"introuvable")</f>
        <v/>
      </c>
      <c r="C318" s="30" t="inlineStr">
        <is>
          <t>matiere</t>
        </is>
      </c>
      <c r="I318" s="30" t="inlineStr">
        <is>
          <t>dehors</t>
        </is>
      </c>
    </row>
    <row r="319">
      <c r="A319" s="30" t="inlineStr">
        <is>
          <t>abeille</t>
        </is>
      </c>
      <c r="B319" s="26">
        <f>IFERROR(INDEX(Mots!$B:$B,MATCH($A319,Mots!$A:$A,0)),"introuvable")</f>
        <v/>
      </c>
      <c r="C319" s="30" t="inlineStr">
        <is>
          <t>animal</t>
        </is>
      </c>
      <c r="I319" s="30" t="inlineStr">
        <is>
          <t>dehors</t>
        </is>
      </c>
    </row>
    <row r="320">
      <c r="A320" s="30" t="inlineStr">
        <is>
          <t>araignee</t>
        </is>
      </c>
      <c r="B320" s="26">
        <f>IFERROR(INDEX(Mots!$B:$B,MATCH($A320,Mots!$A:$A,0)),"introuvable")</f>
        <v/>
      </c>
      <c r="C320" s="30" t="inlineStr">
        <is>
          <t>animal</t>
        </is>
      </c>
      <c r="I320" s="30" t="inlineStr">
        <is>
          <t>dehors</t>
        </is>
      </c>
    </row>
    <row r="321">
      <c r="A321" s="30" t="inlineStr">
        <is>
          <t>papillon</t>
        </is>
      </c>
      <c r="B321" s="26">
        <f>IFERROR(INDEX(Mots!$B:$B,MATCH($A321,Mots!$A:$A,0)),"introuvable")</f>
        <v/>
      </c>
      <c r="C321" s="30" t="inlineStr">
        <is>
          <t>animal</t>
        </is>
      </c>
      <c r="I321" s="30" t="inlineStr">
        <is>
          <t>dehors</t>
        </is>
      </c>
    </row>
    <row r="322">
      <c r="A322" s="30" t="inlineStr">
        <is>
          <t>insecte</t>
        </is>
      </c>
      <c r="B322" s="26">
        <f>IFERROR(INDEX(Mots!$B:$B,MATCH($A322,Mots!$A:$A,0)),"introuvable")</f>
        <v/>
      </c>
      <c r="C322" s="30" t="inlineStr">
        <is>
          <t>animal</t>
        </is>
      </c>
      <c r="I322" s="30" t="inlineStr">
        <is>
          <t>dehors</t>
        </is>
      </c>
    </row>
    <row r="323">
      <c r="A323" s="30" t="inlineStr">
        <is>
          <t>guitare</t>
        </is>
      </c>
      <c r="B323" s="26">
        <f>IFERROR(INDEX(Mots!$B:$B,MATCH($A323,Mots!$A:$A,0)),"introuvable")</f>
        <v/>
      </c>
      <c r="C323" s="30" t="inlineStr">
        <is>
          <t>instrument</t>
        </is>
      </c>
      <c r="I323" s="30" t="inlineStr">
        <is>
          <t>musique</t>
        </is>
      </c>
      <c r="N323" s="30" t="inlineStr">
        <is>
          <t>jouer_musique</t>
        </is>
      </c>
    </row>
    <row r="324">
      <c r="A324" s="30" t="inlineStr">
        <is>
          <t>piano</t>
        </is>
      </c>
      <c r="B324" s="26">
        <f>IFERROR(INDEX(Mots!$B:$B,MATCH($A324,Mots!$A:$A,0)),"introuvable")</f>
        <v/>
      </c>
      <c r="C324" s="30" t="inlineStr">
        <is>
          <t>instrument</t>
        </is>
      </c>
      <c r="I324" s="30" t="inlineStr">
        <is>
          <t>musique</t>
        </is>
      </c>
      <c r="N324" s="30" t="inlineStr">
        <is>
          <t>jouer_musique</t>
        </is>
      </c>
    </row>
    <row r="325">
      <c r="A325" s="30" t="inlineStr">
        <is>
          <t>batterie</t>
        </is>
      </c>
      <c r="B325" s="26">
        <f>IFERROR(INDEX(Mots!$B:$B,MATCH($A325,Mots!$A:$A,0)),"introuvable")</f>
        <v/>
      </c>
      <c r="C325" s="30" t="inlineStr">
        <is>
          <t>instrument</t>
        </is>
      </c>
      <c r="I325" s="30" t="inlineStr">
        <is>
          <t>musique</t>
        </is>
      </c>
      <c r="N325" s="30" t="inlineStr">
        <is>
          <t>jouer_musique</t>
        </is>
      </c>
    </row>
    <row r="326">
      <c r="A326" s="30" t="inlineStr">
        <is>
          <t>grosse_caisse</t>
        </is>
      </c>
      <c r="B326" s="26">
        <f>IFERROR(INDEX(Mots!$B:$B,MATCH($A326,Mots!$A:$A,0)),"introuvable")</f>
        <v/>
      </c>
      <c r="C326" s="30" t="inlineStr">
        <is>
          <t>instrument</t>
        </is>
      </c>
      <c r="I326" s="30" t="inlineStr">
        <is>
          <t>musique</t>
        </is>
      </c>
      <c r="N326" s="30" t="inlineStr">
        <is>
          <t>jouer_musique</t>
        </is>
      </c>
    </row>
    <row r="327">
      <c r="A327" s="30" t="inlineStr">
        <is>
          <t>cymbales</t>
        </is>
      </c>
      <c r="B327" s="26">
        <f>IFERROR(INDEX(Mots!$B:$B,MATCH($A327,Mots!$A:$A,0)),"introuvable")</f>
        <v/>
      </c>
      <c r="C327" s="30" t="inlineStr">
        <is>
          <t>instrument</t>
        </is>
      </c>
      <c r="I327" s="30" t="inlineStr">
        <is>
          <t>musique</t>
        </is>
      </c>
      <c r="N327" s="30" t="inlineStr">
        <is>
          <t>jouer_musique</t>
        </is>
      </c>
    </row>
    <row r="328">
      <c r="A328" s="30" t="inlineStr">
        <is>
          <t>timbales</t>
        </is>
      </c>
      <c r="B328" s="26">
        <f>IFERROR(INDEX(Mots!$B:$B,MATCH($A328,Mots!$A:$A,0)),"introuvable")</f>
        <v/>
      </c>
      <c r="C328" s="30" t="inlineStr">
        <is>
          <t>instrument</t>
        </is>
      </c>
      <c r="I328" s="30" t="inlineStr">
        <is>
          <t>musique</t>
        </is>
      </c>
      <c r="N328" s="30" t="inlineStr">
        <is>
          <t>jouer_musique</t>
        </is>
      </c>
    </row>
    <row r="329">
      <c r="A329" s="30" t="inlineStr">
        <is>
          <t>xylophone</t>
        </is>
      </c>
      <c r="B329" s="26">
        <f>IFERROR(INDEX(Mots!$B:$B,MATCH($A329,Mots!$A:$A,0)),"introuvable")</f>
        <v/>
      </c>
      <c r="C329" s="30" t="inlineStr">
        <is>
          <t>instrument</t>
        </is>
      </c>
      <c r="I329" s="30" t="inlineStr">
        <is>
          <t>musique</t>
        </is>
      </c>
      <c r="N329" s="30" t="inlineStr">
        <is>
          <t>jouer_musique</t>
        </is>
      </c>
    </row>
    <row r="330">
      <c r="A330" s="30" t="inlineStr">
        <is>
          <t>vibraphone</t>
        </is>
      </c>
      <c r="B330" s="26">
        <f>IFERROR(INDEX(Mots!$B:$B,MATCH($A330,Mots!$A:$A,0)),"introuvable")</f>
        <v/>
      </c>
      <c r="C330" s="30" t="inlineStr">
        <is>
          <t>matiere</t>
        </is>
      </c>
      <c r="I330" s="30" t="inlineStr">
        <is>
          <t>musique</t>
        </is>
      </c>
      <c r="N330" s="30" t="inlineStr">
        <is>
          <t>jouer_musique</t>
        </is>
      </c>
    </row>
    <row r="331">
      <c r="A331" s="30" t="inlineStr">
        <is>
          <t>marimba</t>
        </is>
      </c>
      <c r="B331" s="26">
        <f>IFERROR(INDEX(Mots!$B:$B,MATCH($A331,Mots!$A:$A,0)),"introuvable")</f>
        <v/>
      </c>
      <c r="C331" s="30" t="inlineStr">
        <is>
          <t>matiere</t>
        </is>
      </c>
      <c r="I331" s="30" t="inlineStr">
        <is>
          <t>musique</t>
        </is>
      </c>
      <c r="N331" s="30" t="inlineStr">
        <is>
          <t>jouer_musique</t>
        </is>
      </c>
    </row>
    <row r="332">
      <c r="A332" s="30" t="inlineStr">
        <is>
          <t>tambour</t>
        </is>
      </c>
      <c r="B332" s="26">
        <f>IFERROR(INDEX(Mots!$B:$B,MATCH($A332,Mots!$A:$A,0)),"introuvable")</f>
        <v/>
      </c>
      <c r="I332" s="30" t="inlineStr">
        <is>
          <t>musique</t>
        </is>
      </c>
      <c r="N332" s="30" t="inlineStr">
        <is>
          <t>jouer_musique</t>
        </is>
      </c>
    </row>
    <row r="333">
      <c r="A333" s="30" t="inlineStr">
        <is>
          <t>cornet</t>
        </is>
      </c>
      <c r="B333" s="26">
        <f>IFERROR(INDEX(Mots!$B:$B,MATCH($A333,Mots!$A:$A,0)),"introuvable")</f>
        <v/>
      </c>
      <c r="C333" s="30" t="inlineStr">
        <is>
          <t>instrument</t>
        </is>
      </c>
      <c r="I333" s="30" t="inlineStr">
        <is>
          <t>musique</t>
        </is>
      </c>
      <c r="N333" s="30" t="inlineStr">
        <is>
          <t>jouer_musique</t>
        </is>
      </c>
    </row>
    <row r="334">
      <c r="A334" s="30" t="inlineStr">
        <is>
          <t>bugle</t>
        </is>
      </c>
      <c r="B334" s="26">
        <f>IFERROR(INDEX(Mots!$B:$B,MATCH($A334,Mots!$A:$A,0)),"introuvable")</f>
        <v/>
      </c>
      <c r="C334" s="30" t="inlineStr">
        <is>
          <t>instrument</t>
        </is>
      </c>
      <c r="I334" s="30" t="inlineStr">
        <is>
          <t>musique</t>
        </is>
      </c>
      <c r="N334" s="30" t="inlineStr">
        <is>
          <t>jouer_musique</t>
        </is>
      </c>
    </row>
    <row r="335">
      <c r="A335" s="30" t="inlineStr">
        <is>
          <t>alto</t>
        </is>
      </c>
      <c r="B335" s="26">
        <f>IFERROR(INDEX(Mots!$B:$B,MATCH($A335,Mots!$A:$A,0)),"introuvable")</f>
        <v/>
      </c>
      <c r="C335" s="30" t="inlineStr">
        <is>
          <t>instrument</t>
        </is>
      </c>
      <c r="I335" s="30" t="inlineStr">
        <is>
          <t>musique</t>
        </is>
      </c>
      <c r="N335" s="30" t="inlineStr">
        <is>
          <t>jouer_musique</t>
        </is>
      </c>
    </row>
    <row r="336">
      <c r="A336" s="30" t="inlineStr">
        <is>
          <t>baryton</t>
        </is>
      </c>
      <c r="B336" s="26">
        <f>IFERROR(INDEX(Mots!$B:$B,MATCH($A336,Mots!$A:$A,0)),"introuvable")</f>
        <v/>
      </c>
      <c r="C336" s="30" t="inlineStr">
        <is>
          <t>instrument</t>
        </is>
      </c>
      <c r="I336" s="30" t="inlineStr">
        <is>
          <t>musique</t>
        </is>
      </c>
      <c r="N336" s="30" t="inlineStr">
        <is>
          <t>jouer_musique</t>
        </is>
      </c>
    </row>
    <row r="337">
      <c r="A337" s="30" t="inlineStr">
        <is>
          <t>euphonium</t>
        </is>
      </c>
      <c r="B337" s="26">
        <f>IFERROR(INDEX(Mots!$B:$B,MATCH($A337,Mots!$A:$A,0)),"introuvable")</f>
        <v/>
      </c>
      <c r="C337" s="30" t="inlineStr">
        <is>
          <t>instrument</t>
        </is>
      </c>
      <c r="I337" s="30" t="inlineStr">
        <is>
          <t>musique</t>
        </is>
      </c>
      <c r="N337" s="30" t="inlineStr">
        <is>
          <t>jouer_musique</t>
        </is>
      </c>
    </row>
    <row r="338">
      <c r="A338" s="30" t="inlineStr">
        <is>
          <t>basse</t>
        </is>
      </c>
      <c r="B338" s="26">
        <f>IFERROR(INDEX(Mots!$B:$B,MATCH($A338,Mots!$A:$A,0)),"introuvable")</f>
        <v/>
      </c>
      <c r="C338" s="30" t="inlineStr">
        <is>
          <t>instrument</t>
        </is>
      </c>
      <c r="I338" s="30" t="inlineStr">
        <is>
          <t>musique</t>
        </is>
      </c>
      <c r="N338" s="30" t="inlineStr">
        <is>
          <t>jouer_musique</t>
        </is>
      </c>
    </row>
    <row r="339">
      <c r="A339" s="30" t="inlineStr">
        <is>
          <t>trombone</t>
        </is>
      </c>
      <c r="B339" s="26">
        <f>IFERROR(INDEX(Mots!$B:$B,MATCH($A339,Mots!$A:$A,0)),"introuvable")</f>
        <v/>
      </c>
      <c r="C339" s="30" t="inlineStr">
        <is>
          <t>instrument</t>
        </is>
      </c>
      <c r="I339" s="30" t="inlineStr">
        <is>
          <t>musique</t>
        </is>
      </c>
      <c r="N339" s="30" t="inlineStr">
        <is>
          <t>jouer_musique</t>
        </is>
      </c>
    </row>
    <row r="340">
      <c r="A340" s="30" t="inlineStr">
        <is>
          <t>legume</t>
        </is>
      </c>
      <c r="B340" s="26">
        <f>IFERROR(INDEX(Mots!$B:$B,MATCH($A340,Mots!$A:$A,0)),"introuvable")</f>
        <v/>
      </c>
      <c r="C340" s="30" t="inlineStr">
        <is>
          <t>aliment</t>
        </is>
      </c>
      <c r="I340" s="30" t="inlineStr">
        <is>
          <t>cuisine</t>
        </is>
      </c>
      <c r="N340" s="30" t="inlineStr">
        <is>
          <t>manger_boire</t>
        </is>
      </c>
    </row>
    <row r="341">
      <c r="A341" s="30" t="inlineStr">
        <is>
          <t>pommes_de_terre</t>
        </is>
      </c>
      <c r="B341" s="26">
        <f>IFERROR(INDEX(Mots!$B:$B,MATCH($A341,Mots!$A:$A,0)),"introuvable")</f>
        <v/>
      </c>
      <c r="C341" s="30" t="inlineStr">
        <is>
          <t>aliment</t>
        </is>
      </c>
      <c r="I341" s="30" t="inlineStr">
        <is>
          <t>cuisine</t>
        </is>
      </c>
      <c r="N341" s="30" t="inlineStr">
        <is>
          <t>manger_boire</t>
        </is>
      </c>
    </row>
    <row r="342">
      <c r="A342" s="30" t="inlineStr">
        <is>
          <t>carotte</t>
        </is>
      </c>
      <c r="B342" s="26">
        <f>IFERROR(INDEX(Mots!$B:$B,MATCH($A342,Mots!$A:$A,0)),"introuvable")</f>
        <v/>
      </c>
      <c r="C342" s="30" t="inlineStr">
        <is>
          <t>aliment</t>
        </is>
      </c>
      <c r="I342" s="30" t="inlineStr">
        <is>
          <t>cuisine</t>
        </is>
      </c>
      <c r="N342" s="30" t="inlineStr">
        <is>
          <t>manger_boire</t>
        </is>
      </c>
    </row>
    <row r="343">
      <c r="A343" s="30" t="inlineStr">
        <is>
          <t>tomate</t>
        </is>
      </c>
      <c r="B343" s="26">
        <f>IFERROR(INDEX(Mots!$B:$B,MATCH($A343,Mots!$A:$A,0)),"introuvable")</f>
        <v/>
      </c>
      <c r="C343" s="30" t="inlineStr">
        <is>
          <t>aliment</t>
        </is>
      </c>
      <c r="I343" s="30" t="inlineStr">
        <is>
          <t>cuisine</t>
        </is>
      </c>
      <c r="N343" s="30" t="inlineStr">
        <is>
          <t>manger_boire</t>
        </is>
      </c>
    </row>
    <row r="344">
      <c r="A344" s="30" t="inlineStr">
        <is>
          <t>chou_fleur</t>
        </is>
      </c>
      <c r="B344" s="26">
        <f>IFERROR(INDEX(Mots!$B:$B,MATCH($A344,Mots!$A:$A,0)),"introuvable")</f>
        <v/>
      </c>
      <c r="C344" s="30" t="inlineStr">
        <is>
          <t>aliment</t>
        </is>
      </c>
      <c r="I344" s="30" t="inlineStr">
        <is>
          <t>cuisine</t>
        </is>
      </c>
      <c r="N344" s="30" t="inlineStr">
        <is>
          <t>manger_boire</t>
        </is>
      </c>
    </row>
    <row r="345">
      <c r="A345" s="30" t="inlineStr">
        <is>
          <t>poireau</t>
        </is>
      </c>
      <c r="B345" s="26">
        <f>IFERROR(INDEX(Mots!$B:$B,MATCH($A345,Mots!$A:$A,0)),"introuvable")</f>
        <v/>
      </c>
      <c r="C345" s="30" t="inlineStr">
        <is>
          <t>aliment</t>
        </is>
      </c>
      <c r="I345" s="30" t="inlineStr">
        <is>
          <t>cuisine</t>
        </is>
      </c>
      <c r="N345" s="30" t="inlineStr">
        <is>
          <t>manger_boire</t>
        </is>
      </c>
    </row>
    <row r="346">
      <c r="A346" s="30" t="inlineStr">
        <is>
          <t>brocoli</t>
        </is>
      </c>
      <c r="B346" s="26">
        <f>IFERROR(INDEX(Mots!$B:$B,MATCH($A346,Mots!$A:$A,0)),"introuvable")</f>
        <v/>
      </c>
      <c r="C346" s="30" t="inlineStr">
        <is>
          <t>aliment</t>
        </is>
      </c>
      <c r="I346" s="30" t="inlineStr">
        <is>
          <t>cuisine</t>
        </is>
      </c>
      <c r="N346" s="30" t="inlineStr">
        <is>
          <t>manger_boire</t>
        </is>
      </c>
    </row>
    <row r="347">
      <c r="A347" s="30" t="inlineStr">
        <is>
          <t>asperge</t>
        </is>
      </c>
      <c r="B347" s="26">
        <f>IFERROR(INDEX(Mots!$B:$B,MATCH($A347,Mots!$A:$A,0)),"introuvable")</f>
        <v/>
      </c>
      <c r="C347" s="30" t="inlineStr">
        <is>
          <t>aliment</t>
        </is>
      </c>
      <c r="I347" s="30" t="inlineStr">
        <is>
          <t>cuisine</t>
        </is>
      </c>
      <c r="N347" s="30" t="inlineStr">
        <is>
          <t>manger_boire</t>
        </is>
      </c>
    </row>
    <row r="348">
      <c r="A348" s="30" t="inlineStr">
        <is>
          <t>courgette</t>
        </is>
      </c>
      <c r="B348" s="26">
        <f>IFERROR(INDEX(Mots!$B:$B,MATCH($A348,Mots!$A:$A,0)),"introuvable")</f>
        <v/>
      </c>
      <c r="C348" s="30" t="inlineStr">
        <is>
          <t>aliment</t>
        </is>
      </c>
      <c r="I348" s="30" t="inlineStr">
        <is>
          <t>cuisine</t>
        </is>
      </c>
      <c r="N348" s="30" t="inlineStr">
        <is>
          <t>manger_boire</t>
        </is>
      </c>
    </row>
    <row r="349">
      <c r="A349" s="30" t="inlineStr">
        <is>
          <t>salade_laitue</t>
        </is>
      </c>
      <c r="B349" s="26">
        <f>IFERROR(INDEX(Mots!$B:$B,MATCH($A349,Mots!$A:$A,0)),"introuvable")</f>
        <v/>
      </c>
      <c r="C349" s="30" t="inlineStr">
        <is>
          <t>aliment</t>
        </is>
      </c>
      <c r="I349" s="30" t="inlineStr">
        <is>
          <t>cuisine</t>
        </is>
      </c>
      <c r="N349" s="30" t="inlineStr">
        <is>
          <t>manger_boire</t>
        </is>
      </c>
    </row>
    <row r="350">
      <c r="A350" s="30" t="inlineStr">
        <is>
          <t>betterave</t>
        </is>
      </c>
      <c r="B350" s="26">
        <f>IFERROR(INDEX(Mots!$B:$B,MATCH($A350,Mots!$A:$A,0)),"introuvable")</f>
        <v/>
      </c>
      <c r="C350" s="30" t="inlineStr">
        <is>
          <t>aliment</t>
        </is>
      </c>
      <c r="I350" s="30" t="inlineStr">
        <is>
          <t>cuisine</t>
        </is>
      </c>
      <c r="N350" s="30" t="inlineStr">
        <is>
          <t>manger_boire</t>
        </is>
      </c>
    </row>
    <row r="351">
      <c r="A351" s="30" t="inlineStr">
        <is>
          <t>haricot</t>
        </is>
      </c>
      <c r="B351" s="26">
        <f>IFERROR(INDEX(Mots!$B:$B,MATCH($A351,Mots!$A:$A,0)),"introuvable")</f>
        <v/>
      </c>
      <c r="C351" s="30" t="inlineStr">
        <is>
          <t>aliment</t>
        </is>
      </c>
      <c r="I351" s="30" t="inlineStr">
        <is>
          <t>cuisine</t>
        </is>
      </c>
      <c r="N351" s="30" t="inlineStr">
        <is>
          <t>manger_boire</t>
        </is>
      </c>
    </row>
    <row r="352">
      <c r="A352" s="30" t="inlineStr">
        <is>
          <t>oignon</t>
        </is>
      </c>
      <c r="B352" s="26">
        <f>IFERROR(INDEX(Mots!$B:$B,MATCH($A352,Mots!$A:$A,0)),"introuvable")</f>
        <v/>
      </c>
      <c r="C352" s="30" t="inlineStr">
        <is>
          <t>aliment</t>
        </is>
      </c>
      <c r="I352" s="30" t="inlineStr">
        <is>
          <t>cuisine</t>
        </is>
      </c>
      <c r="N352" s="30" t="inlineStr">
        <is>
          <t>manger_boire</t>
        </is>
      </c>
    </row>
    <row r="353">
      <c r="A353" s="30" t="inlineStr">
        <is>
          <t>sion</t>
        </is>
      </c>
      <c r="B353" s="26">
        <f>IFERROR(INDEX(Mots!$B:$B,MATCH($A353,Mots!$A:$A,0)),"introuvable")</f>
        <v/>
      </c>
      <c r="I353" s="30" t="inlineStr">
        <is>
          <t>ville</t>
        </is>
      </c>
    </row>
    <row r="354">
      <c r="A354" s="30" t="inlineStr">
        <is>
          <t>vetroz</t>
        </is>
      </c>
      <c r="B354" s="26">
        <f>IFERROR(INDEX(Mots!$B:$B,MATCH($A354,Mots!$A:$A,0)),"introuvable")</f>
        <v/>
      </c>
      <c r="I354" s="30" t="inlineStr">
        <is>
          <t>ville</t>
        </is>
      </c>
    </row>
    <row r="355">
      <c r="A355" s="30" t="inlineStr">
        <is>
          <t>ville</t>
        </is>
      </c>
      <c r="B355" s="26">
        <f>IFERROR(INDEX(Mots!$B:$B,MATCH($A355,Mots!$A:$A,0)),"introuvable")</f>
        <v/>
      </c>
      <c r="I355" s="30" t="inlineStr">
        <is>
          <t>ville</t>
        </is>
      </c>
    </row>
    <row r="356">
      <c r="A356" s="30" t="inlineStr">
        <is>
          <t>rue</t>
        </is>
      </c>
      <c r="B356" s="26">
        <f>IFERROR(INDEX(Mots!$B:$B,MATCH($A356,Mots!$A:$A,0)),"introuvable")</f>
        <v/>
      </c>
      <c r="I356" s="30" t="inlineStr">
        <is>
          <t>ville</t>
        </is>
      </c>
    </row>
    <row r="357">
      <c r="A357" s="30" t="inlineStr">
        <is>
          <t>pont</t>
        </is>
      </c>
      <c r="B357" s="26">
        <f>IFERROR(INDEX(Mots!$B:$B,MATCH($A357,Mots!$A:$A,0)),"introuvable")</f>
        <v/>
      </c>
      <c r="I357" s="30" t="inlineStr">
        <is>
          <t>ville</t>
        </is>
      </c>
    </row>
    <row r="358">
      <c r="A358" s="30" t="inlineStr">
        <is>
          <t>tunnel</t>
        </is>
      </c>
      <c r="B358" s="26">
        <f>IFERROR(INDEX(Mots!$B:$B,MATCH($A358,Mots!$A:$A,0)),"introuvable")</f>
        <v/>
      </c>
      <c r="I358" s="30" t="inlineStr">
        <is>
          <t>ville</t>
        </is>
      </c>
    </row>
    <row r="359">
      <c r="A359" s="30" t="inlineStr">
        <is>
          <t>parc</t>
        </is>
      </c>
      <c r="B359" s="26">
        <f>IFERROR(INDEX(Mots!$B:$B,MATCH($A359,Mots!$A:$A,0)),"introuvable")</f>
        <v/>
      </c>
      <c r="I359" s="30" t="inlineStr">
        <is>
          <t>ville</t>
        </is>
      </c>
    </row>
    <row r="360">
      <c r="A360" s="30" t="inlineStr">
        <is>
          <t>bureau_metier</t>
        </is>
      </c>
      <c r="B360" s="26">
        <f>IFERROR(INDEX(Mots!$B:$B,MATCH($A360,Mots!$A:$A,0)),"introuvable")</f>
        <v/>
      </c>
      <c r="I360" s="30" t="inlineStr">
        <is>
          <t>ville</t>
        </is>
      </c>
    </row>
    <row r="361">
      <c r="A361" s="30" t="inlineStr">
        <is>
          <t>police_ge</t>
        </is>
      </c>
      <c r="B361" s="26">
        <f>IFERROR(INDEX(Mots!$B:$B,MATCH($A361,Mots!$A:$A,0)),"introuvable")</f>
        <v/>
      </c>
      <c r="I361" s="30" t="inlineStr">
        <is>
          <t>ville</t>
        </is>
      </c>
    </row>
    <row r="362">
      <c r="A362" s="30" t="inlineStr">
        <is>
          <t>chuv</t>
        </is>
      </c>
      <c r="B362" s="26">
        <f>IFERROR(INDEX(Mots!$B:$B,MATCH($A362,Mots!$A:$A,0)),"introuvable")</f>
        <v/>
      </c>
      <c r="I362" s="30" t="inlineStr">
        <is>
          <t>ville</t>
        </is>
      </c>
    </row>
    <row r="363">
      <c r="A363" s="30" t="inlineStr">
        <is>
          <t>doigt</t>
        </is>
      </c>
      <c r="B363" s="26">
        <f>IFERROR(INDEX(Mots!$B:$B,MATCH($A363,Mots!$A:$A,0)),"introuvable")</f>
        <v/>
      </c>
      <c r="E363" s="30" t="inlineStr">
        <is>
          <t>corps</t>
        </is>
      </c>
      <c r="N363" s="30" t="inlineStr">
        <is>
          <t>se_soigner</t>
        </is>
      </c>
    </row>
    <row r="364">
      <c r="A364" s="30" t="inlineStr">
        <is>
          <t>main</t>
        </is>
      </c>
      <c r="B364" s="26">
        <f>IFERROR(INDEX(Mots!$B:$B,MATCH($A364,Mots!$A:$A,0)),"introuvable")</f>
        <v/>
      </c>
      <c r="E364" s="30" t="inlineStr">
        <is>
          <t>corps</t>
        </is>
      </c>
      <c r="N364" s="30" t="inlineStr">
        <is>
          <t>se_soigner</t>
        </is>
      </c>
    </row>
    <row r="365">
      <c r="A365" s="30" t="inlineStr">
        <is>
          <t>bras</t>
        </is>
      </c>
      <c r="B365" s="26">
        <f>IFERROR(INDEX(Mots!$B:$B,MATCH($A365,Mots!$A:$A,0)),"introuvable")</f>
        <v/>
      </c>
      <c r="E365" s="30" t="inlineStr">
        <is>
          <t>corps</t>
        </is>
      </c>
      <c r="N365" s="30" t="inlineStr">
        <is>
          <t>se_soigner</t>
        </is>
      </c>
    </row>
    <row r="366">
      <c r="A366" s="30" t="inlineStr">
        <is>
          <t>jambe</t>
        </is>
      </c>
      <c r="B366" s="26">
        <f>IFERROR(INDEX(Mots!$B:$B,MATCH($A366,Mots!$A:$A,0)),"introuvable")</f>
        <v/>
      </c>
      <c r="E366" s="30" t="inlineStr">
        <is>
          <t>corps</t>
        </is>
      </c>
      <c r="N366" s="30" t="inlineStr">
        <is>
          <t>se_soigner</t>
        </is>
      </c>
    </row>
    <row r="367">
      <c r="A367" s="30" t="inlineStr">
        <is>
          <t>cuisse</t>
        </is>
      </c>
      <c r="B367" s="26">
        <f>IFERROR(INDEX(Mots!$B:$B,MATCH($A367,Mots!$A:$A,0)),"introuvable")</f>
        <v/>
      </c>
      <c r="E367" s="30" t="inlineStr">
        <is>
          <t>corps</t>
        </is>
      </c>
      <c r="N367" s="30" t="inlineStr">
        <is>
          <t>se_soigner</t>
        </is>
      </c>
    </row>
    <row r="368">
      <c r="A368" s="30" t="inlineStr">
        <is>
          <t>pied</t>
        </is>
      </c>
      <c r="B368" s="26">
        <f>IFERROR(INDEX(Mots!$B:$B,MATCH($A368,Mots!$A:$A,0)),"introuvable")</f>
        <v/>
      </c>
      <c r="E368" s="30" t="inlineStr">
        <is>
          <t>corps</t>
        </is>
      </c>
      <c r="N368" s="30" t="inlineStr">
        <is>
          <t>se_soigner</t>
        </is>
      </c>
    </row>
    <row r="369">
      <c r="A369" s="30" t="inlineStr">
        <is>
          <t>coude</t>
        </is>
      </c>
      <c r="B369" s="26">
        <f>IFERROR(INDEX(Mots!$B:$B,MATCH($A369,Mots!$A:$A,0)),"introuvable")</f>
        <v/>
      </c>
      <c r="E369" s="30" t="inlineStr">
        <is>
          <t>corps</t>
        </is>
      </c>
      <c r="N369" s="30" t="inlineStr">
        <is>
          <t>se_soigner</t>
        </is>
      </c>
    </row>
    <row r="370">
      <c r="A370" s="30" t="inlineStr">
        <is>
          <t>genou</t>
        </is>
      </c>
      <c r="B370" s="26">
        <f>IFERROR(INDEX(Mots!$B:$B,MATCH($A370,Mots!$A:$A,0)),"introuvable")</f>
        <v/>
      </c>
      <c r="E370" s="30" t="inlineStr">
        <is>
          <t>corps</t>
        </is>
      </c>
      <c r="N370" s="30" t="inlineStr">
        <is>
          <t>se_soigner</t>
        </is>
      </c>
    </row>
    <row r="371">
      <c r="A371" s="30" t="inlineStr">
        <is>
          <t>medecin</t>
        </is>
      </c>
      <c r="B371" s="26">
        <f>IFERROR(INDEX(Mots!$B:$B,MATCH($A371,Mots!$A:$A,0)),"introuvable")</f>
        <v/>
      </c>
      <c r="I371" s="30" t="inlineStr">
        <is>
          <t>travail</t>
        </is>
      </c>
      <c r="N371" s="30" t="inlineStr">
        <is>
          <t>travailler</t>
        </is>
      </c>
    </row>
    <row r="372">
      <c r="A372" s="30" t="inlineStr">
        <is>
          <t>doctoresse</t>
        </is>
      </c>
      <c r="B372" s="26">
        <f>IFERROR(INDEX(Mots!$B:$B,MATCH($A372,Mots!$A:$A,0)),"introuvable")</f>
        <v/>
      </c>
      <c r="I372" s="30" t="inlineStr">
        <is>
          <t>travail</t>
        </is>
      </c>
      <c r="N372" s="30" t="inlineStr">
        <is>
          <t>travailler</t>
        </is>
      </c>
    </row>
    <row r="373">
      <c r="A373" s="30" t="inlineStr">
        <is>
          <t>policier</t>
        </is>
      </c>
      <c r="B373" s="26">
        <f>IFERROR(INDEX(Mots!$B:$B,MATCH($A373,Mots!$A:$A,0)),"introuvable")</f>
        <v/>
      </c>
      <c r="I373" s="30" t="inlineStr">
        <is>
          <t>travail</t>
        </is>
      </c>
      <c r="N373" s="30" t="inlineStr">
        <is>
          <t>travailler</t>
        </is>
      </c>
    </row>
    <row r="374">
      <c r="A374" s="30" t="inlineStr">
        <is>
          <t>charpentier</t>
        </is>
      </c>
      <c r="B374" s="26">
        <f>IFERROR(INDEX(Mots!$B:$B,MATCH($A374,Mots!$A:$A,0)),"introuvable")</f>
        <v/>
      </c>
      <c r="I374" s="30" t="inlineStr">
        <is>
          <t>travail</t>
        </is>
      </c>
      <c r="N374" s="30" t="inlineStr">
        <is>
          <t>travailler</t>
        </is>
      </c>
    </row>
    <row r="375">
      <c r="A375" s="30" t="inlineStr">
        <is>
          <t>macon</t>
        </is>
      </c>
      <c r="B375" s="26">
        <f>IFERROR(INDEX(Mots!$B:$B,MATCH($A375,Mots!$A:$A,0)),"introuvable")</f>
        <v/>
      </c>
      <c r="I375" s="30" t="inlineStr">
        <is>
          <t>travail</t>
        </is>
      </c>
      <c r="N375" s="30" t="inlineStr">
        <is>
          <t>travailler</t>
        </is>
      </c>
    </row>
    <row r="376">
      <c r="A376" s="30" t="inlineStr">
        <is>
          <t>installateur_sanitaire</t>
        </is>
      </c>
      <c r="B376" s="26">
        <f>IFERROR(INDEX(Mots!$B:$B,MATCH($A376,Mots!$A:$A,0)),"introuvable")</f>
        <v/>
      </c>
      <c r="I376" s="30" t="inlineStr">
        <is>
          <t>travail</t>
        </is>
      </c>
      <c r="N376" s="30" t="inlineStr">
        <is>
          <t>travailler</t>
        </is>
      </c>
    </row>
    <row r="377">
      <c r="A377" s="30" t="inlineStr">
        <is>
          <t>ferblantier</t>
        </is>
      </c>
      <c r="B377" s="26">
        <f>IFERROR(INDEX(Mots!$B:$B,MATCH($A377,Mots!$A:$A,0)),"introuvable")</f>
        <v/>
      </c>
      <c r="I377" s="30" t="inlineStr">
        <is>
          <t>travail</t>
        </is>
      </c>
      <c r="N377" s="30" t="inlineStr">
        <is>
          <t>travailler</t>
        </is>
      </c>
    </row>
    <row r="378">
      <c r="A378" s="30" t="inlineStr">
        <is>
          <t>menuisier</t>
        </is>
      </c>
      <c r="B378" s="26">
        <f>IFERROR(INDEX(Mots!$B:$B,MATCH($A378,Mots!$A:$A,0)),"introuvable")</f>
        <v/>
      </c>
      <c r="I378" s="30" t="inlineStr">
        <is>
          <t>travail</t>
        </is>
      </c>
      <c r="N378" s="30" t="inlineStr">
        <is>
          <t>travailler</t>
        </is>
      </c>
    </row>
    <row r="379">
      <c r="A379" s="30" t="inlineStr">
        <is>
          <t>poseur_cuisine</t>
        </is>
      </c>
      <c r="B379" s="26">
        <f>IFERROR(INDEX(Mots!$B:$B,MATCH($A379,Mots!$A:$A,0)),"introuvable")</f>
        <v/>
      </c>
      <c r="I379" s="30" t="inlineStr">
        <is>
          <t>travail</t>
        </is>
      </c>
      <c r="N379" s="30" t="inlineStr">
        <is>
          <t>travailler</t>
        </is>
      </c>
    </row>
    <row r="380">
      <c r="A380" s="30" t="inlineStr">
        <is>
          <t>mécanicien</t>
        </is>
      </c>
      <c r="B380" s="26">
        <f>IFERROR(INDEX(Mots!$B:$B,MATCH($A380,Mots!$A:$A,0)),"introuvable")</f>
        <v/>
      </c>
      <c r="I380" s="30" t="inlineStr">
        <is>
          <t>travail</t>
        </is>
      </c>
      <c r="N380" s="30" t="inlineStr">
        <is>
          <t>travailler</t>
        </is>
      </c>
    </row>
    <row r="381">
      <c r="A381" s="30" t="inlineStr">
        <is>
          <t>cuisinier</t>
        </is>
      </c>
      <c r="B381" s="26">
        <f>IFERROR(INDEX(Mots!$B:$B,MATCH($A381,Mots!$A:$A,0)),"introuvable")</f>
        <v/>
      </c>
      <c r="I381" s="30" t="inlineStr">
        <is>
          <t>travail</t>
        </is>
      </c>
      <c r="N381" s="30" t="inlineStr">
        <is>
          <t>travailler</t>
        </is>
      </c>
    </row>
    <row r="382">
      <c r="A382" s="30" t="inlineStr">
        <is>
          <t>boulanger</t>
        </is>
      </c>
      <c r="B382" s="26">
        <f>IFERROR(INDEX(Mots!$B:$B,MATCH($A382,Mots!$A:$A,0)),"introuvable")</f>
        <v/>
      </c>
      <c r="I382" s="30" t="inlineStr">
        <is>
          <t>travail</t>
        </is>
      </c>
      <c r="N382" s="30" t="inlineStr">
        <is>
          <t>travailler</t>
        </is>
      </c>
    </row>
    <row r="383">
      <c r="A383" s="30" t="inlineStr">
        <is>
          <t>chauffeur_car</t>
        </is>
      </c>
      <c r="B383" s="26">
        <f>IFERROR(INDEX(Mots!$B:$B,MATCH($A383,Mots!$A:$A,0)),"introuvable")</f>
        <v/>
      </c>
      <c r="I383" s="30" t="inlineStr">
        <is>
          <t>travail</t>
        </is>
      </c>
      <c r="N383" s="30" t="inlineStr">
        <is>
          <t>travailler</t>
        </is>
      </c>
    </row>
    <row r="384">
      <c r="A384" s="30" t="inlineStr">
        <is>
          <t>dessinateur</t>
        </is>
      </c>
      <c r="B384" s="26">
        <f>IFERROR(INDEX(Mots!$B:$B,MATCH($A384,Mots!$A:$A,0)),"introuvable")</f>
        <v/>
      </c>
      <c r="I384" s="30" t="inlineStr">
        <is>
          <t>travail</t>
        </is>
      </c>
      <c r="N384" s="30" t="inlineStr">
        <is>
          <t>travailler</t>
        </is>
      </c>
    </row>
    <row r="385">
      <c r="A385" s="30" t="inlineStr">
        <is>
          <t>professeur</t>
        </is>
      </c>
      <c r="B385" s="26">
        <f>IFERROR(INDEX(Mots!$B:$B,MATCH($A385,Mots!$A:$A,0)),"introuvable")</f>
        <v/>
      </c>
      <c r="I385" s="30" t="inlineStr">
        <is>
          <t>travail</t>
        </is>
      </c>
      <c r="N385" s="30" t="inlineStr">
        <is>
          <t>travailler</t>
        </is>
      </c>
    </row>
    <row r="386">
      <c r="A386" s="30" t="inlineStr">
        <is>
          <t>acteur</t>
        </is>
      </c>
      <c r="B386" s="26">
        <f>IFERROR(INDEX(Mots!$B:$B,MATCH($A386,Mots!$A:$A,0)),"introuvable")</f>
        <v/>
      </c>
      <c r="I386" s="30" t="inlineStr">
        <is>
          <t>travail</t>
        </is>
      </c>
      <c r="N386" s="30" t="inlineStr">
        <is>
          <t>travailler</t>
        </is>
      </c>
    </row>
    <row r="387">
      <c r="A387" s="30" t="inlineStr">
        <is>
          <t>agriculteur</t>
        </is>
      </c>
      <c r="B387" s="26">
        <f>IFERROR(INDEX(Mots!$B:$B,MATCH($A387,Mots!$A:$A,0)),"introuvable")</f>
        <v/>
      </c>
      <c r="I387" s="30" t="inlineStr">
        <is>
          <t>travail</t>
        </is>
      </c>
      <c r="N387" s="30" t="inlineStr">
        <is>
          <t>travailler</t>
        </is>
      </c>
    </row>
    <row r="388">
      <c r="A388" s="30" t="inlineStr">
        <is>
          <t>banquier</t>
        </is>
      </c>
      <c r="B388" s="26">
        <f>IFERROR(INDEX(Mots!$B:$B,MATCH($A388,Mots!$A:$A,0)),"introuvable")</f>
        <v/>
      </c>
      <c r="I388" s="30" t="inlineStr">
        <is>
          <t>travail</t>
        </is>
      </c>
      <c r="N388" s="30" t="inlineStr">
        <is>
          <t>travailler</t>
        </is>
      </c>
    </row>
    <row r="389">
      <c r="A389" s="30" t="inlineStr">
        <is>
          <t>chanteur</t>
        </is>
      </c>
      <c r="B389" s="26">
        <f>IFERROR(INDEX(Mots!$B:$B,MATCH($A389,Mots!$A:$A,0)),"introuvable")</f>
        <v/>
      </c>
      <c r="I389" s="30" t="inlineStr">
        <is>
          <t>travail</t>
        </is>
      </c>
      <c r="N389" s="30" t="inlineStr">
        <is>
          <t>travailler</t>
        </is>
      </c>
    </row>
    <row r="390">
      <c r="A390" s="30" t="inlineStr">
        <is>
          <t>facteur</t>
        </is>
      </c>
      <c r="B390" s="26">
        <f>IFERROR(INDEX(Mots!$B:$B,MATCH($A390,Mots!$A:$A,0)),"introuvable")</f>
        <v/>
      </c>
      <c r="I390" s="30" t="inlineStr">
        <is>
          <t>travail</t>
        </is>
      </c>
      <c r="N390" s="30" t="inlineStr">
        <is>
          <t>travailler</t>
        </is>
      </c>
    </row>
    <row r="391">
      <c r="A391" s="30" t="inlineStr">
        <is>
          <t>peintre</t>
        </is>
      </c>
      <c r="B391" s="26">
        <f>IFERROR(INDEX(Mots!$B:$B,MATCH($A391,Mots!$A:$A,0)),"introuvable")</f>
        <v/>
      </c>
      <c r="I391" s="30" t="inlineStr">
        <is>
          <t>travail</t>
        </is>
      </c>
      <c r="N391" s="30" t="inlineStr">
        <is>
          <t>travailler</t>
        </is>
      </c>
    </row>
    <row r="392">
      <c r="A392" s="30" t="inlineStr">
        <is>
          <t>pompier</t>
        </is>
      </c>
      <c r="B392" s="26">
        <f>IFERROR(INDEX(Mots!$B:$B,MATCH($A392,Mots!$A:$A,0)),"introuvable")</f>
        <v/>
      </c>
      <c r="I392" s="30" t="inlineStr">
        <is>
          <t>travail</t>
        </is>
      </c>
      <c r="N392" s="30" t="inlineStr">
        <is>
          <t>travailler</t>
        </is>
      </c>
    </row>
    <row r="393">
      <c r="A393" s="30" t="inlineStr">
        <is>
          <t>vendeur</t>
        </is>
      </c>
      <c r="B393" s="26">
        <f>IFERROR(INDEX(Mots!$B:$B,MATCH($A393,Mots!$A:$A,0)),"introuvable")</f>
        <v/>
      </c>
      <c r="I393" s="30" t="inlineStr">
        <is>
          <t>travail</t>
        </is>
      </c>
      <c r="N393" s="30" t="inlineStr">
        <is>
          <t>travailler</t>
        </is>
      </c>
    </row>
    <row r="394">
      <c r="A394" s="30" t="inlineStr">
        <is>
          <t>ecrivain</t>
        </is>
      </c>
      <c r="B394" s="26">
        <f>IFERROR(INDEX(Mots!$B:$B,MATCH($A394,Mots!$A:$A,0)),"introuvable")</f>
        <v/>
      </c>
      <c r="I394" s="30" t="inlineStr">
        <is>
          <t>travail</t>
        </is>
      </c>
      <c r="N394" s="30" t="inlineStr">
        <is>
          <t>travailler</t>
        </is>
      </c>
    </row>
    <row r="395">
      <c r="A395" s="30" t="inlineStr">
        <is>
          <t>infirmier</t>
        </is>
      </c>
      <c r="B395" s="26">
        <f>IFERROR(INDEX(Mots!$B:$B,MATCH($A395,Mots!$A:$A,0)),"introuvable")</f>
        <v/>
      </c>
      <c r="I395" s="30" t="inlineStr">
        <is>
          <t>travail</t>
        </is>
      </c>
      <c r="N395" s="30" t="inlineStr">
        <is>
          <t>travailler</t>
        </is>
      </c>
    </row>
    <row r="396">
      <c r="A396" s="30" t="inlineStr">
        <is>
          <t>c_blanc</t>
        </is>
      </c>
      <c r="B396" s="26">
        <f>IFERROR(INDEX(Mots!$B:$B,MATCH($A396,Mots!$A:$A,0)),"introuvable")</f>
        <v/>
      </c>
      <c r="S396" s="30" t="inlineStr">
        <is>
          <t>couleur</t>
        </is>
      </c>
    </row>
    <row r="397">
      <c r="A397" s="30" t="inlineStr">
        <is>
          <t>c_bleu</t>
        </is>
      </c>
      <c r="B397" s="26">
        <f>IFERROR(INDEX(Mots!$B:$B,MATCH($A397,Mots!$A:$A,0)),"introuvable")</f>
        <v/>
      </c>
      <c r="S397" s="30" t="inlineStr">
        <is>
          <t>couleur</t>
        </is>
      </c>
    </row>
    <row r="398">
      <c r="A398" s="30" t="inlineStr">
        <is>
          <t>c_gris</t>
        </is>
      </c>
      <c r="B398" s="26">
        <f>IFERROR(INDEX(Mots!$B:$B,MATCH($A398,Mots!$A:$A,0)),"introuvable")</f>
        <v/>
      </c>
      <c r="S398" s="30" t="inlineStr">
        <is>
          <t>couleur</t>
        </is>
      </c>
    </row>
    <row r="399">
      <c r="A399" s="30" t="inlineStr">
        <is>
          <t>c_jaune</t>
        </is>
      </c>
      <c r="B399" s="26">
        <f>IFERROR(INDEX(Mots!$B:$B,MATCH($A399,Mots!$A:$A,0)),"introuvable")</f>
        <v/>
      </c>
      <c r="S399" s="30" t="inlineStr">
        <is>
          <t>couleur</t>
        </is>
      </c>
    </row>
    <row r="400">
      <c r="A400" s="30" t="inlineStr">
        <is>
          <t>cle</t>
        </is>
      </c>
      <c r="B400" s="26">
        <f>IFERROR(INDEX(Mots!$B:$B,MATCH($A400,Mots!$A:$A,0)),"introuvable")</f>
        <v/>
      </c>
      <c r="C400" s="30" t="inlineStr">
        <is>
          <t>matiere</t>
        </is>
      </c>
      <c r="I400" s="30" t="inlineStr">
        <is>
          <t>maison</t>
        </is>
      </c>
    </row>
    <row r="401">
      <c r="A401" s="30" t="inlineStr">
        <is>
          <t>couleur</t>
        </is>
      </c>
      <c r="B401" s="26">
        <f>IFERROR(INDEX(Mots!$B:$B,MATCH($A401,Mots!$A:$A,0)),"introuvable")</f>
        <v/>
      </c>
      <c r="S401" s="30" t="inlineStr">
        <is>
          <t>couleur</t>
        </is>
      </c>
    </row>
    <row r="402">
      <c r="A402" s="30" t="inlineStr">
        <is>
          <t>chargeur_phone</t>
        </is>
      </c>
      <c r="B402" s="26">
        <f>IFERROR(INDEX(Mots!$B:$B,MATCH($A402,Mots!$A:$A,0)),"introuvable")</f>
        <v/>
      </c>
      <c r="C402" s="30" t="inlineStr">
        <is>
          <t>appareil</t>
        </is>
      </c>
    </row>
    <row r="403">
      <c r="A403" s="30" t="inlineStr">
        <is>
          <t>porte_monnaie</t>
        </is>
      </c>
      <c r="B403" s="26">
        <f>IFERROR(INDEX(Mots!$B:$B,MATCH($A403,Mots!$A:$A,0)),"introuvable")</f>
        <v/>
      </c>
      <c r="C403" s="30" t="inlineStr">
        <is>
          <t>recipient</t>
        </is>
      </c>
      <c r="I403" s="30" t="inlineStr">
        <is>
          <t>maison</t>
        </is>
      </c>
      <c r="J403" s="30" t="inlineStr">
        <is>
          <t>voiture</t>
        </is>
      </c>
      <c r="K403" s="30" t="inlineStr">
        <is>
          <t>travail</t>
        </is>
      </c>
      <c r="N403" s="30" t="inlineStr">
        <is>
          <t>se_deplacer</t>
        </is>
      </c>
      <c r="O403" s="30" t="inlineStr">
        <is>
          <t>travailler</t>
        </is>
      </c>
    </row>
    <row r="404">
      <c r="A404" s="30" t="inlineStr">
        <is>
          <t>smartphone</t>
        </is>
      </c>
      <c r="B404" s="26">
        <f>IFERROR(INDEX(Mots!$B:$B,MATCH($A404,Mots!$A:$A,0)),"introuvable")</f>
        <v/>
      </c>
      <c r="C404" s="30" t="inlineStr">
        <is>
          <t>appareil</t>
        </is>
      </c>
    </row>
    <row r="405">
      <c r="A405" s="30" t="inlineStr">
        <is>
          <t>tablette_ipad</t>
        </is>
      </c>
      <c r="B405" s="26">
        <f>IFERROR(INDEX(Mots!$B:$B,MATCH($A405,Mots!$A:$A,0)),"introuvable")</f>
        <v/>
      </c>
      <c r="C405" s="30" t="inlineStr">
        <is>
          <t>appareil</t>
        </is>
      </c>
      <c r="I405" s="30" t="inlineStr">
        <is>
          <t>cuisine</t>
        </is>
      </c>
      <c r="J405" s="30" t="inlineStr">
        <is>
          <t>travail</t>
        </is>
      </c>
      <c r="K405" s="30" t="inlineStr">
        <is>
          <t>musique</t>
        </is>
      </c>
      <c r="N405" s="30" t="inlineStr">
        <is>
          <t>travailler</t>
        </is>
      </c>
      <c r="O405" s="30" t="inlineStr">
        <is>
          <t>jouer_musique</t>
        </is>
      </c>
    </row>
    <row r="406">
      <c r="A406" s="30" t="inlineStr">
        <is>
          <t>c_marron</t>
        </is>
      </c>
      <c r="B406" s="26">
        <f>IFERROR(INDEX(Mots!$B:$B,MATCH($A406,Mots!$A:$A,0)),"introuvable")</f>
        <v/>
      </c>
      <c r="S406" s="30" t="inlineStr">
        <is>
          <t>couleur</t>
        </is>
      </c>
    </row>
    <row r="407">
      <c r="A407" s="30" t="inlineStr">
        <is>
          <t>c_noir</t>
        </is>
      </c>
      <c r="B407" s="26">
        <f>IFERROR(INDEX(Mots!$B:$B,MATCH($A407,Mots!$A:$A,0)),"introuvable")</f>
        <v/>
      </c>
      <c r="S407" s="30" t="inlineStr">
        <is>
          <t>couleur</t>
        </is>
      </c>
      <c r="T407" s="30" t="inlineStr">
        <is>
          <t>apparence</t>
        </is>
      </c>
    </row>
    <row r="408">
      <c r="A408" s="30" t="inlineStr">
        <is>
          <t>c_orange</t>
        </is>
      </c>
      <c r="B408" s="26">
        <f>IFERROR(INDEX(Mots!$B:$B,MATCH($A408,Mots!$A:$A,0)),"introuvable")</f>
        <v/>
      </c>
      <c r="S408" s="30" t="inlineStr">
        <is>
          <t>couleur</t>
        </is>
      </c>
    </row>
    <row r="409">
      <c r="A409" s="30" t="inlineStr">
        <is>
          <t>c_rose</t>
        </is>
      </c>
      <c r="B409" s="26">
        <f>IFERROR(INDEX(Mots!$B:$B,MATCH($A409,Mots!$A:$A,0)),"introuvable")</f>
        <v/>
      </c>
      <c r="S409" s="30" t="inlineStr">
        <is>
          <t>couleur</t>
        </is>
      </c>
      <c r="T409" s="30" t="inlineStr">
        <is>
          <t>apparence</t>
        </is>
      </c>
    </row>
    <row r="410">
      <c r="A410" s="30" t="inlineStr">
        <is>
          <t>c_rouge</t>
        </is>
      </c>
      <c r="B410" s="26">
        <f>IFERROR(INDEX(Mots!$B:$B,MATCH($A410,Mots!$A:$A,0)),"introuvable")</f>
        <v/>
      </c>
      <c r="S410" s="30" t="inlineStr">
        <is>
          <t>couleur</t>
        </is>
      </c>
    </row>
    <row r="411">
      <c r="A411" s="30" t="inlineStr">
        <is>
          <t>c_vert</t>
        </is>
      </c>
      <c r="B411" s="26">
        <f>IFERROR(INDEX(Mots!$B:$B,MATCH($A411,Mots!$A:$A,0)),"introuvable")</f>
        <v/>
      </c>
      <c r="S411" s="30" t="inlineStr">
        <is>
          <t>couleur</t>
        </is>
      </c>
    </row>
    <row r="412">
      <c r="A412" s="30" t="inlineStr">
        <is>
          <t>a_amer_acide</t>
        </is>
      </c>
      <c r="B412" s="26">
        <f>IFERROR(INDEX(Mots!$B:$B,MATCH($A412,Mots!$A:$A,0)),"introuvable")</f>
        <v/>
      </c>
      <c r="S412" s="30" t="inlineStr">
        <is>
          <t>toucher</t>
        </is>
      </c>
      <c r="T412" s="30" t="inlineStr">
        <is>
          <t>gout</t>
        </is>
      </c>
    </row>
    <row r="413">
      <c r="A413" s="30" t="inlineStr">
        <is>
          <t>a_beau_laid</t>
        </is>
      </c>
      <c r="B413" s="26">
        <f>IFERROR(INDEX(Mots!$B:$B,MATCH($A413,Mots!$A:$A,0)),"introuvable")</f>
        <v/>
      </c>
      <c r="S413" s="30" t="inlineStr">
        <is>
          <t>apparence</t>
        </is>
      </c>
    </row>
    <row r="414">
      <c r="A414" s="30" t="inlineStr">
        <is>
          <t>a_bon_mauvais</t>
        </is>
      </c>
      <c r="B414" s="26">
        <f>IFERROR(INDEX(Mots!$B:$B,MATCH($A414,Mots!$A:$A,0)),"introuvable")</f>
        <v/>
      </c>
      <c r="S414" s="30" t="inlineStr">
        <is>
          <t>gout</t>
        </is>
      </c>
    </row>
    <row r="415">
      <c r="A415" s="30" t="inlineStr">
        <is>
          <t>a_brillant_terne</t>
        </is>
      </c>
      <c r="B415" s="26">
        <f>IFERROR(INDEX(Mots!$B:$B,MATCH($A415,Mots!$A:$A,0)),"introuvable")</f>
        <v/>
      </c>
      <c r="S415" s="30" t="inlineStr">
        <is>
          <t>apparence</t>
        </is>
      </c>
    </row>
    <row r="416">
      <c r="A416" s="30" t="inlineStr">
        <is>
          <t>a_calme_agite</t>
        </is>
      </c>
      <c r="B416" s="26">
        <f>IFERROR(INDEX(Mots!$B:$B,MATCH($A416,Mots!$A:$A,0)),"introuvable")</f>
        <v/>
      </c>
      <c r="S416" s="30" t="inlineStr">
        <is>
          <t>humeur</t>
        </is>
      </c>
    </row>
    <row r="417">
      <c r="A417" s="30" t="inlineStr">
        <is>
          <t>a_chaud_froid</t>
        </is>
      </c>
      <c r="B417" s="26">
        <f>IFERROR(INDEX(Mots!$B:$B,MATCH($A417,Mots!$A:$A,0)),"introuvable")</f>
        <v/>
      </c>
      <c r="S417" s="30" t="inlineStr">
        <is>
          <t>temperature</t>
        </is>
      </c>
    </row>
    <row r="418">
      <c r="A418" s="30" t="inlineStr">
        <is>
          <t>a_cher_bon_marche</t>
        </is>
      </c>
      <c r="B418" s="26">
        <f>IFERROR(INDEX(Mots!$B:$B,MATCH($A418,Mots!$A:$A,0)),"introuvable")</f>
        <v/>
      </c>
      <c r="S418" s="30" t="inlineStr">
        <is>
          <t>prix</t>
        </is>
      </c>
    </row>
    <row r="419">
      <c r="A419" s="30" t="inlineStr">
        <is>
          <t>a_clair_sombre</t>
        </is>
      </c>
      <c r="B419" s="26">
        <f>IFERROR(INDEX(Mots!$B:$B,MATCH($A419,Mots!$A:$A,0)),"introuvable")</f>
        <v/>
      </c>
      <c r="S419" s="30" t="inlineStr">
        <is>
          <t>apparence</t>
        </is>
      </c>
    </row>
    <row r="420">
      <c r="A420" s="30" t="inlineStr">
        <is>
          <t>a_content_triste</t>
        </is>
      </c>
      <c r="B420" s="26">
        <f>IFERROR(INDEX(Mots!$B:$B,MATCH($A420,Mots!$A:$A,0)),"introuvable")</f>
        <v/>
      </c>
      <c r="S420" s="30" t="inlineStr">
        <is>
          <t>humeur</t>
        </is>
      </c>
    </row>
    <row r="421">
      <c r="A421" s="30" t="inlineStr">
        <is>
          <t>a_courageux_peureux</t>
        </is>
      </c>
      <c r="B421" s="26">
        <f>IFERROR(INDEX(Mots!$B:$B,MATCH($A421,Mots!$A:$A,0)),"introuvable")</f>
        <v/>
      </c>
      <c r="S421" s="30" t="inlineStr">
        <is>
          <t>caractere</t>
        </is>
      </c>
      <c r="T421" s="30" t="inlineStr">
        <is>
          <t>position</t>
        </is>
      </c>
    </row>
    <row r="422">
      <c r="A422" s="30" t="inlineStr">
        <is>
          <t>a_dessus_dessous</t>
        </is>
      </c>
      <c r="B422" s="26">
        <f>IFERROR(INDEX(Mots!$B:$B,MATCH($A422,Mots!$A:$A,0)),"introuvable")</f>
        <v/>
      </c>
      <c r="S422" s="30" t="inlineStr">
        <is>
          <t>taille</t>
        </is>
      </c>
      <c r="T422" s="30" t="inlineStr">
        <is>
          <t>position</t>
        </is>
      </c>
    </row>
    <row r="423">
      <c r="A423" s="30" t="inlineStr">
        <is>
          <t>a_devant_derriere</t>
        </is>
      </c>
      <c r="B423" s="26">
        <f>IFERROR(INDEX(Mots!$B:$B,MATCH($A423,Mots!$A:$A,0)),"introuvable")</f>
        <v/>
      </c>
      <c r="S423" s="30" t="inlineStr">
        <is>
          <t>position</t>
        </is>
      </c>
    </row>
    <row r="424">
      <c r="A424" s="30" t="inlineStr">
        <is>
          <t>a_drole_serieux</t>
        </is>
      </c>
      <c r="B424" s="26">
        <f>IFERROR(INDEX(Mots!$B:$B,MATCH($A424,Mots!$A:$A,0)),"introuvable")</f>
        <v/>
      </c>
      <c r="S424" s="30" t="inlineStr">
        <is>
          <t>humeur</t>
        </is>
      </c>
    </row>
    <row r="425">
      <c r="A425" s="30" t="inlineStr">
        <is>
          <t>a_dur_mou</t>
        </is>
      </c>
      <c r="B425" s="26">
        <f>IFERROR(INDEX(Mots!$B:$B,MATCH($A425,Mots!$A:$A,0)),"introuvable")</f>
        <v/>
      </c>
      <c r="S425" s="30" t="inlineStr">
        <is>
          <t>forme</t>
        </is>
      </c>
      <c r="T425" s="30" t="inlineStr">
        <is>
          <t>toucher</t>
        </is>
      </c>
      <c r="U425" s="30" t="inlineStr">
        <is>
          <t>difficulte</t>
        </is>
      </c>
    </row>
    <row r="426">
      <c r="A426" s="30" t="inlineStr">
        <is>
          <t>a_epais_fin</t>
        </is>
      </c>
      <c r="B426" s="26">
        <f>IFERROR(INDEX(Mots!$B:$B,MATCH($A426,Mots!$A:$A,0)),"introuvable")</f>
        <v/>
      </c>
      <c r="S426" s="30" t="inlineStr">
        <is>
          <t>taille</t>
        </is>
      </c>
    </row>
    <row r="427">
      <c r="A427" s="30" t="inlineStr">
        <is>
          <t>a_facile_difficile</t>
        </is>
      </c>
      <c r="B427" s="26">
        <f>IFERROR(INDEX(Mots!$B:$B,MATCH($A427,Mots!$A:$A,0)),"introuvable")</f>
        <v/>
      </c>
      <c r="S427" s="30" t="inlineStr">
        <is>
          <t>difficulte</t>
        </is>
      </c>
    </row>
    <row r="428">
      <c r="A428" s="30" t="inlineStr">
        <is>
          <t>a_ferme_ouvert</t>
        </is>
      </c>
      <c r="B428" s="26">
        <f>IFERROR(INDEX(Mots!$B:$B,MATCH($A428,Mots!$A:$A,0)),"introuvable")</f>
        <v/>
      </c>
      <c r="S428" s="30" t="inlineStr">
        <is>
          <t>position</t>
        </is>
      </c>
    </row>
    <row r="429">
      <c r="A429" s="30" t="inlineStr">
        <is>
          <t>a_fort_faible</t>
        </is>
      </c>
      <c r="B429" s="26">
        <f>IFERROR(INDEX(Mots!$B:$B,MATCH($A429,Mots!$A:$A,0)),"introuvable")</f>
        <v/>
      </c>
      <c r="S429" s="30" t="inlineStr">
        <is>
          <t>taille</t>
        </is>
      </c>
    </row>
    <row r="430">
      <c r="A430" s="30" t="inlineStr">
        <is>
          <t>a_gentil_mechant</t>
        </is>
      </c>
      <c r="B430" s="26">
        <f>IFERROR(INDEX(Mots!$B:$B,MATCH($A430,Mots!$A:$A,0)),"introuvable")</f>
        <v/>
      </c>
      <c r="S430" s="30" t="inlineStr">
        <is>
          <t>caractere</t>
        </is>
      </c>
      <c r="T430" s="30" t="inlineStr">
        <is>
          <t>position</t>
        </is>
      </c>
    </row>
    <row r="431">
      <c r="A431" s="30" t="inlineStr">
        <is>
          <t>a_grand_petit</t>
        </is>
      </c>
      <c r="B431" s="26">
        <f>IFERROR(INDEX(Mots!$B:$B,MATCH($A431,Mots!$A:$A,0)),"introuvable")</f>
        <v/>
      </c>
      <c r="S431" s="30" t="inlineStr">
        <is>
          <t>taille</t>
        </is>
      </c>
    </row>
    <row r="432">
      <c r="A432" s="30" t="inlineStr">
        <is>
          <t>a_gros_mince</t>
        </is>
      </c>
      <c r="B432" s="26">
        <f>IFERROR(INDEX(Mots!$B:$B,MATCH($A432,Mots!$A:$A,0)),"introuvable")</f>
        <v/>
      </c>
      <c r="S432" s="30" t="inlineStr">
        <is>
          <t>taille</t>
        </is>
      </c>
    </row>
    <row r="433">
      <c r="A433" s="30" t="inlineStr">
        <is>
          <t>a_haut_bas</t>
        </is>
      </c>
      <c r="B433" s="26">
        <f>IFERROR(INDEX(Mots!$B:$B,MATCH($A433,Mots!$A:$A,0)),"introuvable")</f>
        <v/>
      </c>
      <c r="S433" s="30" t="inlineStr">
        <is>
          <t>taille</t>
        </is>
      </c>
      <c r="T433" s="30" t="inlineStr">
        <is>
          <t>position</t>
        </is>
      </c>
    </row>
    <row r="434">
      <c r="A434" s="30" t="inlineStr">
        <is>
          <t>a_intelligent_bete</t>
        </is>
      </c>
      <c r="B434" s="26">
        <f>IFERROR(INDEX(Mots!$B:$B,MATCH($A434,Mots!$A:$A,0)),"introuvable")</f>
        <v/>
      </c>
      <c r="S434" s="30" t="inlineStr">
        <is>
          <t>vitesse</t>
        </is>
      </c>
    </row>
    <row r="435">
      <c r="A435" s="30" t="inlineStr">
        <is>
          <t>a_jeune_vieux</t>
        </is>
      </c>
      <c r="B435" s="26">
        <f>IFERROR(INDEX(Mots!$B:$B,MATCH($A435,Mots!$A:$A,0)),"introuvable")</f>
        <v/>
      </c>
      <c r="S435" s="30" t="inlineStr">
        <is>
          <t>taille</t>
        </is>
      </c>
      <c r="T435" s="30" t="inlineStr">
        <is>
          <t>etat</t>
        </is>
      </c>
    </row>
    <row r="436">
      <c r="A436" s="30" t="inlineStr">
        <is>
          <t>a_large_etroit</t>
        </is>
      </c>
      <c r="B436" s="26">
        <f>IFERROR(INDEX(Mots!$B:$B,MATCH($A436,Mots!$A:$A,0)),"introuvable")</f>
        <v/>
      </c>
      <c r="S436" s="30" t="inlineStr">
        <is>
          <t>taille</t>
        </is>
      </c>
    </row>
    <row r="437">
      <c r="A437" s="30" t="inlineStr">
        <is>
          <t>a_libre_occupe</t>
        </is>
      </c>
      <c r="B437" s="26">
        <f>IFERROR(INDEX(Mots!$B:$B,MATCH($A437,Mots!$A:$A,0)),"introuvable")</f>
        <v/>
      </c>
      <c r="S437" s="30" t="inlineStr">
        <is>
          <t>prix</t>
        </is>
      </c>
    </row>
    <row r="438">
      <c r="A438" s="30" t="inlineStr">
        <is>
          <t>a_long_court</t>
        </is>
      </c>
      <c r="B438" s="26">
        <f>IFERROR(INDEX(Mots!$B:$B,MATCH($A438,Mots!$A:$A,0)),"introuvable")</f>
        <v/>
      </c>
      <c r="S438" s="30" t="inlineStr">
        <is>
          <t>taille</t>
        </is>
      </c>
    </row>
    <row r="439">
      <c r="A439" s="30" t="inlineStr">
        <is>
          <t>a_lourd_leger</t>
        </is>
      </c>
      <c r="B439" s="26">
        <f>IFERROR(INDEX(Mots!$B:$B,MATCH($A439,Mots!$A:$A,0)),"introuvable")</f>
        <v/>
      </c>
      <c r="S439" s="30" t="inlineStr">
        <is>
          <t>apparence</t>
        </is>
      </c>
    </row>
    <row r="440">
      <c r="A440" s="30" t="inlineStr">
        <is>
          <t>a_neuf_use</t>
        </is>
      </c>
      <c r="B440" s="26">
        <f>IFERROR(INDEX(Mots!$B:$B,MATCH($A440,Mots!$A:$A,0)),"introuvable")</f>
        <v/>
      </c>
      <c r="S440" s="30" t="inlineStr">
        <is>
          <t>etat</t>
        </is>
      </c>
    </row>
    <row r="441">
      <c r="A441" s="30" t="inlineStr">
        <is>
          <t>a_nouveau_ancien</t>
        </is>
      </c>
      <c r="B441" s="26">
        <f>IFERROR(INDEX(Mots!$B:$B,MATCH($A441,Mots!$A:$A,0)),"introuvable")</f>
        <v/>
      </c>
      <c r="S441" s="30" t="inlineStr">
        <is>
          <t>etat</t>
        </is>
      </c>
    </row>
    <row r="442">
      <c r="A442" s="30" t="inlineStr">
        <is>
          <t>a_propre_sale</t>
        </is>
      </c>
      <c r="B442" s="26">
        <f>IFERROR(INDEX(Mots!$B:$B,MATCH($A442,Mots!$A:$A,0)),"introuvable")</f>
        <v/>
      </c>
      <c r="S442" s="30" t="inlineStr">
        <is>
          <t>gout</t>
        </is>
      </c>
      <c r="T442" s="30" t="inlineStr">
        <is>
          <t>etat</t>
        </is>
      </c>
    </row>
    <row r="443">
      <c r="A443" s="30" t="inlineStr">
        <is>
          <t>a_rapide_lent</t>
        </is>
      </c>
      <c r="B443" s="26">
        <f>IFERROR(INDEX(Mots!$B:$B,MATCH($A443,Mots!$A:$A,0)),"introuvable")</f>
        <v/>
      </c>
      <c r="S443" s="30" t="inlineStr">
        <is>
          <t>vitesse</t>
        </is>
      </c>
    </row>
    <row r="444">
      <c r="A444" s="30" t="inlineStr">
        <is>
          <t>a_riche_pauvre</t>
        </is>
      </c>
      <c r="B444" s="26">
        <f>IFERROR(INDEX(Mots!$B:$B,MATCH($A444,Mots!$A:$A,0)),"introuvable")</f>
        <v/>
      </c>
      <c r="S444" s="30" t="inlineStr">
        <is>
          <t>apparence</t>
        </is>
      </c>
    </row>
    <row r="445">
      <c r="A445" s="30" t="inlineStr">
        <is>
          <t>a_sec_mouille</t>
        </is>
      </c>
      <c r="B445" s="26">
        <f>IFERROR(INDEX(Mots!$B:$B,MATCH($A445,Mots!$A:$A,0)),"introuvable")</f>
        <v/>
      </c>
      <c r="S445" s="30" t="inlineStr">
        <is>
          <t>toucher</t>
        </is>
      </c>
      <c r="T445" s="30" t="inlineStr">
        <is>
          <t>position</t>
        </is>
      </c>
    </row>
    <row r="446">
      <c r="A446" s="30" t="inlineStr">
        <is>
          <t>a_sucre_sale</t>
        </is>
      </c>
      <c r="B446" s="26">
        <f>IFERROR(INDEX(Mots!$B:$B,MATCH($A446,Mots!$A:$A,0)),"introuvable")</f>
        <v/>
      </c>
      <c r="S446" s="30" t="inlineStr">
        <is>
          <t>gout</t>
        </is>
      </c>
      <c r="T446" s="30" t="inlineStr">
        <is>
          <t>etat</t>
        </is>
      </c>
    </row>
    <row r="447">
      <c r="A447" s="30" t="inlineStr">
        <is>
          <t>a_vide_plein</t>
        </is>
      </c>
      <c r="B447" s="26">
        <f>IFERROR(INDEX(Mots!$B:$B,MATCH($A447,Mots!$A:$A,0)),"introuvable")</f>
        <v/>
      </c>
      <c r="S447" s="30" t="inlineStr">
        <is>
          <t>etat</t>
        </is>
      </c>
      <c r="T447" s="30" t="inlineStr">
        <is>
          <t>position</t>
        </is>
      </c>
    </row>
    <row r="448">
      <c r="A448" s="30" t="inlineStr">
        <is>
          <t>f_carre</t>
        </is>
      </c>
      <c r="B448" s="26">
        <f>IFERROR(INDEX(Mots!$B:$B,MATCH($A448,Mots!$A:$A,0)),"introuvable")</f>
        <v/>
      </c>
      <c r="S448" s="30" t="inlineStr">
        <is>
          <t>forme</t>
        </is>
      </c>
    </row>
    <row r="449">
      <c r="A449" s="30" t="inlineStr">
        <is>
          <t>f_triangle</t>
        </is>
      </c>
      <c r="B449" s="26">
        <f>IFERROR(INDEX(Mots!$B:$B,MATCH($A449,Mots!$A:$A,0)),"introuvable")</f>
        <v/>
      </c>
      <c r="S449" s="30" t="inlineStr">
        <is>
          <t>forme</t>
        </is>
      </c>
      <c r="T449" s="30" t="inlineStr">
        <is>
          <t>difficulte</t>
        </is>
      </c>
    </row>
    <row r="450">
      <c r="A450" s="30" t="inlineStr">
        <is>
          <t>courbe</t>
        </is>
      </c>
      <c r="B450" s="26">
        <f>IFERROR(INDEX(Mots!$B:$B,MATCH($A450,Mots!$A:$A,0)),"introuvable")</f>
        <v/>
      </c>
      <c r="S450" s="30" t="inlineStr">
        <is>
          <t>forme</t>
        </is>
      </c>
    </row>
    <row r="451">
      <c r="A451" s="30" t="inlineStr">
        <is>
          <t>droit</t>
        </is>
      </c>
      <c r="B451" s="26">
        <f>IFERROR(INDEX(Mots!$B:$B,MATCH($A451,Mots!$A:$A,0)),"introuvable")</f>
        <v/>
      </c>
      <c r="S451" s="30" t="inlineStr">
        <is>
          <t>forme</t>
        </is>
      </c>
    </row>
    <row r="452">
      <c r="A452" s="30" t="inlineStr">
        <is>
          <t>hauteur</t>
        </is>
      </c>
      <c r="B452" s="26">
        <f>IFERROR(INDEX(Mots!$B:$B,MATCH($A452,Mots!$A:$A,0)),"introuvable")</f>
        <v/>
      </c>
      <c r="S452" s="30" t="inlineStr">
        <is>
          <t>taille</t>
        </is>
      </c>
      <c r="T452" s="30" t="inlineStr">
        <is>
          <t>position</t>
        </is>
      </c>
    </row>
    <row r="453">
      <c r="A453" s="30" t="inlineStr">
        <is>
          <t>largeur</t>
        </is>
      </c>
      <c r="B453" s="26">
        <f>IFERROR(INDEX(Mots!$B:$B,MATCH($A453,Mots!$A:$A,0)),"introuvable")</f>
        <v/>
      </c>
      <c r="S453" s="30" t="inlineStr">
        <is>
          <t>taille</t>
        </is>
      </c>
    </row>
    <row r="454">
      <c r="A454" s="30" t="inlineStr">
        <is>
          <t>longueur</t>
        </is>
      </c>
      <c r="B454" s="26">
        <f>IFERROR(INDEX(Mots!$B:$B,MATCH($A454,Mots!$A:$A,0)),"introuvable")</f>
        <v/>
      </c>
      <c r="S454" s="30" t="inlineStr">
        <is>
          <t>taille</t>
        </is>
      </c>
    </row>
    <row r="455">
      <c r="A455" s="30" t="inlineStr">
        <is>
          <t>cercle</t>
        </is>
      </c>
      <c r="B455" s="26">
        <f>IFERROR(INDEX(Mots!$B:$B,MATCH($A455,Mots!$A:$A,0)),"introuvable")</f>
        <v/>
      </c>
      <c r="S455" s="30" t="inlineStr">
        <is>
          <t>forme</t>
        </is>
      </c>
    </row>
    <row r="456">
      <c r="A456" s="30" t="inlineStr">
        <is>
          <t>rectangle</t>
        </is>
      </c>
      <c r="B456" s="26">
        <f>IFERROR(INDEX(Mots!$B:$B,MATCH($A456,Mots!$A:$A,0)),"introuvable")</f>
        <v/>
      </c>
      <c r="S456" s="30" t="inlineStr">
        <is>
          <t>taille</t>
        </is>
      </c>
      <c r="T456" s="30" t="inlineStr">
        <is>
          <t>forme</t>
        </is>
      </c>
    </row>
    <row r="457">
      <c r="A457" s="30" t="inlineStr">
        <is>
          <t>epaisseur</t>
        </is>
      </c>
      <c r="B457" s="26">
        <f>IFERROR(INDEX(Mots!$B:$B,MATCH($A457,Mots!$A:$A,0)),"introuvable")</f>
        <v/>
      </c>
      <c r="S457" s="30" t="inlineStr">
        <is>
          <t>taille</t>
        </is>
      </c>
    </row>
    <row r="458">
      <c r="A458" s="30" t="inlineStr">
        <is>
          <t>pointu</t>
        </is>
      </c>
      <c r="B458" s="26">
        <f>IFERROR(INDEX(Mots!$B:$B,MATCH($A458,Mots!$A:$A,0)),"introuvable")</f>
        <v/>
      </c>
      <c r="S458" s="30" t="inlineStr">
        <is>
          <t>forme</t>
        </is>
      </c>
    </row>
    <row r="459">
      <c r="A459" s="30" t="inlineStr">
        <is>
          <t>rond</t>
        </is>
      </c>
      <c r="B459" s="26">
        <f>IFERROR(INDEX(Mots!$B:$B,MATCH($A459,Mots!$A:$A,0)),"introuvable")</f>
        <v/>
      </c>
      <c r="S459" s="30" t="inlineStr">
        <is>
          <t>forme</t>
        </is>
      </c>
    </row>
    <row r="460">
      <c r="A460" s="30" t="inlineStr">
        <is>
          <t>aigle</t>
        </is>
      </c>
      <c r="B460" s="26">
        <f>IFERROR(INDEX(Mots!$B:$B,MATCH($A460,Mots!$A:$A,0)),"introuvable")</f>
        <v/>
      </c>
      <c r="C460" s="30" t="inlineStr">
        <is>
          <t>animal</t>
        </is>
      </c>
      <c r="I460" s="30" t="inlineStr">
        <is>
          <t>dehors</t>
        </is>
      </c>
    </row>
    <row r="461">
      <c r="A461" s="30" t="inlineStr">
        <is>
          <t>gypaete_barbu</t>
        </is>
      </c>
      <c r="B461" s="26">
        <f>IFERROR(INDEX(Mots!$B:$B,MATCH($A461,Mots!$A:$A,0)),"introuvable")</f>
        <v/>
      </c>
      <c r="C461" s="30" t="inlineStr">
        <is>
          <t>animal</t>
        </is>
      </c>
      <c r="I461" s="30" t="inlineStr">
        <is>
          <t>dehors</t>
        </is>
      </c>
    </row>
    <row r="462">
      <c r="A462" s="30" t="inlineStr">
        <is>
          <t>moineau</t>
        </is>
      </c>
      <c r="B462" s="26">
        <f>IFERROR(INDEX(Mots!$B:$B,MATCH($A462,Mots!$A:$A,0)),"introuvable")</f>
        <v/>
      </c>
      <c r="C462" s="30" t="inlineStr">
        <is>
          <t>animal</t>
        </is>
      </c>
      <c r="I462" s="30" t="inlineStr">
        <is>
          <t>dehors</t>
        </is>
      </c>
    </row>
    <row r="463">
      <c r="A463" s="30" t="inlineStr">
        <is>
          <t>pigeon</t>
        </is>
      </c>
      <c r="B463" s="26">
        <f>IFERROR(INDEX(Mots!$B:$B,MATCH($A463,Mots!$A:$A,0)),"introuvable")</f>
        <v/>
      </c>
      <c r="C463" s="30" t="inlineStr">
        <is>
          <t>animal</t>
        </is>
      </c>
      <c r="I463" s="30" t="inlineStr">
        <is>
          <t>dehors</t>
        </is>
      </c>
    </row>
    <row r="464">
      <c r="A464" s="30" t="inlineStr">
        <is>
          <t>pizza</t>
        </is>
      </c>
      <c r="B464" s="26">
        <f>IFERROR(INDEX(Mots!$B:$B,MATCH($A464,Mots!$A:$A,0)),"introuvable")</f>
        <v/>
      </c>
      <c r="C464" s="30" t="inlineStr">
        <is>
          <t>aliment</t>
        </is>
      </c>
      <c r="I464" s="30" t="inlineStr">
        <is>
          <t>cuisine</t>
        </is>
      </c>
      <c r="N464" s="30" t="inlineStr">
        <is>
          <t>manger_boire</t>
        </is>
      </c>
    </row>
    <row r="465">
      <c r="A465" s="30" t="inlineStr">
        <is>
          <t>lasagnes</t>
        </is>
      </c>
      <c r="B465" s="26">
        <f>IFERROR(INDEX(Mots!$B:$B,MATCH($A465,Mots!$A:$A,0)),"introuvable")</f>
        <v/>
      </c>
      <c r="C465" s="30" t="inlineStr">
        <is>
          <t>aliment</t>
        </is>
      </c>
      <c r="I465" s="30" t="inlineStr">
        <is>
          <t>cuisine</t>
        </is>
      </c>
      <c r="N465" s="30" t="inlineStr">
        <is>
          <t>manger_boire</t>
        </is>
      </c>
    </row>
    <row r="466">
      <c r="A466" s="30" t="inlineStr">
        <is>
          <t>cornette_pate</t>
        </is>
      </c>
      <c r="B466" s="26">
        <f>IFERROR(INDEX(Mots!$B:$B,MATCH($A466,Mots!$A:$A,0)),"introuvable")</f>
        <v/>
      </c>
      <c r="C466" s="30" t="inlineStr">
        <is>
          <t>instrument</t>
        </is>
      </c>
      <c r="I466" s="30" t="inlineStr">
        <is>
          <t>cuisine</t>
        </is>
      </c>
      <c r="N466" s="30" t="inlineStr">
        <is>
          <t>manger_boire</t>
        </is>
      </c>
    </row>
    <row r="467">
      <c r="A467" s="30" t="inlineStr">
        <is>
          <t>spaghetti</t>
        </is>
      </c>
      <c r="B467" s="26">
        <f>IFERROR(INDEX(Mots!$B:$B,MATCH($A467,Mots!$A:$A,0)),"introuvable")</f>
        <v/>
      </c>
      <c r="C467" s="30" t="inlineStr">
        <is>
          <t>aliment</t>
        </is>
      </c>
      <c r="I467" s="30" t="inlineStr">
        <is>
          <t>cuisine</t>
        </is>
      </c>
      <c r="N467" s="30" t="inlineStr">
        <is>
          <t>manger_boire</t>
        </is>
      </c>
    </row>
    <row r="468">
      <c r="A468" s="30" t="inlineStr">
        <is>
          <t>penne_pate</t>
        </is>
      </c>
      <c r="B468" s="26">
        <f>IFERROR(INDEX(Mots!$B:$B,MATCH($A468,Mots!$A:$A,0)),"introuvable")</f>
        <v/>
      </c>
      <c r="C468" s="30" t="inlineStr">
        <is>
          <t>aliment</t>
        </is>
      </c>
      <c r="I468" s="30" t="inlineStr">
        <is>
          <t>cuisine</t>
        </is>
      </c>
      <c r="N468" s="30" t="inlineStr">
        <is>
          <t>manger_boire</t>
        </is>
      </c>
    </row>
    <row r="469">
      <c r="A469" s="30" t="inlineStr">
        <is>
          <t>oeuf_au_plat</t>
        </is>
      </c>
      <c r="B469" s="26">
        <f>IFERROR(INDEX(Mots!$B:$B,MATCH($A469,Mots!$A:$A,0)),"introuvable")</f>
        <v/>
      </c>
      <c r="C469" s="30" t="inlineStr">
        <is>
          <t>aliment</t>
        </is>
      </c>
      <c r="I469" s="30" t="inlineStr">
        <is>
          <t>cuisine</t>
        </is>
      </c>
      <c r="N469" s="30" t="inlineStr">
        <is>
          <t>manger_boire</t>
        </is>
      </c>
      <c r="O469" s="30" t="inlineStr">
        <is>
          <t>cuisiner</t>
        </is>
      </c>
    </row>
    <row r="470">
      <c r="A470" s="30" t="inlineStr">
        <is>
          <t>omelette</t>
        </is>
      </c>
      <c r="B470" s="26">
        <f>IFERROR(INDEX(Mots!$B:$B,MATCH($A470,Mots!$A:$A,0)),"introuvable")</f>
        <v/>
      </c>
      <c r="C470" s="30" t="inlineStr">
        <is>
          <t>aliment</t>
        </is>
      </c>
      <c r="I470" s="30" t="inlineStr">
        <is>
          <t>cuisine</t>
        </is>
      </c>
      <c r="N470" s="30" t="inlineStr">
        <is>
          <t>manger_boire</t>
        </is>
      </c>
      <c r="O470" s="30" t="inlineStr">
        <is>
          <t>cuisiner</t>
        </is>
      </c>
    </row>
    <row r="471">
      <c r="A471" s="30" t="inlineStr">
        <is>
          <t>polenta</t>
        </is>
      </c>
      <c r="B471" s="26">
        <f>IFERROR(INDEX(Mots!$B:$B,MATCH($A471,Mots!$A:$A,0)),"introuvable")</f>
        <v/>
      </c>
      <c r="C471" s="30" t="inlineStr">
        <is>
          <t>aliment</t>
        </is>
      </c>
      <c r="I471" s="30" t="inlineStr">
        <is>
          <t>cuisine</t>
        </is>
      </c>
      <c r="N471" s="30" t="inlineStr">
        <is>
          <t>manger_boire</t>
        </is>
      </c>
      <c r="O471" s="30" t="inlineStr">
        <is>
          <t>cuisiner</t>
        </is>
      </c>
    </row>
    <row r="472">
      <c r="A472" s="30" t="inlineStr">
        <is>
          <t>fondue</t>
        </is>
      </c>
      <c r="B472" s="26">
        <f>IFERROR(INDEX(Mots!$B:$B,MATCH($A472,Mots!$A:$A,0)),"introuvable")</f>
        <v/>
      </c>
      <c r="C472" s="30" t="inlineStr">
        <is>
          <t>aliment</t>
        </is>
      </c>
      <c r="I472" s="30" t="inlineStr">
        <is>
          <t>cuisine</t>
        </is>
      </c>
      <c r="N472" s="30" t="inlineStr">
        <is>
          <t>manger_boire</t>
        </is>
      </c>
      <c r="O472" s="30" t="inlineStr">
        <is>
          <t>cuisiner</t>
        </is>
      </c>
    </row>
    <row r="473">
      <c r="A473" s="30" t="inlineStr">
        <is>
          <t>raclette</t>
        </is>
      </c>
      <c r="B473" s="26">
        <f>IFERROR(INDEX(Mots!$B:$B,MATCH($A473,Mots!$A:$A,0)),"introuvable")</f>
        <v/>
      </c>
      <c r="C473" s="30" t="inlineStr">
        <is>
          <t>aliment</t>
        </is>
      </c>
      <c r="I473" s="30" t="inlineStr">
        <is>
          <t>cuisine</t>
        </is>
      </c>
      <c r="N473" s="30" t="inlineStr">
        <is>
          <t>manger_boire</t>
        </is>
      </c>
      <c r="O473" s="30" t="inlineStr">
        <is>
          <t>cuisiner</t>
        </is>
      </c>
    </row>
    <row r="474">
      <c r="A474" s="30" t="inlineStr">
        <is>
          <t>soupe</t>
        </is>
      </c>
      <c r="B474" s="26">
        <f>IFERROR(INDEX(Mots!$B:$B,MATCH($A474,Mots!$A:$A,0)),"introuvable")</f>
        <v/>
      </c>
      <c r="C474" s="30" t="inlineStr">
        <is>
          <t>aliment</t>
        </is>
      </c>
      <c r="I474" s="30" t="inlineStr">
        <is>
          <t>cuisine</t>
        </is>
      </c>
      <c r="N474" s="30" t="inlineStr">
        <is>
          <t>manger_boire</t>
        </is>
      </c>
      <c r="O474" s="30" t="inlineStr">
        <is>
          <t>cuisiner</t>
        </is>
      </c>
    </row>
    <row r="475">
      <c r="A475" s="30" t="inlineStr">
        <is>
          <t>filets_de_perche</t>
        </is>
      </c>
      <c r="B475" s="26">
        <f>IFERROR(INDEX(Mots!$B:$B,MATCH($A475,Mots!$A:$A,0)),"introuvable")</f>
        <v/>
      </c>
      <c r="C475" s="30" t="inlineStr">
        <is>
          <t>partie_corps</t>
        </is>
      </c>
      <c r="I475" s="30" t="inlineStr">
        <is>
          <t>cuisine</t>
        </is>
      </c>
      <c r="N475" s="30" t="inlineStr">
        <is>
          <t>manger_boire</t>
        </is>
      </c>
      <c r="O475" s="30" t="inlineStr">
        <is>
          <t>cuisiner</t>
        </is>
      </c>
    </row>
    <row r="476">
      <c r="A476" s="30" t="inlineStr">
        <is>
          <t>filet_de_truite</t>
        </is>
      </c>
      <c r="B476" s="26">
        <f>IFERROR(INDEX(Mots!$B:$B,MATCH($A476,Mots!$A:$A,0)),"introuvable")</f>
        <v/>
      </c>
      <c r="C476" s="30" t="inlineStr">
        <is>
          <t>partie_corps</t>
        </is>
      </c>
      <c r="I476" s="30" t="inlineStr">
        <is>
          <t>cuisine</t>
        </is>
      </c>
      <c r="N476" s="30" t="inlineStr">
        <is>
          <t>manger_boire</t>
        </is>
      </c>
      <c r="O476" s="30" t="inlineStr">
        <is>
          <t>cuisiner</t>
        </is>
      </c>
    </row>
    <row r="477">
      <c r="A477" s="30" t="inlineStr">
        <is>
          <t>ami</t>
        </is>
      </c>
      <c r="B477" s="26">
        <f>IFERROR(INDEX(Mots!$B:$B,MATCH($A477,Mots!$A:$A,0)),"introuvable")</f>
        <v/>
      </c>
      <c r="Z477" s="30" t="inlineStr">
        <is>
          <t>agreable</t>
        </is>
      </c>
    </row>
    <row r="478">
      <c r="A478" s="30" t="inlineStr">
        <is>
          <t>banque</t>
        </is>
      </c>
      <c r="B478" s="26">
        <f>IFERROR(INDEX(Mots!$B:$B,MATCH($A478,Mots!$A:$A,0)),"introuvable")</f>
        <v/>
      </c>
      <c r="I478" s="30" t="inlineStr">
        <is>
          <t>ville</t>
        </is>
      </c>
    </row>
    <row r="479">
      <c r="A479" s="30" t="inlineStr">
        <is>
          <t>magasin</t>
        </is>
      </c>
      <c r="B479" s="26">
        <f>IFERROR(INDEX(Mots!$B:$B,MATCH($A479,Mots!$A:$A,0)),"introuvable")</f>
        <v/>
      </c>
      <c r="I479" s="30" t="inlineStr">
        <is>
          <t>ville</t>
        </is>
      </c>
    </row>
    <row r="480">
      <c r="A480" s="30" t="inlineStr">
        <is>
          <t>marche</t>
        </is>
      </c>
      <c r="B480" s="26">
        <f>IFERROR(INDEX(Mots!$B:$B,MATCH($A480,Mots!$A:$A,0)),"introuvable")</f>
        <v/>
      </c>
      <c r="I480" s="30" t="inlineStr">
        <is>
          <t>ville</t>
        </is>
      </c>
    </row>
    <row r="481">
      <c r="A481" s="30" t="inlineStr">
        <is>
          <t>restaurant</t>
        </is>
      </c>
      <c r="B481" s="26">
        <f>IFERROR(INDEX(Mots!$B:$B,MATCH($A481,Mots!$A:$A,0)),"introuvable")</f>
        <v/>
      </c>
      <c r="I481" s="30" t="inlineStr">
        <is>
          <t>ville</t>
        </is>
      </c>
    </row>
    <row r="482">
      <c r="A482" s="30" t="inlineStr">
        <is>
          <t>hotel</t>
        </is>
      </c>
      <c r="B482" s="26">
        <f>IFERROR(INDEX(Mots!$B:$B,MATCH($A482,Mots!$A:$A,0)),"introuvable")</f>
        <v/>
      </c>
      <c r="I482" s="30" t="inlineStr">
        <is>
          <t>ville</t>
        </is>
      </c>
    </row>
    <row r="483">
      <c r="A483" s="30" t="inlineStr">
        <is>
          <t>salle_de_bain</t>
        </is>
      </c>
      <c r="B483" s="26">
        <f>IFERROR(INDEX(Mots!$B:$B,MATCH($A483,Mots!$A:$A,0)),"introuvable")</f>
        <v/>
      </c>
      <c r="I483" s="30" t="inlineStr">
        <is>
          <t>salle_de_bain</t>
        </is>
      </c>
      <c r="N483" s="30" t="inlineStr">
        <is>
          <t>se_soigner</t>
        </is>
      </c>
    </row>
    <row r="484">
      <c r="A484" s="30" t="inlineStr">
        <is>
          <t>lavabo</t>
        </is>
      </c>
      <c r="B484" s="26">
        <f>IFERROR(INDEX(Mots!$B:$B,MATCH($A484,Mots!$A:$A,0)),"introuvable")</f>
        <v/>
      </c>
      <c r="I484" s="30" t="inlineStr">
        <is>
          <t>salle_de_bain</t>
        </is>
      </c>
      <c r="N484" s="30" t="inlineStr">
        <is>
          <t>se_soigner</t>
        </is>
      </c>
    </row>
    <row r="485">
      <c r="A485" s="30" t="inlineStr">
        <is>
          <t>savon</t>
        </is>
      </c>
      <c r="B485" s="26">
        <f>IFERROR(INDEX(Mots!$B:$B,MATCH($A485,Mots!$A:$A,0)),"introuvable")</f>
        <v/>
      </c>
      <c r="I485" s="30" t="inlineStr">
        <is>
          <t>salle_de_bain</t>
        </is>
      </c>
      <c r="N485" s="30" t="inlineStr">
        <is>
          <t>se_soigner</t>
        </is>
      </c>
    </row>
    <row r="486">
      <c r="A486" s="30" t="inlineStr">
        <is>
          <t>miroir</t>
        </is>
      </c>
      <c r="B486" s="26">
        <f>IFERROR(INDEX(Mots!$B:$B,MATCH($A486,Mots!$A:$A,0)),"introuvable")</f>
        <v/>
      </c>
      <c r="I486" s="30" t="inlineStr">
        <is>
          <t>salle_de_bain</t>
        </is>
      </c>
      <c r="N486" s="30" t="inlineStr">
        <is>
          <t>se_soigner</t>
        </is>
      </c>
    </row>
    <row r="487">
      <c r="A487" s="30" t="inlineStr">
        <is>
          <t>wc</t>
        </is>
      </c>
      <c r="B487" s="26">
        <f>IFERROR(INDEX(Mots!$B:$B,MATCH($A487,Mots!$A:$A,0)),"introuvable")</f>
        <v/>
      </c>
      <c r="I487" s="30" t="inlineStr">
        <is>
          <t>salle_de_bain</t>
        </is>
      </c>
      <c r="N487" s="30" t="inlineStr">
        <is>
          <t>se_soigner</t>
        </is>
      </c>
    </row>
    <row r="488">
      <c r="A488" s="30" t="inlineStr">
        <is>
          <t>douche</t>
        </is>
      </c>
      <c r="B488" s="26">
        <f>IFERROR(INDEX(Mots!$B:$B,MATCH($A488,Mots!$A:$A,0)),"introuvable")</f>
        <v/>
      </c>
      <c r="I488" s="30" t="inlineStr">
        <is>
          <t>salle_de_bain</t>
        </is>
      </c>
      <c r="N488" s="30" t="inlineStr">
        <is>
          <t>se_soigner</t>
        </is>
      </c>
    </row>
    <row r="489">
      <c r="A489" s="30" t="inlineStr">
        <is>
          <t>baignoire</t>
        </is>
      </c>
      <c r="B489" s="26">
        <f>IFERROR(INDEX(Mots!$B:$B,MATCH($A489,Mots!$A:$A,0)),"introuvable")</f>
        <v/>
      </c>
      <c r="I489" s="30" t="inlineStr">
        <is>
          <t>salle_de_bain</t>
        </is>
      </c>
      <c r="N489" s="30" t="inlineStr">
        <is>
          <t>se_soigner</t>
        </is>
      </c>
    </row>
    <row r="490">
      <c r="A490" s="30" t="inlineStr">
        <is>
          <t>rasoir</t>
        </is>
      </c>
      <c r="B490" s="26">
        <f>IFERROR(INDEX(Mots!$B:$B,MATCH($A490,Mots!$A:$A,0)),"introuvable")</f>
        <v/>
      </c>
      <c r="C490" s="30" t="inlineStr">
        <is>
          <t>outil</t>
        </is>
      </c>
      <c r="I490" s="30" t="inlineStr">
        <is>
          <t>salle_de_bain</t>
        </is>
      </c>
      <c r="N490" s="30" t="inlineStr">
        <is>
          <t>se_soigner</t>
        </is>
      </c>
    </row>
    <row r="491">
      <c r="A491" s="30" t="inlineStr">
        <is>
          <t>deodorant</t>
        </is>
      </c>
      <c r="B491" s="26">
        <f>IFERROR(INDEX(Mots!$B:$B,MATCH($A491,Mots!$A:$A,0)),"introuvable")</f>
        <v/>
      </c>
      <c r="I491" s="30" t="inlineStr">
        <is>
          <t>salle_de_bain</t>
        </is>
      </c>
      <c r="N491" s="30" t="inlineStr">
        <is>
          <t>se_soigner</t>
        </is>
      </c>
    </row>
    <row r="492">
      <c r="A492" s="30" t="inlineStr">
        <is>
          <t>dentifrice</t>
        </is>
      </c>
      <c r="B492" s="26">
        <f>IFERROR(INDEX(Mots!$B:$B,MATCH($A492,Mots!$A:$A,0)),"introuvable")</f>
        <v/>
      </c>
      <c r="I492" s="30" t="inlineStr">
        <is>
          <t>salle_de_bain</t>
        </is>
      </c>
      <c r="N492" s="30" t="inlineStr">
        <is>
          <t>se_soigner</t>
        </is>
      </c>
    </row>
    <row r="493">
      <c r="A493" s="30" t="inlineStr">
        <is>
          <t>brosse_a_dents</t>
        </is>
      </c>
      <c r="B493" s="26">
        <f>IFERROR(INDEX(Mots!$B:$B,MATCH($A493,Mots!$A:$A,0)),"introuvable")</f>
        <v/>
      </c>
      <c r="I493" s="30" t="inlineStr">
        <is>
          <t>salle_de_bain</t>
        </is>
      </c>
      <c r="N493" s="30" t="inlineStr">
        <is>
          <t>se_soigner</t>
        </is>
      </c>
    </row>
    <row r="494">
      <c r="A494" s="30" t="inlineStr">
        <is>
          <t>branche</t>
        </is>
      </c>
      <c r="B494" s="26">
        <f>IFERROR(INDEX(Mots!$B:$B,MATCH($A494,Mots!$A:$A,0)),"introuvable")</f>
        <v/>
      </c>
      <c r="C494" s="30" t="inlineStr">
        <is>
          <t>aliment</t>
        </is>
      </c>
      <c r="E494" s="30" t="inlineStr">
        <is>
          <t>plante</t>
        </is>
      </c>
      <c r="I494" s="30" t="inlineStr">
        <is>
          <t>dehors</t>
        </is>
      </c>
      <c r="N494" s="30" t="inlineStr">
        <is>
          <t>se_promener</t>
        </is>
      </c>
    </row>
    <row r="495">
      <c r="A495" s="30" t="inlineStr">
        <is>
          <t>fleur</t>
        </is>
      </c>
      <c r="B495" s="26">
        <f>IFERROR(INDEX(Mots!$B:$B,MATCH($A495,Mots!$A:$A,0)),"introuvable")</f>
        <v/>
      </c>
      <c r="C495" s="30" t="inlineStr">
        <is>
          <t>plante</t>
        </is>
      </c>
      <c r="I495" s="30" t="inlineStr">
        <is>
          <t>dehors</t>
        </is>
      </c>
      <c r="N495" s="30" t="inlineStr">
        <is>
          <t>se_promener</t>
        </is>
      </c>
    </row>
    <row r="496">
      <c r="A496" s="30" t="inlineStr">
        <is>
          <t>plante</t>
        </is>
      </c>
      <c r="B496" s="26">
        <f>IFERROR(INDEX(Mots!$B:$B,MATCH($A496,Mots!$A:$A,0)),"introuvable")</f>
        <v/>
      </c>
      <c r="C496" s="30" t="inlineStr">
        <is>
          <t>plante</t>
        </is>
      </c>
      <c r="I496" s="30" t="inlineStr">
        <is>
          <t>dehors</t>
        </is>
      </c>
      <c r="N496" s="30" t="inlineStr">
        <is>
          <t>se_promener</t>
        </is>
      </c>
    </row>
    <row r="497">
      <c r="A497" s="30" t="inlineStr">
        <is>
          <t>arbre</t>
        </is>
      </c>
      <c r="B497" s="26">
        <f>IFERROR(INDEX(Mots!$B:$B,MATCH($A497,Mots!$A:$A,0)),"introuvable")</f>
        <v/>
      </c>
      <c r="C497" s="30" t="inlineStr">
        <is>
          <t>plante</t>
        </is>
      </c>
      <c r="I497" s="30" t="inlineStr">
        <is>
          <t>dehors</t>
        </is>
      </c>
      <c r="N497" s="30" t="inlineStr">
        <is>
          <t>se_promener</t>
        </is>
      </c>
    </row>
    <row r="498">
      <c r="A498" s="30" t="inlineStr">
        <is>
          <t>feuilles</t>
        </is>
      </c>
      <c r="B498" s="26">
        <f>IFERROR(INDEX(Mots!$B:$B,MATCH($A498,Mots!$A:$A,0)),"introuvable")</f>
        <v/>
      </c>
      <c r="C498" s="30" t="inlineStr">
        <is>
          <t>aliment</t>
        </is>
      </c>
      <c r="I498" s="30" t="inlineStr">
        <is>
          <t>dehors</t>
        </is>
      </c>
      <c r="N498" s="30" t="inlineStr">
        <is>
          <t>se_promener</t>
        </is>
      </c>
    </row>
    <row r="499">
      <c r="A499" s="30" t="inlineStr">
        <is>
          <t>herbe</t>
        </is>
      </c>
      <c r="B499" s="26">
        <f>IFERROR(INDEX(Mots!$B:$B,MATCH($A499,Mots!$A:$A,0)),"introuvable")</f>
        <v/>
      </c>
      <c r="I499" s="30" t="inlineStr">
        <is>
          <t>dehors</t>
        </is>
      </c>
      <c r="N499" s="30" t="inlineStr">
        <is>
          <t>se_promener</t>
        </is>
      </c>
    </row>
    <row r="500">
      <c r="A500" s="30" t="inlineStr">
        <is>
          <t>velo</t>
        </is>
      </c>
      <c r="B500" s="26">
        <f>IFERROR(INDEX(Mots!$B:$B,MATCH($A500,Mots!$A:$A,0)),"introuvable")</f>
        <v/>
      </c>
      <c r="C500" s="30" t="inlineStr">
        <is>
          <t>vehicule</t>
        </is>
      </c>
      <c r="I500" s="30" t="inlineStr">
        <is>
          <t>voiture</t>
        </is>
      </c>
      <c r="N500" s="30" t="inlineStr">
        <is>
          <t>se_deplacer</t>
        </is>
      </c>
    </row>
    <row r="501">
      <c r="A501" s="30" t="inlineStr">
        <is>
          <t>moto</t>
        </is>
      </c>
      <c r="B501" s="26">
        <f>IFERROR(INDEX(Mots!$B:$B,MATCH($A501,Mots!$A:$A,0)),"introuvable")</f>
        <v/>
      </c>
      <c r="C501" s="30" t="inlineStr">
        <is>
          <t>vehicule</t>
        </is>
      </c>
      <c r="I501" s="30" t="inlineStr">
        <is>
          <t>voiture</t>
        </is>
      </c>
      <c r="N501" s="30" t="inlineStr">
        <is>
          <t>se_deplacer</t>
        </is>
      </c>
    </row>
    <row r="502">
      <c r="A502" s="30" t="inlineStr">
        <is>
          <t>voiture</t>
        </is>
      </c>
      <c r="B502" s="26">
        <f>IFERROR(INDEX(Mots!$B:$B,MATCH($A502,Mots!$A:$A,0)),"introuvable")</f>
        <v/>
      </c>
      <c r="C502" s="30" t="inlineStr">
        <is>
          <t>vehicule</t>
        </is>
      </c>
      <c r="I502" s="30" t="inlineStr">
        <is>
          <t>voiture</t>
        </is>
      </c>
      <c r="N502" s="30" t="inlineStr">
        <is>
          <t>se_deplacer</t>
        </is>
      </c>
    </row>
    <row r="503">
      <c r="A503" s="30" t="inlineStr">
        <is>
          <t>pickup</t>
        </is>
      </c>
      <c r="B503" s="26">
        <f>IFERROR(INDEX(Mots!$B:$B,MATCH($A503,Mots!$A:$A,0)),"introuvable")</f>
        <v/>
      </c>
      <c r="C503" s="30" t="inlineStr">
        <is>
          <t>vehicule</t>
        </is>
      </c>
      <c r="I503" s="30" t="inlineStr">
        <is>
          <t>voiture</t>
        </is>
      </c>
      <c r="N503" s="30" t="inlineStr">
        <is>
          <t>se_deplacer</t>
        </is>
      </c>
    </row>
    <row r="504">
      <c r="A504" s="30" t="inlineStr">
        <is>
          <t>car_postal</t>
        </is>
      </c>
      <c r="B504" s="26">
        <f>IFERROR(INDEX(Mots!$B:$B,MATCH($A504,Mots!$A:$A,0)),"introuvable")</f>
        <v/>
      </c>
      <c r="C504" s="30" t="inlineStr">
        <is>
          <t>vehicule</t>
        </is>
      </c>
      <c r="I504" s="30" t="inlineStr">
        <is>
          <t>voiture</t>
        </is>
      </c>
      <c r="N504" s="30" t="inlineStr">
        <is>
          <t>se_deplacer</t>
        </is>
      </c>
    </row>
    <row r="505">
      <c r="A505" s="30" t="inlineStr">
        <is>
          <t>camion</t>
        </is>
      </c>
      <c r="B505" s="26">
        <f>IFERROR(INDEX(Mots!$B:$B,MATCH($A505,Mots!$A:$A,0)),"introuvable")</f>
        <v/>
      </c>
      <c r="C505" s="30" t="inlineStr">
        <is>
          <t>vehicule</t>
        </is>
      </c>
      <c r="I505" s="30" t="inlineStr">
        <is>
          <t>voiture</t>
        </is>
      </c>
      <c r="N505" s="30" t="inlineStr">
        <is>
          <t>se_deplacer</t>
        </is>
      </c>
    </row>
    <row r="506">
      <c r="A506" s="30" t="inlineStr">
        <is>
          <t>tracteur</t>
        </is>
      </c>
      <c r="B506" s="26">
        <f>IFERROR(INDEX(Mots!$B:$B,MATCH($A506,Mots!$A:$A,0)),"introuvable")</f>
        <v/>
      </c>
      <c r="C506" s="30" t="inlineStr">
        <is>
          <t>vehicule</t>
        </is>
      </c>
      <c r="I506" s="30" t="inlineStr">
        <is>
          <t>voiture</t>
        </is>
      </c>
      <c r="N506" s="30" t="inlineStr">
        <is>
          <t>se_deplacer</t>
        </is>
      </c>
    </row>
    <row r="507">
      <c r="A507" s="30" t="inlineStr">
        <is>
          <t>train</t>
        </is>
      </c>
      <c r="B507" s="26">
        <f>IFERROR(INDEX(Mots!$B:$B,MATCH($A507,Mots!$A:$A,0)),"introuvable")</f>
        <v/>
      </c>
      <c r="C507" s="30" t="inlineStr">
        <is>
          <t>vehicule</t>
        </is>
      </c>
      <c r="I507" s="30" t="inlineStr">
        <is>
          <t>voiture</t>
        </is>
      </c>
      <c r="N507" s="30" t="inlineStr">
        <is>
          <t>se_deplacer</t>
        </is>
      </c>
    </row>
    <row r="508">
      <c r="A508" s="30" t="inlineStr">
        <is>
          <t>route</t>
        </is>
      </c>
      <c r="B508" s="26">
        <f>IFERROR(INDEX(Mots!$B:$B,MATCH($A508,Mots!$A:$A,0)),"introuvable")</f>
        <v/>
      </c>
      <c r="C508" s="30" t="inlineStr">
        <is>
          <t>vehicule</t>
        </is>
      </c>
      <c r="I508" s="30" t="inlineStr">
        <is>
          <t>voiture</t>
        </is>
      </c>
      <c r="N508" s="30" t="inlineStr">
        <is>
          <t>se_deplacer</t>
        </is>
      </c>
    </row>
    <row r="509">
      <c r="A509" s="30" t="inlineStr">
        <is>
          <t>feux_circulation</t>
        </is>
      </c>
      <c r="B509" s="26">
        <f>IFERROR(INDEX(Mots!$B:$B,MATCH($A509,Mots!$A:$A,0)),"introuvable")</f>
        <v/>
      </c>
      <c r="I509" s="30" t="inlineStr">
        <is>
          <t>voiture</t>
        </is>
      </c>
      <c r="N509" s="30" t="inlineStr">
        <is>
          <t>se_deplacer</t>
        </is>
      </c>
    </row>
    <row r="510">
      <c r="A510" s="30" t="inlineStr">
        <is>
          <t>avion</t>
        </is>
      </c>
      <c r="B510" s="26">
        <f>IFERROR(INDEX(Mots!$B:$B,MATCH($A510,Mots!$A:$A,0)),"introuvable")</f>
        <v/>
      </c>
      <c r="C510" s="30" t="inlineStr">
        <is>
          <t>appareil</t>
        </is>
      </c>
      <c r="N510" s="30" t="inlineStr">
        <is>
          <t>se_deplacer</t>
        </is>
      </c>
    </row>
    <row r="511">
      <c r="A511" s="30" t="inlineStr">
        <is>
          <t>helicoptere</t>
        </is>
      </c>
      <c r="B511" s="26">
        <f>IFERROR(INDEX(Mots!$B:$B,MATCH($A511,Mots!$A:$A,0)),"introuvable")</f>
        <v/>
      </c>
      <c r="C511" s="30" t="inlineStr">
        <is>
          <t>appareil</t>
        </is>
      </c>
      <c r="N511" s="30" t="inlineStr">
        <is>
          <t>se_deplacer</t>
        </is>
      </c>
    </row>
    <row r="512">
      <c r="A512" s="30" t="inlineStr">
        <is>
          <t>bateau</t>
        </is>
      </c>
      <c r="B512" s="26">
        <f>IFERROR(INDEX(Mots!$B:$B,MATCH($A512,Mots!$A:$A,0)),"introuvable")</f>
        <v/>
      </c>
      <c r="C512" s="30" t="inlineStr">
        <is>
          <t>vehicule</t>
        </is>
      </c>
      <c r="N512" s="30" t="inlineStr">
        <is>
          <t>se_deplacer</t>
        </is>
      </c>
    </row>
    <row r="513">
      <c r="A513" s="30" t="inlineStr">
        <is>
          <t>roti_de_boeuf</t>
        </is>
      </c>
      <c r="B513" s="26">
        <f>IFERROR(INDEX(Mots!$B:$B,MATCH($A513,Mots!$A:$A,0)),"introuvable")</f>
        <v/>
      </c>
      <c r="C513" s="30" t="inlineStr">
        <is>
          <t>aliment</t>
        </is>
      </c>
      <c r="I513" s="30" t="inlineStr">
        <is>
          <t>cuisine</t>
        </is>
      </c>
      <c r="N513" s="30" t="inlineStr">
        <is>
          <t>manger_boire</t>
        </is>
      </c>
      <c r="O513" s="30" t="inlineStr">
        <is>
          <t>cuisiner</t>
        </is>
      </c>
    </row>
    <row r="514">
      <c r="A514" s="30" t="inlineStr">
        <is>
          <t>boeuf</t>
        </is>
      </c>
      <c r="B514" s="26">
        <f>IFERROR(INDEX(Mots!$B:$B,MATCH($A514,Mots!$A:$A,0)),"introuvable")</f>
        <v/>
      </c>
      <c r="C514" s="30" t="inlineStr">
        <is>
          <t>aliment</t>
        </is>
      </c>
      <c r="I514" s="30" t="inlineStr">
        <is>
          <t>cuisine</t>
        </is>
      </c>
      <c r="N514" s="30" t="inlineStr">
        <is>
          <t>manger_boire</t>
        </is>
      </c>
    </row>
    <row r="515">
      <c r="A515" s="30" t="inlineStr">
        <is>
          <t>steack_de_boeuf_frites</t>
        </is>
      </c>
      <c r="B515" s="26">
        <f>IFERROR(INDEX(Mots!$B:$B,MATCH($A515,Mots!$A:$A,0)),"introuvable")</f>
        <v/>
      </c>
      <c r="C515" s="30" t="inlineStr">
        <is>
          <t>aliment</t>
        </is>
      </c>
      <c r="I515" s="30" t="inlineStr">
        <is>
          <t>cuisine</t>
        </is>
      </c>
      <c r="N515" s="30" t="inlineStr">
        <is>
          <t>manger_boire</t>
        </is>
      </c>
      <c r="O515" s="30" t="inlineStr">
        <is>
          <t>cuisiner</t>
        </is>
      </c>
    </row>
    <row r="516">
      <c r="A516" s="30" t="inlineStr">
        <is>
          <t>porc</t>
        </is>
      </c>
      <c r="B516" s="26">
        <f>IFERROR(INDEX(Mots!$B:$B,MATCH($A516,Mots!$A:$A,0)),"introuvable")</f>
        <v/>
      </c>
      <c r="C516" s="30" t="inlineStr">
        <is>
          <t>aliment</t>
        </is>
      </c>
      <c r="I516" s="30" t="inlineStr">
        <is>
          <t>cuisine</t>
        </is>
      </c>
      <c r="N516" s="30" t="inlineStr">
        <is>
          <t>manger_boire</t>
        </is>
      </c>
    </row>
    <row r="517">
      <c r="A517" s="30" t="inlineStr">
        <is>
          <t>filet_mignon_de_porc</t>
        </is>
      </c>
      <c r="B517" s="26">
        <f>IFERROR(INDEX(Mots!$B:$B,MATCH($A517,Mots!$A:$A,0)),"introuvable")</f>
        <v/>
      </c>
      <c r="C517" s="30" t="inlineStr">
        <is>
          <t>aliment</t>
        </is>
      </c>
      <c r="I517" s="30" t="inlineStr">
        <is>
          <t>cuisine</t>
        </is>
      </c>
      <c r="N517" s="30" t="inlineStr">
        <is>
          <t>manger_boire</t>
        </is>
      </c>
      <c r="O517" s="30" t="inlineStr">
        <is>
          <t>cuisiner</t>
        </is>
      </c>
    </row>
    <row r="518">
      <c r="A518" s="30" t="inlineStr">
        <is>
          <t>roti_de_porc</t>
        </is>
      </c>
      <c r="B518" s="26">
        <f>IFERROR(INDEX(Mots!$B:$B,MATCH($A518,Mots!$A:$A,0)),"introuvable")</f>
        <v/>
      </c>
      <c r="C518" s="30" t="inlineStr">
        <is>
          <t>aliment</t>
        </is>
      </c>
      <c r="I518" s="30" t="inlineStr">
        <is>
          <t>cuisine</t>
        </is>
      </c>
      <c r="N518" s="30" t="inlineStr">
        <is>
          <t>manger_boire</t>
        </is>
      </c>
      <c r="O518" s="30" t="inlineStr">
        <is>
          <t>cuisiner</t>
        </is>
      </c>
    </row>
    <row r="519">
      <c r="A519" s="30" t="inlineStr">
        <is>
          <t>cotelette_de_porc</t>
        </is>
      </c>
      <c r="B519" s="26">
        <f>IFERROR(INDEX(Mots!$B:$B,MATCH($A519,Mots!$A:$A,0)),"introuvable")</f>
        <v/>
      </c>
      <c r="C519" s="30" t="inlineStr">
        <is>
          <t>aliment</t>
        </is>
      </c>
      <c r="I519" s="30" t="inlineStr">
        <is>
          <t>cuisine</t>
        </is>
      </c>
      <c r="N519" s="30" t="inlineStr">
        <is>
          <t>manger_boire</t>
        </is>
      </c>
      <c r="O519" s="30" t="inlineStr">
        <is>
          <t>cuisiner</t>
        </is>
      </c>
    </row>
    <row r="520">
      <c r="A520" s="30" t="inlineStr">
        <is>
          <t>poulet</t>
        </is>
      </c>
      <c r="B520" s="26">
        <f>IFERROR(INDEX(Mots!$B:$B,MATCH($A520,Mots!$A:$A,0)),"introuvable")</f>
        <v/>
      </c>
      <c r="C520" s="30" t="inlineStr">
        <is>
          <t>aliment</t>
        </is>
      </c>
      <c r="I520" s="30" t="inlineStr">
        <is>
          <t>cuisine</t>
        </is>
      </c>
      <c r="N520" s="30" t="inlineStr">
        <is>
          <t>manger_boire</t>
        </is>
      </c>
    </row>
    <row r="521">
      <c r="A521" s="30" t="inlineStr">
        <is>
          <t>blanc_de_poulet</t>
        </is>
      </c>
      <c r="B521" s="26">
        <f>IFERROR(INDEX(Mots!$B:$B,MATCH($A521,Mots!$A:$A,0)),"introuvable")</f>
        <v/>
      </c>
      <c r="I521" s="30" t="inlineStr">
        <is>
          <t>cuisine</t>
        </is>
      </c>
      <c r="N521" s="30" t="inlineStr">
        <is>
          <t>manger_boire</t>
        </is>
      </c>
      <c r="O521" s="30" t="inlineStr">
        <is>
          <t>cuisiner</t>
        </is>
      </c>
    </row>
    <row r="522">
      <c r="A522" s="30" t="inlineStr">
        <is>
          <t>cuisse_de_poulet</t>
        </is>
      </c>
      <c r="B522" s="26">
        <f>IFERROR(INDEX(Mots!$B:$B,MATCH($A522,Mots!$A:$A,0)),"introuvable")</f>
        <v/>
      </c>
      <c r="I522" s="30" t="inlineStr">
        <is>
          <t>cuisine</t>
        </is>
      </c>
      <c r="N522" s="30" t="inlineStr">
        <is>
          <t>manger_boire</t>
        </is>
      </c>
      <c r="O522" s="30" t="inlineStr">
        <is>
          <t>cuisiner</t>
        </is>
      </c>
    </row>
    <row r="523">
      <c r="A523" s="30" t="inlineStr">
        <is>
          <t>poulet_au_curry</t>
        </is>
      </c>
      <c r="B523" s="26">
        <f>IFERROR(INDEX(Mots!$B:$B,MATCH($A523,Mots!$A:$A,0)),"introuvable")</f>
        <v/>
      </c>
      <c r="C523" s="30" t="inlineStr">
        <is>
          <t>aliment</t>
        </is>
      </c>
      <c r="I523" s="30" t="inlineStr">
        <is>
          <t>cuisine</t>
        </is>
      </c>
      <c r="N523" s="30" t="inlineStr">
        <is>
          <t>manger_boire</t>
        </is>
      </c>
      <c r="O523" s="30" t="inlineStr">
        <is>
          <t>cuisiner</t>
        </is>
      </c>
    </row>
    <row r="524">
      <c r="A524" s="30" t="inlineStr">
        <is>
          <t>dacia_duster</t>
        </is>
      </c>
      <c r="B524" s="26">
        <f>IFERROR(INDEX(Mots!$B:$B,MATCH($A524,Mots!$A:$A,0)),"introuvable")</f>
        <v/>
      </c>
      <c r="C524" s="30" t="inlineStr">
        <is>
          <t>vehicule</t>
        </is>
      </c>
      <c r="E524" s="30" t="inlineStr">
        <is>
          <t>voiture</t>
        </is>
      </c>
      <c r="I524" s="30" t="inlineStr">
        <is>
          <t>voiture</t>
        </is>
      </c>
      <c r="N524" s="30" t="inlineStr">
        <is>
          <t>se_deplacer</t>
        </is>
      </c>
    </row>
    <row r="525">
      <c r="A525" s="30" t="inlineStr">
        <is>
          <t>pare_brise</t>
        </is>
      </c>
      <c r="B525" s="26">
        <f>IFERROR(INDEX(Mots!$B:$B,MATCH($A525,Mots!$A:$A,0)),"introuvable")</f>
        <v/>
      </c>
      <c r="C525" s="30" t="inlineStr">
        <is>
          <t>vehicule</t>
        </is>
      </c>
      <c r="E525" s="30" t="inlineStr">
        <is>
          <t>voiture</t>
        </is>
      </c>
      <c r="I525" s="30" t="inlineStr">
        <is>
          <t>voiture</t>
        </is>
      </c>
      <c r="N525" s="30" t="inlineStr">
        <is>
          <t>se_deplacer</t>
        </is>
      </c>
    </row>
    <row r="526">
      <c r="A526" s="30" t="inlineStr">
        <is>
          <t>essuie_glace</t>
        </is>
      </c>
      <c r="B526" s="26">
        <f>IFERROR(INDEX(Mots!$B:$B,MATCH($A526,Mots!$A:$A,0)),"introuvable")</f>
        <v/>
      </c>
      <c r="E526" s="30" t="inlineStr">
        <is>
          <t>voiture</t>
        </is>
      </c>
      <c r="I526" s="30" t="inlineStr">
        <is>
          <t>voiture</t>
        </is>
      </c>
      <c r="N526" s="30" t="inlineStr">
        <is>
          <t>se_deplacer</t>
        </is>
      </c>
    </row>
    <row r="527">
      <c r="A527" s="30" t="inlineStr">
        <is>
          <t>capot</t>
        </is>
      </c>
      <c r="B527" s="26">
        <f>IFERROR(INDEX(Mots!$B:$B,MATCH($A527,Mots!$A:$A,0)),"introuvable")</f>
        <v/>
      </c>
      <c r="C527" s="30" t="inlineStr">
        <is>
          <t>vehicule</t>
        </is>
      </c>
      <c r="E527" s="30" t="inlineStr">
        <is>
          <t>voiture</t>
        </is>
      </c>
      <c r="I527" s="30" t="inlineStr">
        <is>
          <t>voiture</t>
        </is>
      </c>
      <c r="N527" s="30" t="inlineStr">
        <is>
          <t>se_deplacer</t>
        </is>
      </c>
    </row>
    <row r="528">
      <c r="A528" s="30" t="inlineStr">
        <is>
          <t>pv_aile</t>
        </is>
      </c>
      <c r="B528" s="26">
        <f>IFERROR(INDEX(Mots!$B:$B,MATCH($A528,Mots!$A:$A,0)),"introuvable")</f>
        <v/>
      </c>
      <c r="E528" s="30" t="inlineStr">
        <is>
          <t>voiture</t>
        </is>
      </c>
      <c r="I528" s="30" t="inlineStr">
        <is>
          <t>voiture</t>
        </is>
      </c>
      <c r="N528" s="30" t="inlineStr">
        <is>
          <t>se_deplacer</t>
        </is>
      </c>
    </row>
    <row r="529">
      <c r="A529" s="30" t="inlineStr">
        <is>
          <t>pare_chocs</t>
        </is>
      </c>
      <c r="B529" s="26">
        <f>IFERROR(INDEX(Mots!$B:$B,MATCH($A529,Mots!$A:$A,0)),"introuvable")</f>
        <v/>
      </c>
      <c r="C529" s="30" t="inlineStr">
        <is>
          <t>vehicule</t>
        </is>
      </c>
      <c r="E529" s="30" t="inlineStr">
        <is>
          <t>voiture</t>
        </is>
      </c>
      <c r="I529" s="30" t="inlineStr">
        <is>
          <t>voiture</t>
        </is>
      </c>
      <c r="N529" s="30" t="inlineStr">
        <is>
          <t>se_deplacer</t>
        </is>
      </c>
    </row>
    <row r="530">
      <c r="A530" s="30" t="inlineStr">
        <is>
          <t>jantes</t>
        </is>
      </c>
      <c r="B530" s="26">
        <f>IFERROR(INDEX(Mots!$B:$B,MATCH($A530,Mots!$A:$A,0)),"introuvable")</f>
        <v/>
      </c>
      <c r="C530" s="30" t="inlineStr">
        <is>
          <t>matiere</t>
        </is>
      </c>
      <c r="E530" s="30" t="inlineStr">
        <is>
          <t>voiture</t>
        </is>
      </c>
      <c r="I530" s="30" t="inlineStr">
        <is>
          <t>voiture</t>
        </is>
      </c>
      <c r="N530" s="30" t="inlineStr">
        <is>
          <t>se_deplacer</t>
        </is>
      </c>
    </row>
    <row r="531">
      <c r="A531" s="30" t="inlineStr">
        <is>
          <t>pneus</t>
        </is>
      </c>
      <c r="B531" s="26">
        <f>IFERROR(INDEX(Mots!$B:$B,MATCH($A531,Mots!$A:$A,0)),"introuvable")</f>
        <v/>
      </c>
      <c r="E531" s="30" t="inlineStr">
        <is>
          <t>voiture</t>
        </is>
      </c>
      <c r="I531" s="30" t="inlineStr">
        <is>
          <t>voiture</t>
        </is>
      </c>
      <c r="N531" s="30" t="inlineStr">
        <is>
          <t>se_deplacer</t>
        </is>
      </c>
    </row>
    <row r="532">
      <c r="A532" s="30" t="inlineStr">
        <is>
          <t>portiere</t>
        </is>
      </c>
      <c r="B532" s="26">
        <f>IFERROR(INDEX(Mots!$B:$B,MATCH($A532,Mots!$A:$A,0)),"introuvable")</f>
        <v/>
      </c>
      <c r="E532" s="30" t="inlineStr">
        <is>
          <t>voiture</t>
        </is>
      </c>
      <c r="I532" s="30" t="inlineStr">
        <is>
          <t>voiture</t>
        </is>
      </c>
      <c r="N532" s="30" t="inlineStr">
        <is>
          <t>se_deplacer</t>
        </is>
      </c>
    </row>
    <row r="533">
      <c r="A533" s="30" t="inlineStr">
        <is>
          <t>clignotant</t>
        </is>
      </c>
      <c r="B533" s="26">
        <f>IFERROR(INDEX(Mots!$B:$B,MATCH($A533,Mots!$A:$A,0)),"introuvable")</f>
        <v/>
      </c>
      <c r="E533" s="30" t="inlineStr">
        <is>
          <t>voiture</t>
        </is>
      </c>
      <c r="I533" s="30" t="inlineStr">
        <is>
          <t>voiture</t>
        </is>
      </c>
      <c r="N533" s="30" t="inlineStr">
        <is>
          <t>se_deplacer</t>
        </is>
      </c>
    </row>
    <row r="534">
      <c r="A534" s="30" t="inlineStr">
        <is>
          <t>klaxon</t>
        </is>
      </c>
      <c r="B534" s="26">
        <f>IFERROR(INDEX(Mots!$B:$B,MATCH($A534,Mots!$A:$A,0)),"introuvable")</f>
        <v/>
      </c>
      <c r="C534" s="30" t="inlineStr">
        <is>
          <t>objet</t>
        </is>
      </c>
      <c r="E534" s="30" t="inlineStr">
        <is>
          <t>voiture</t>
        </is>
      </c>
      <c r="I534" s="30" t="inlineStr">
        <is>
          <t>voiture</t>
        </is>
      </c>
      <c r="N534" s="30" t="inlineStr">
        <is>
          <t>se_deplacer</t>
        </is>
      </c>
    </row>
    <row r="535">
      <c r="A535" s="30" t="inlineStr">
        <is>
          <t>phare</t>
        </is>
      </c>
      <c r="B535" s="26">
        <f>IFERROR(INDEX(Mots!$B:$B,MATCH($A535,Mots!$A:$A,0)),"introuvable")</f>
        <v/>
      </c>
      <c r="E535" s="30" t="inlineStr">
        <is>
          <t>voiture</t>
        </is>
      </c>
      <c r="I535" s="30" t="inlineStr">
        <is>
          <t>voiture</t>
        </is>
      </c>
      <c r="N535" s="30" t="inlineStr">
        <is>
          <t>se_deplacer</t>
        </is>
      </c>
    </row>
    <row r="536">
      <c r="A536" s="30" t="inlineStr">
        <is>
          <t>retroviseur</t>
        </is>
      </c>
      <c r="B536" s="26">
        <f>IFERROR(INDEX(Mots!$B:$B,MATCH($A536,Mots!$A:$A,0)),"introuvable")</f>
        <v/>
      </c>
      <c r="E536" s="30" t="inlineStr">
        <is>
          <t>voiture</t>
        </is>
      </c>
      <c r="I536" s="30" t="inlineStr">
        <is>
          <t>voiture</t>
        </is>
      </c>
      <c r="N536" s="30" t="inlineStr">
        <is>
          <t>se_deplacer</t>
        </is>
      </c>
    </row>
    <row r="537">
      <c r="A537" s="30" t="inlineStr">
        <is>
          <t>siege</t>
        </is>
      </c>
      <c r="B537" s="26">
        <f>IFERROR(INDEX(Mots!$B:$B,MATCH($A537,Mots!$A:$A,0)),"introuvable")</f>
        <v/>
      </c>
      <c r="C537" s="30" t="inlineStr">
        <is>
          <t>meuble</t>
        </is>
      </c>
      <c r="E537" s="30" t="inlineStr">
        <is>
          <t>voiture</t>
        </is>
      </c>
      <c r="I537" s="30" t="inlineStr">
        <is>
          <t>voiture</t>
        </is>
      </c>
      <c r="N537" s="30" t="inlineStr">
        <is>
          <t>se_deplacer</t>
        </is>
      </c>
    </row>
    <row r="538">
      <c r="A538" s="30" t="inlineStr">
        <is>
          <t>volant</t>
        </is>
      </c>
      <c r="B538" s="26">
        <f>IFERROR(INDEX(Mots!$B:$B,MATCH($A538,Mots!$A:$A,0)),"introuvable")</f>
        <v/>
      </c>
      <c r="E538" s="30" t="inlineStr">
        <is>
          <t>voiture</t>
        </is>
      </c>
      <c r="I538" s="30" t="inlineStr">
        <is>
          <t>voiture</t>
        </is>
      </c>
      <c r="N538" s="30" t="inlineStr">
        <is>
          <t>se_deplacer</t>
        </is>
      </c>
    </row>
    <row r="539">
      <c r="A539" s="30" t="inlineStr">
        <is>
          <t>tableau_de_bord</t>
        </is>
      </c>
      <c r="B539" s="26">
        <f>IFERROR(INDEX(Mots!$B:$B,MATCH($A539,Mots!$A:$A,0)),"introuvable")</f>
        <v/>
      </c>
      <c r="C539" s="30" t="inlineStr">
        <is>
          <t>vehicule</t>
        </is>
      </c>
      <c r="E539" s="30" t="inlineStr">
        <is>
          <t>voiture</t>
        </is>
      </c>
      <c r="I539" s="30" t="inlineStr">
        <is>
          <t>voiture</t>
        </is>
      </c>
      <c r="N539" s="30" t="inlineStr">
        <is>
          <t>se_deplacer</t>
        </is>
      </c>
    </row>
    <row r="540">
      <c r="A540" s="30" t="inlineStr">
        <is>
          <t>coffre</t>
        </is>
      </c>
      <c r="B540" s="26">
        <f>IFERROR(INDEX(Mots!$B:$B,MATCH($A540,Mots!$A:$A,0)),"introuvable")</f>
        <v/>
      </c>
      <c r="E540" s="30" t="inlineStr">
        <is>
          <t>voiture</t>
        </is>
      </c>
      <c r="I540" s="30" t="inlineStr">
        <is>
          <t>voiture</t>
        </is>
      </c>
      <c r="N540" s="30" t="inlineStr">
        <is>
          <t>se_deplacer</t>
        </is>
      </c>
    </row>
    <row r="541">
      <c r="A541" s="30" t="inlineStr">
        <is>
          <t>vitesse</t>
        </is>
      </c>
      <c r="B541" s="26">
        <f>IFERROR(INDEX(Mots!$B:$B,MATCH($A541,Mots!$A:$A,0)),"introuvable")</f>
        <v/>
      </c>
      <c r="I541" s="30" t="inlineStr">
        <is>
          <t>voiture</t>
        </is>
      </c>
      <c r="N541" s="30" t="inlineStr">
        <is>
          <t>se_deplacer</t>
        </is>
      </c>
      <c r="O541" s="30" t="inlineStr">
        <is>
          <t>bricoler</t>
        </is>
      </c>
    </row>
    <row r="542">
      <c r="A542" s="30" t="inlineStr">
        <is>
          <t>mes_enfants</t>
        </is>
      </c>
      <c r="B542" s="26">
        <f>IFERROR(INDEX(Mots!$B:$B,MATCH($A542,Mots!$A:$A,0)),"introuvable")</f>
        <v/>
      </c>
      <c r="W542" s="30" t="inlineStr">
        <is>
          <t>famille</t>
        </is>
      </c>
    </row>
    <row r="543">
      <c r="A543" s="30" t="inlineStr">
        <is>
          <t>r_mathilde</t>
        </is>
      </c>
      <c r="B543" s="26">
        <f>IFERROR(INDEX(Mots!$B:$B,MATCH($A543,Mots!$A:$A,0)),"introuvable")</f>
        <v/>
      </c>
      <c r="E543" s="30" t="inlineStr">
        <is>
          <t>instrument</t>
        </is>
      </c>
      <c r="W543" s="30" t="inlineStr">
        <is>
          <t>famille</t>
        </is>
      </c>
      <c r="X543" s="30" t="inlineStr">
        <is>
          <t>metier</t>
        </is>
      </c>
    </row>
    <row r="544">
      <c r="A544" s="30" t="inlineStr">
        <is>
          <t>r_julien</t>
        </is>
      </c>
      <c r="B544" s="26">
        <f>IFERROR(INDEX(Mots!$B:$B,MATCH($A544,Mots!$A:$A,0)),"introuvable")</f>
        <v/>
      </c>
      <c r="E544" s="30" t="inlineStr">
        <is>
          <t>instrument</t>
        </is>
      </c>
      <c r="W544" s="30" t="inlineStr">
        <is>
          <t>famille</t>
        </is>
      </c>
      <c r="X544" s="30" t="inlineStr">
        <is>
          <t>metier</t>
        </is>
      </c>
    </row>
    <row r="545">
      <c r="A545" s="30" t="inlineStr">
        <is>
          <t>r_emma</t>
        </is>
      </c>
      <c r="B545" s="26">
        <f>IFERROR(INDEX(Mots!$B:$B,MATCH($A545,Mots!$A:$A,0)),"introuvable")</f>
        <v/>
      </c>
      <c r="W545" s="30" t="inlineStr">
        <is>
          <t>famille</t>
        </is>
      </c>
      <c r="X545" s="30" t="inlineStr">
        <is>
          <t>metier</t>
        </is>
      </c>
    </row>
    <row r="546">
      <c r="A546" s="30" t="inlineStr">
        <is>
          <t>r_loic</t>
        </is>
      </c>
      <c r="B546" s="26">
        <f>IFERROR(INDEX(Mots!$B:$B,MATCH($A546,Mots!$A:$A,0)),"introuvable")</f>
        <v/>
      </c>
      <c r="W546" s="30" t="inlineStr">
        <is>
          <t>famille</t>
        </is>
      </c>
      <c r="X546" s="30" t="inlineStr">
        <is>
          <t>metier</t>
        </is>
      </c>
    </row>
    <row r="547">
      <c r="A547" s="30" t="inlineStr">
        <is>
          <t>r_emile</t>
        </is>
      </c>
      <c r="B547" s="26">
        <f>IFERROR(INDEX(Mots!$B:$B,MATCH($A547,Mots!$A:$A,0)),"introuvable")</f>
        <v/>
      </c>
      <c r="W547" s="30" t="inlineStr">
        <is>
          <t>metier</t>
        </is>
      </c>
      <c r="X547" s="30" t="inlineStr">
        <is>
          <t>connaissance</t>
        </is>
      </c>
    </row>
    <row r="548">
      <c r="A548" s="30" t="inlineStr">
        <is>
          <t>r_eva</t>
        </is>
      </c>
      <c r="B548" s="26">
        <f>IFERROR(INDEX(Mots!$B:$B,MATCH($A548,Mots!$A:$A,0)),"introuvable")</f>
        <v/>
      </c>
      <c r="E548" s="30" t="inlineStr">
        <is>
          <t>instrument</t>
        </is>
      </c>
      <c r="W548" s="30" t="inlineStr">
        <is>
          <t>connaissance</t>
        </is>
      </c>
    </row>
    <row r="549">
      <c r="A549" s="30" t="inlineStr">
        <is>
          <t>r_paul</t>
        </is>
      </c>
      <c r="B549" s="26">
        <f>IFERROR(INDEX(Mots!$B:$B,MATCH($A549,Mots!$A:$A,0)),"introuvable")</f>
        <v/>
      </c>
      <c r="W549" s="30" t="inlineStr">
        <is>
          <t>metier</t>
        </is>
      </c>
      <c r="X549" s="30" t="inlineStr">
        <is>
          <t>connaissance</t>
        </is>
      </c>
    </row>
    <row r="550">
      <c r="A550" s="30" t="inlineStr">
        <is>
          <t>n_claudia</t>
        </is>
      </c>
      <c r="B550" s="26">
        <f>IFERROR(INDEX(Mots!$B:$B,MATCH($A550,Mots!$A:$A,0)),"introuvable")</f>
        <v/>
      </c>
      <c r="W550" s="30" t="inlineStr">
        <is>
          <t>famille</t>
        </is>
      </c>
    </row>
    <row r="551">
      <c r="A551" s="30" t="inlineStr">
        <is>
          <t>n_patrick</t>
        </is>
      </c>
      <c r="B551" s="26">
        <f>IFERROR(INDEX(Mots!$B:$B,MATCH($A551,Mots!$A:$A,0)),"introuvable")</f>
        <v/>
      </c>
      <c r="W551" s="30" t="inlineStr">
        <is>
          <t>famille</t>
        </is>
      </c>
    </row>
    <row r="552">
      <c r="A552" s="30" t="inlineStr">
        <is>
          <t>r_olivier</t>
        </is>
      </c>
      <c r="B552" s="26">
        <f>IFERROR(INDEX(Mots!$B:$B,MATCH($A552,Mots!$A:$A,0)),"introuvable")</f>
        <v/>
      </c>
      <c r="E552" s="30" t="inlineStr">
        <is>
          <t>instrument</t>
        </is>
      </c>
      <c r="W552" s="30" t="inlineStr">
        <is>
          <t>famille</t>
        </is>
      </c>
      <c r="X552" s="30" t="inlineStr">
        <is>
          <t>metier</t>
        </is>
      </c>
    </row>
    <row r="553">
      <c r="A553" s="30" t="inlineStr">
        <is>
          <t>e_barbara</t>
        </is>
      </c>
      <c r="B553" s="26">
        <f>IFERROR(INDEX(Mots!$B:$B,MATCH($A553,Mots!$A:$A,0)),"introuvable")</f>
        <v/>
      </c>
      <c r="W553" s="30" t="inlineStr">
        <is>
          <t>famille</t>
        </is>
      </c>
    </row>
    <row r="554">
      <c r="A554" s="30" t="inlineStr">
        <is>
          <t>r_sandrine</t>
        </is>
      </c>
      <c r="B554" s="26">
        <f>IFERROR(INDEX(Mots!$B:$B,MATCH($A554,Mots!$A:$A,0)),"introuvable")</f>
        <v/>
      </c>
      <c r="W554" s="30" t="inlineStr">
        <is>
          <t>famille</t>
        </is>
      </c>
      <c r="X554" s="30" t="inlineStr">
        <is>
          <t>metier</t>
        </is>
      </c>
    </row>
    <row r="555">
      <c r="A555" s="30" t="inlineStr">
        <is>
          <t>ma_generaliste</t>
        </is>
      </c>
      <c r="B555" s="26">
        <f>IFERROR(INDEX(Mots!$B:$B,MATCH($A555,Mots!$A:$A,0)),"introuvable")</f>
        <v/>
      </c>
      <c r="I555" s="30" t="inlineStr">
        <is>
          <t>sante</t>
        </is>
      </c>
      <c r="N555" s="30" t="inlineStr">
        <is>
          <t>se_soigner</t>
        </is>
      </c>
    </row>
    <row r="556">
      <c r="A556" s="30" t="inlineStr">
        <is>
          <t>mon_neurologue</t>
        </is>
      </c>
      <c r="B556" s="26">
        <f>IFERROR(INDEX(Mots!$B:$B,MATCH($A556,Mots!$A:$A,0)),"introuvable")</f>
        <v/>
      </c>
      <c r="I556" s="30" t="inlineStr">
        <is>
          <t>sante</t>
        </is>
      </c>
      <c r="N556" s="30" t="inlineStr">
        <is>
          <t>se_soigner</t>
        </is>
      </c>
    </row>
    <row r="557">
      <c r="A557" s="30" t="inlineStr">
        <is>
          <t>n_louane</t>
        </is>
      </c>
      <c r="B557" s="26">
        <f>IFERROR(INDEX(Mots!$B:$B,MATCH($A557,Mots!$A:$A,0)),"introuvable")</f>
        <v/>
      </c>
      <c r="W557" s="30" t="inlineStr">
        <is>
          <t>famille</t>
        </is>
      </c>
    </row>
    <row r="558">
      <c r="A558" s="30" t="inlineStr">
        <is>
          <t>n_melwyn</t>
        </is>
      </c>
      <c r="B558" s="26">
        <f>IFERROR(INDEX(Mots!$B:$B,MATCH($A558,Mots!$A:$A,0)),"introuvable")</f>
        <v/>
      </c>
      <c r="W558" s="30" t="inlineStr">
        <is>
          <t>famille</t>
        </is>
      </c>
    </row>
    <row r="559">
      <c r="A559" s="30" t="inlineStr">
        <is>
          <t>e_jason</t>
        </is>
      </c>
      <c r="B559" s="26">
        <f>IFERROR(INDEX(Mots!$B:$B,MATCH($A559,Mots!$A:$A,0)),"introuvable")</f>
        <v/>
      </c>
      <c r="W559" s="30" t="inlineStr">
        <is>
          <t>famille</t>
        </is>
      </c>
      <c r="X559" s="30" t="inlineStr">
        <is>
          <t>metier</t>
        </is>
      </c>
    </row>
    <row r="560">
      <c r="A560" s="30" t="inlineStr">
        <is>
          <t>n_yanis</t>
        </is>
      </c>
      <c r="B560" s="26">
        <f>IFERROR(INDEX(Mots!$B:$B,MATCH($A560,Mots!$A:$A,0)),"introuvable")</f>
        <v/>
      </c>
      <c r="W560" s="30" t="inlineStr">
        <is>
          <t>famille</t>
        </is>
      </c>
    </row>
    <row r="561">
      <c r="A561" s="30" t="inlineStr">
        <is>
          <t>e_alison</t>
        </is>
      </c>
      <c r="B561" s="26">
        <f>IFERROR(INDEX(Mots!$B:$B,MATCH($A561,Mots!$A:$A,0)),"introuvable")</f>
        <v/>
      </c>
      <c r="W561" s="30" t="inlineStr">
        <is>
          <t>famille</t>
        </is>
      </c>
    </row>
    <row r="562">
      <c r="A562" s="30" t="inlineStr">
        <is>
          <t>r_germaine</t>
        </is>
      </c>
      <c r="B562" s="26">
        <f>IFERROR(INDEX(Mots!$B:$B,MATCH($A562,Mots!$A:$A,0)),"introuvable")</f>
        <v/>
      </c>
      <c r="W562" s="30" t="inlineStr">
        <is>
          <t>famille</t>
        </is>
      </c>
    </row>
    <row r="563">
      <c r="A563" s="30" t="inlineStr">
        <is>
          <t>r_noel</t>
        </is>
      </c>
      <c r="B563" s="26">
        <f>IFERROR(INDEX(Mots!$B:$B,MATCH($A563,Mots!$A:$A,0)),"introuvable")</f>
        <v/>
      </c>
      <c r="W563" s="30" t="inlineStr">
        <is>
          <t>famille</t>
        </is>
      </c>
    </row>
    <row r="564">
      <c r="A564" s="30" t="inlineStr">
        <is>
          <t>peau</t>
        </is>
      </c>
      <c r="B564" s="26">
        <f>IFERROR(INDEX(Mots!$B:$B,MATCH($A564,Mots!$A:$A,0)),"introuvable")</f>
        <v/>
      </c>
      <c r="E564" s="30" t="inlineStr">
        <is>
          <t>corps</t>
        </is>
      </c>
      <c r="N564" s="30" t="inlineStr">
        <is>
          <t>se_soigner</t>
        </is>
      </c>
    </row>
    <row r="565">
      <c r="A565" s="30" t="inlineStr">
        <is>
          <t>voix</t>
        </is>
      </c>
      <c r="B565" s="26">
        <f>IFERROR(INDEX(Mots!$B:$B,MATCH($A565,Mots!$A:$A,0)),"introuvable")</f>
        <v/>
      </c>
      <c r="E565" s="30" t="inlineStr">
        <is>
          <t>corps</t>
        </is>
      </c>
      <c r="N565" s="30" t="inlineStr">
        <is>
          <t>se_soigner</t>
        </is>
      </c>
    </row>
    <row r="566">
      <c r="A566" s="30" t="inlineStr">
        <is>
          <t>cerveau</t>
        </is>
      </c>
      <c r="B566" s="26">
        <f>IFERROR(INDEX(Mots!$B:$B,MATCH($A566,Mots!$A:$A,0)),"introuvable")</f>
        <v/>
      </c>
      <c r="C566" s="30" t="inlineStr">
        <is>
          <t>partie_corps</t>
        </is>
      </c>
      <c r="E566" s="30" t="inlineStr">
        <is>
          <t>corps</t>
        </is>
      </c>
      <c r="N566" s="30" t="inlineStr">
        <is>
          <t>se_soigner</t>
        </is>
      </c>
    </row>
    <row r="567">
      <c r="A567" s="30" t="inlineStr">
        <is>
          <t>muscle</t>
        </is>
      </c>
      <c r="B567" s="26">
        <f>IFERROR(INDEX(Mots!$B:$B,MATCH($A567,Mots!$A:$A,0)),"introuvable")</f>
        <v/>
      </c>
      <c r="C567" s="30" t="inlineStr">
        <is>
          <t>partie_corps</t>
        </is>
      </c>
      <c r="E567" s="30" t="inlineStr">
        <is>
          <t>corps</t>
        </is>
      </c>
      <c r="N567" s="30" t="inlineStr">
        <is>
          <t>se_soigner</t>
        </is>
      </c>
    </row>
    <row r="568">
      <c r="A568" s="30" t="inlineStr">
        <is>
          <t>sang</t>
        </is>
      </c>
      <c r="B568" s="26">
        <f>IFERROR(INDEX(Mots!$B:$B,MATCH($A568,Mots!$A:$A,0)),"introuvable")</f>
        <v/>
      </c>
      <c r="E568" s="30" t="inlineStr">
        <is>
          <t>corps</t>
        </is>
      </c>
      <c r="N568" s="30" t="inlineStr">
        <is>
          <t>se_soigner</t>
        </is>
      </c>
    </row>
    <row r="569">
      <c r="A569" s="30" t="inlineStr">
        <is>
          <t>squelette</t>
        </is>
      </c>
      <c r="B569" s="26">
        <f>IFERROR(INDEX(Mots!$B:$B,MATCH($A569,Mots!$A:$A,0)),"introuvable")</f>
        <v/>
      </c>
      <c r="C569" s="30" t="inlineStr">
        <is>
          <t>partie_corps</t>
        </is>
      </c>
      <c r="E569" s="30" t="inlineStr">
        <is>
          <t>corps</t>
        </is>
      </c>
      <c r="N569" s="30" t="inlineStr">
        <is>
          <t>se_soigner</t>
        </is>
      </c>
    </row>
    <row r="570">
      <c r="A570" s="30" t="inlineStr">
        <is>
          <t>estomac</t>
        </is>
      </c>
      <c r="B570" s="26">
        <f>IFERROR(INDEX(Mots!$B:$B,MATCH($A570,Mots!$A:$A,0)),"introuvable")</f>
        <v/>
      </c>
      <c r="C570" s="30" t="inlineStr">
        <is>
          <t>aliment</t>
        </is>
      </c>
      <c r="E570" s="30" t="inlineStr">
        <is>
          <t>corps</t>
        </is>
      </c>
      <c r="N570" s="30" t="inlineStr">
        <is>
          <t>se_soigner</t>
        </is>
      </c>
    </row>
    <row r="571">
      <c r="A571" s="30" t="inlineStr">
        <is>
          <t>ongle</t>
        </is>
      </c>
      <c r="B571" s="26">
        <f>IFERROR(INDEX(Mots!$B:$B,MATCH($A571,Mots!$A:$A,0)),"introuvable")</f>
        <v/>
      </c>
      <c r="E571" s="30" t="inlineStr">
        <is>
          <t>corps</t>
        </is>
      </c>
      <c r="N571" s="30" t="inlineStr">
        <is>
          <t>se_soigner</t>
        </is>
      </c>
    </row>
    <row r="572">
      <c r="A572" s="30" t="inlineStr">
        <is>
          <t>os</t>
        </is>
      </c>
      <c r="B572" s="26">
        <f>IFERROR(INDEX(Mots!$B:$B,MATCH($A572,Mots!$A:$A,0)),"introuvable")</f>
        <v/>
      </c>
      <c r="C572" s="30" t="inlineStr">
        <is>
          <t>partie_corps</t>
        </is>
      </c>
      <c r="E572" s="30" t="inlineStr">
        <is>
          <t>corps</t>
        </is>
      </c>
      <c r="N572" s="30" t="inlineStr">
        <is>
          <t>se_soigner</t>
        </is>
      </c>
    </row>
    <row r="573">
      <c r="A573" s="30" t="inlineStr">
        <is>
          <t>faire_les_vitres</t>
        </is>
      </c>
      <c r="B573" s="26">
        <f>IFERROR(INDEX(Mots!$B:$B,MATCH($A573,Mots!$A:$A,0)),"introuvable")</f>
        <v/>
      </c>
      <c r="I573" s="30" t="inlineStr">
        <is>
          <t>maison</t>
        </is>
      </c>
      <c r="N573" s="30" t="inlineStr">
        <is>
          <t>nettoyer</t>
        </is>
      </c>
    </row>
    <row r="574">
      <c r="A574" s="30" t="inlineStr">
        <is>
          <t>serpillere</t>
        </is>
      </c>
      <c r="B574" s="26">
        <f>IFERROR(INDEX(Mots!$B:$B,MATCH($A574,Mots!$A:$A,0)),"introuvable")</f>
        <v/>
      </c>
      <c r="C574" s="30" t="inlineStr">
        <is>
          <t>matiere</t>
        </is>
      </c>
      <c r="I574" s="30" t="inlineStr">
        <is>
          <t>maison</t>
        </is>
      </c>
      <c r="N574" s="30" t="inlineStr">
        <is>
          <t>nettoyer</t>
        </is>
      </c>
    </row>
    <row r="575">
      <c r="A575" s="30" t="inlineStr">
        <is>
          <t>aspirateur</t>
        </is>
      </c>
      <c r="B575" s="26">
        <f>IFERROR(INDEX(Mots!$B:$B,MATCH($A575,Mots!$A:$A,0)),"introuvable")</f>
        <v/>
      </c>
      <c r="C575" s="30" t="inlineStr">
        <is>
          <t>appareil</t>
        </is>
      </c>
      <c r="I575" s="30" t="inlineStr">
        <is>
          <t>maison</t>
        </is>
      </c>
      <c r="N575" s="30" t="inlineStr">
        <is>
          <t>nettoyer</t>
        </is>
      </c>
    </row>
    <row r="576">
      <c r="A576" s="30" t="inlineStr">
        <is>
          <t>chiffon</t>
        </is>
      </c>
      <c r="B576" s="26">
        <f>IFERROR(INDEX(Mots!$B:$B,MATCH($A576,Mots!$A:$A,0)),"introuvable")</f>
        <v/>
      </c>
      <c r="C576" s="30" t="inlineStr">
        <is>
          <t>matiere</t>
        </is>
      </c>
      <c r="I576" s="30" t="inlineStr">
        <is>
          <t>maison</t>
        </is>
      </c>
      <c r="N576" s="30" t="inlineStr">
        <is>
          <t>nettoyer</t>
        </is>
      </c>
    </row>
    <row r="577">
      <c r="A577" s="30" t="inlineStr">
        <is>
          <t>materiel_recurrer</t>
        </is>
      </c>
      <c r="B577" s="26">
        <f>IFERROR(INDEX(Mots!$B:$B,MATCH($A577,Mots!$A:$A,0)),"introuvable")</f>
        <v/>
      </c>
      <c r="I577" s="30" t="inlineStr">
        <is>
          <t>maison</t>
        </is>
      </c>
      <c r="N577" s="30" t="inlineStr">
        <is>
          <t>nettoyer</t>
        </is>
      </c>
    </row>
    <row r="578">
      <c r="A578" s="30" t="inlineStr">
        <is>
          <t>meister_proper</t>
        </is>
      </c>
      <c r="B578" s="26">
        <f>IFERROR(INDEX(Mots!$B:$B,MATCH($A578,Mots!$A:$A,0)),"introuvable")</f>
        <v/>
      </c>
      <c r="I578" s="30" t="inlineStr">
        <is>
          <t>maison</t>
        </is>
      </c>
      <c r="N578" s="30" t="inlineStr">
        <is>
          <t>nettoyer</t>
        </is>
      </c>
    </row>
    <row r="579">
      <c r="A579" s="30" t="inlineStr">
        <is>
          <t>eponge</t>
        </is>
      </c>
      <c r="B579" s="26">
        <f>IFERROR(INDEX(Mots!$B:$B,MATCH($A579,Mots!$A:$A,0)),"introuvable")</f>
        <v/>
      </c>
      <c r="C579" s="30" t="inlineStr">
        <is>
          <t>objet</t>
        </is>
      </c>
      <c r="I579" s="30" t="inlineStr">
        <is>
          <t>maison</t>
        </is>
      </c>
      <c r="N579" s="30" t="inlineStr">
        <is>
          <t>nettoyer</t>
        </is>
      </c>
    </row>
    <row r="580">
      <c r="A580" s="30" t="inlineStr">
        <is>
          <t>chambre</t>
        </is>
      </c>
      <c r="B580" s="26">
        <f>IFERROR(INDEX(Mots!$B:$B,MATCH($A580,Mots!$A:$A,0)),"introuvable")</f>
        <v/>
      </c>
      <c r="I580" s="30" t="inlineStr">
        <is>
          <t>chambre</t>
        </is>
      </c>
      <c r="N580" s="30" t="inlineStr">
        <is>
          <t>se_reposer</t>
        </is>
      </c>
    </row>
    <row r="581">
      <c r="A581" s="30" t="inlineStr">
        <is>
          <t>lit</t>
        </is>
      </c>
      <c r="B581" s="26">
        <f>IFERROR(INDEX(Mots!$B:$B,MATCH($A581,Mots!$A:$A,0)),"introuvable")</f>
        <v/>
      </c>
      <c r="C581" s="30" t="inlineStr">
        <is>
          <t>meuble</t>
        </is>
      </c>
      <c r="I581" s="30" t="inlineStr">
        <is>
          <t>chambre</t>
        </is>
      </c>
      <c r="N581" s="30" t="inlineStr">
        <is>
          <t>se_reposer</t>
        </is>
      </c>
    </row>
    <row r="582">
      <c r="A582" s="30" t="inlineStr">
        <is>
          <t>matelas</t>
        </is>
      </c>
      <c r="B582" s="26">
        <f>IFERROR(INDEX(Mots!$B:$B,MATCH($A582,Mots!$A:$A,0)),"introuvable")</f>
        <v/>
      </c>
      <c r="I582" s="30" t="inlineStr">
        <is>
          <t>chambre</t>
        </is>
      </c>
      <c r="N582" s="30" t="inlineStr">
        <is>
          <t>se_reposer</t>
        </is>
      </c>
    </row>
    <row r="583">
      <c r="A583" s="30" t="inlineStr">
        <is>
          <t>oreiller</t>
        </is>
      </c>
      <c r="B583" s="26">
        <f>IFERROR(INDEX(Mots!$B:$B,MATCH($A583,Mots!$A:$A,0)),"introuvable")</f>
        <v/>
      </c>
      <c r="I583" s="30" t="inlineStr">
        <is>
          <t>chambre</t>
        </is>
      </c>
      <c r="N583" s="30" t="inlineStr">
        <is>
          <t>se_reposer</t>
        </is>
      </c>
    </row>
    <row r="584">
      <c r="A584" s="30" t="inlineStr">
        <is>
          <t>duvet</t>
        </is>
      </c>
      <c r="B584" s="26">
        <f>IFERROR(INDEX(Mots!$B:$B,MATCH($A584,Mots!$A:$A,0)),"introuvable")</f>
        <v/>
      </c>
      <c r="C584" s="30" t="inlineStr">
        <is>
          <t>vetement</t>
        </is>
      </c>
      <c r="I584" s="30" t="inlineStr">
        <is>
          <t>chambre</t>
        </is>
      </c>
      <c r="N584" s="30" t="inlineStr">
        <is>
          <t>se_reposer</t>
        </is>
      </c>
    </row>
    <row r="585">
      <c r="A585" s="30" t="inlineStr">
        <is>
          <t>reveil</t>
        </is>
      </c>
      <c r="B585" s="26">
        <f>IFERROR(INDEX(Mots!$B:$B,MATCH($A585,Mots!$A:$A,0)),"introuvable")</f>
        <v/>
      </c>
      <c r="G585" s="30" t="inlineStr">
        <is>
          <t>temps</t>
        </is>
      </c>
      <c r="I585" s="30" t="inlineStr">
        <is>
          <t>chambre</t>
        </is>
      </c>
      <c r="N585" s="30" t="inlineStr">
        <is>
          <t>se_reposer</t>
        </is>
      </c>
    </row>
    <row r="586">
      <c r="A586" s="30" t="inlineStr">
        <is>
          <t>armoire</t>
        </is>
      </c>
      <c r="B586" s="26">
        <f>IFERROR(INDEX(Mots!$B:$B,MATCH($A586,Mots!$A:$A,0)),"introuvable")</f>
        <v/>
      </c>
      <c r="C586" s="30" t="inlineStr">
        <is>
          <t>meuble</t>
        </is>
      </c>
      <c r="I586" s="30" t="inlineStr">
        <is>
          <t>chambre</t>
        </is>
      </c>
      <c r="N586" s="30" t="inlineStr">
        <is>
          <t>se_reposer</t>
        </is>
      </c>
    </row>
    <row r="587">
      <c r="A587" s="30" t="inlineStr">
        <is>
          <t>corbeille_a_linge</t>
        </is>
      </c>
      <c r="B587" s="26">
        <f>IFERROR(INDEX(Mots!$B:$B,MATCH($A587,Mots!$A:$A,0)),"introuvable")</f>
        <v/>
      </c>
      <c r="C587" s="30" t="inlineStr">
        <is>
          <t>recipient</t>
        </is>
      </c>
      <c r="I587" s="30" t="inlineStr">
        <is>
          <t>salle_de_bain</t>
        </is>
      </c>
      <c r="N587" s="30" t="inlineStr">
        <is>
          <t>nettoyer</t>
        </is>
      </c>
    </row>
    <row r="588">
      <c r="A588" s="30" t="inlineStr">
        <is>
          <t>panier_a_linge</t>
        </is>
      </c>
      <c r="B588" s="26">
        <f>IFERROR(INDEX(Mots!$B:$B,MATCH($A588,Mots!$A:$A,0)),"introuvable")</f>
        <v/>
      </c>
      <c r="I588" s="30" t="inlineStr">
        <is>
          <t>salle_de_bain</t>
        </is>
      </c>
      <c r="N588" s="30" t="inlineStr">
        <is>
          <t>nettoyer</t>
        </is>
      </c>
    </row>
    <row r="589">
      <c r="A589" s="30" t="inlineStr">
        <is>
          <t>lessive</t>
        </is>
      </c>
      <c r="B589" s="26">
        <f>IFERROR(INDEX(Mots!$B:$B,MATCH($A589,Mots!$A:$A,0)),"introuvable")</f>
        <v/>
      </c>
      <c r="I589" s="30" t="inlineStr">
        <is>
          <t>salle_de_bain</t>
        </is>
      </c>
      <c r="N589" s="30" t="inlineStr">
        <is>
          <t>nettoyer</t>
        </is>
      </c>
    </row>
    <row r="590">
      <c r="A590" s="30" t="inlineStr">
        <is>
          <t>linge</t>
        </is>
      </c>
      <c r="B590" s="26">
        <f>IFERROR(INDEX(Mots!$B:$B,MATCH($A590,Mots!$A:$A,0)),"introuvable")</f>
        <v/>
      </c>
      <c r="C590" s="30" t="inlineStr">
        <is>
          <t>vetement</t>
        </is>
      </c>
      <c r="I590" s="30" t="inlineStr">
        <is>
          <t>salle_de_bain</t>
        </is>
      </c>
      <c r="N590" s="30" t="inlineStr">
        <is>
          <t>nettoyer</t>
        </is>
      </c>
    </row>
    <row r="591">
      <c r="A591" s="30" t="inlineStr">
        <is>
          <t>bureau_piece</t>
        </is>
      </c>
      <c r="B591" s="26">
        <f>IFERROR(INDEX(Mots!$B:$B,MATCH($A591,Mots!$A:$A,0)),"introuvable")</f>
        <v/>
      </c>
      <c r="I591" s="30" t="inlineStr">
        <is>
          <t>travail</t>
        </is>
      </c>
      <c r="N591" s="30" t="inlineStr">
        <is>
          <t>travailler</t>
        </is>
      </c>
    </row>
    <row r="592">
      <c r="A592" s="30" t="inlineStr">
        <is>
          <t>classeur</t>
        </is>
      </c>
      <c r="B592" s="26">
        <f>IFERROR(INDEX(Mots!$B:$B,MATCH($A592,Mots!$A:$A,0)),"introuvable")</f>
        <v/>
      </c>
      <c r="C592" s="30" t="inlineStr">
        <is>
          <t>meuble</t>
        </is>
      </c>
      <c r="I592" s="30" t="inlineStr">
        <is>
          <t>travail</t>
        </is>
      </c>
      <c r="N592" s="30" t="inlineStr">
        <is>
          <t>travailler</t>
        </is>
      </c>
    </row>
    <row r="593">
      <c r="A593" s="30" t="inlineStr">
        <is>
          <t>calculatrice</t>
        </is>
      </c>
      <c r="B593" s="26">
        <f>IFERROR(INDEX(Mots!$B:$B,MATCH($A593,Mots!$A:$A,0)),"introuvable")</f>
        <v/>
      </c>
      <c r="C593" s="30" t="inlineStr">
        <is>
          <t>appareil</t>
        </is>
      </c>
      <c r="I593" s="30" t="inlineStr">
        <is>
          <t>travail</t>
        </is>
      </c>
      <c r="N593" s="30" t="inlineStr">
        <is>
          <t>travailler</t>
        </is>
      </c>
    </row>
    <row r="594">
      <c r="A594" s="30" t="inlineStr">
        <is>
          <t>ordinateur</t>
        </is>
      </c>
      <c r="B594" s="26">
        <f>IFERROR(INDEX(Mots!$B:$B,MATCH($A594,Mots!$A:$A,0)),"introuvable")</f>
        <v/>
      </c>
      <c r="C594" s="30" t="inlineStr">
        <is>
          <t>appareil</t>
        </is>
      </c>
      <c r="I594" s="30" t="inlineStr">
        <is>
          <t>travail</t>
        </is>
      </c>
      <c r="N594" s="30" t="inlineStr">
        <is>
          <t>travailler</t>
        </is>
      </c>
    </row>
    <row r="595">
      <c r="A595" s="30" t="inlineStr">
        <is>
          <t>essence</t>
        </is>
      </c>
      <c r="B595" s="26">
        <f>IFERROR(INDEX(Mots!$B:$B,MATCH($A595,Mots!$A:$A,0)),"introuvable")</f>
        <v/>
      </c>
      <c r="E595" s="30" t="inlineStr">
        <is>
          <t>voiture</t>
        </is>
      </c>
      <c r="I595" s="30" t="inlineStr">
        <is>
          <t>voiture</t>
        </is>
      </c>
      <c r="N595" s="30" t="inlineStr">
        <is>
          <t>se_deplacer</t>
        </is>
      </c>
      <c r="O595" s="30" t="inlineStr">
        <is>
          <t>bricoler</t>
        </is>
      </c>
    </row>
    <row r="596">
      <c r="A596" s="30" t="inlineStr">
        <is>
          <t>jauge_huile</t>
        </is>
      </c>
      <c r="B596" s="26">
        <f>IFERROR(INDEX(Mots!$B:$B,MATCH($A596,Mots!$A:$A,0)),"introuvable")</f>
        <v/>
      </c>
      <c r="C596" s="30" t="inlineStr">
        <is>
          <t>matiere</t>
        </is>
      </c>
      <c r="I596" s="30" t="inlineStr">
        <is>
          <t>voiture</t>
        </is>
      </c>
      <c r="N596" s="30" t="inlineStr">
        <is>
          <t>se_deplacer</t>
        </is>
      </c>
      <c r="O596" s="30" t="inlineStr">
        <is>
          <t>bricoler</t>
        </is>
      </c>
    </row>
    <row r="597">
      <c r="A597" s="30" t="inlineStr">
        <is>
          <t>huile_moteur</t>
        </is>
      </c>
      <c r="B597" s="26">
        <f>IFERROR(INDEX(Mots!$B:$B,MATCH($A597,Mots!$A:$A,0)),"introuvable")</f>
        <v/>
      </c>
      <c r="E597" s="30" t="inlineStr">
        <is>
          <t>voiture</t>
        </is>
      </c>
      <c r="I597" s="30" t="inlineStr">
        <is>
          <t>voiture</t>
        </is>
      </c>
      <c r="N597" s="30" t="inlineStr">
        <is>
          <t>se_deplacer</t>
        </is>
      </c>
      <c r="O597" s="30" t="inlineStr">
        <is>
          <t>bricoler</t>
        </is>
      </c>
    </row>
    <row r="598">
      <c r="A598" s="30" t="inlineStr">
        <is>
          <t>liquide_lave_glace</t>
        </is>
      </c>
      <c r="B598" s="26">
        <f>IFERROR(INDEX(Mots!$B:$B,MATCH($A598,Mots!$A:$A,0)),"introuvable")</f>
        <v/>
      </c>
      <c r="E598" s="30" t="inlineStr">
        <is>
          <t>voiture</t>
        </is>
      </c>
      <c r="I598" s="30" t="inlineStr">
        <is>
          <t>voiture</t>
        </is>
      </c>
      <c r="N598" s="30" t="inlineStr">
        <is>
          <t>se_deplacer</t>
        </is>
      </c>
      <c r="O598" s="30" t="inlineStr">
        <is>
          <t>bricoler</t>
        </is>
      </c>
    </row>
    <row r="599">
      <c r="A599" s="30" t="inlineStr">
        <is>
          <t>entonnoir</t>
        </is>
      </c>
      <c r="B599" s="26">
        <f>IFERROR(INDEX(Mots!$B:$B,MATCH($A599,Mots!$A:$A,0)),"introuvable")</f>
        <v/>
      </c>
      <c r="C599" s="30" t="inlineStr">
        <is>
          <t>objet</t>
        </is>
      </c>
      <c r="I599" s="30" t="inlineStr">
        <is>
          <t>voiture</t>
        </is>
      </c>
      <c r="J599" s="30" t="inlineStr">
        <is>
          <t>dehors</t>
        </is>
      </c>
      <c r="N599" s="30" t="inlineStr">
        <is>
          <t>se_deplacer</t>
        </is>
      </c>
      <c r="O599" s="30" t="inlineStr">
        <is>
          <t>bricoler</t>
        </is>
      </c>
    </row>
    <row r="600">
      <c r="A600" s="30" t="inlineStr">
        <is>
          <t>paire_de_slip</t>
        </is>
      </c>
      <c r="B600" s="26">
        <f>IFERROR(INDEX(Mots!$B:$B,MATCH($A600,Mots!$A:$A,0)),"introuvable")</f>
        <v/>
      </c>
      <c r="C600" s="30" t="inlineStr">
        <is>
          <t>vetement</t>
        </is>
      </c>
      <c r="N600" s="30" t="inlineStr">
        <is>
          <t>s_habiller</t>
        </is>
      </c>
    </row>
    <row r="601">
      <c r="A601" s="30" t="inlineStr">
        <is>
          <t>bas</t>
        </is>
      </c>
      <c r="B601" s="26">
        <f>IFERROR(INDEX(Mots!$B:$B,MATCH($A601,Mots!$A:$A,0)),"introuvable")</f>
        <v/>
      </c>
      <c r="C601" s="30" t="inlineStr">
        <is>
          <t>vetement</t>
        </is>
      </c>
      <c r="N601" s="30" t="inlineStr">
        <is>
          <t>s_habiller</t>
        </is>
      </c>
    </row>
    <row r="602">
      <c r="A602" s="30" t="inlineStr">
        <is>
          <t>pantalon</t>
        </is>
      </c>
      <c r="B602" s="26">
        <f>IFERROR(INDEX(Mots!$B:$B,MATCH($A602,Mots!$A:$A,0)),"introuvable")</f>
        <v/>
      </c>
      <c r="C602" s="30" t="inlineStr">
        <is>
          <t>vetement</t>
        </is>
      </c>
      <c r="N602" s="30" t="inlineStr">
        <is>
          <t>s_habiller</t>
        </is>
      </c>
    </row>
    <row r="603">
      <c r="A603" s="30" t="inlineStr">
        <is>
          <t>pantalon_jeans</t>
        </is>
      </c>
      <c r="B603" s="26">
        <f>IFERROR(INDEX(Mots!$B:$B,MATCH($A603,Mots!$A:$A,0)),"introuvable")</f>
        <v/>
      </c>
      <c r="C603" s="30" t="inlineStr">
        <is>
          <t>vetement</t>
        </is>
      </c>
      <c r="N603" s="30" t="inlineStr">
        <is>
          <t>s_habiller</t>
        </is>
      </c>
    </row>
    <row r="604">
      <c r="A604" s="30" t="inlineStr">
        <is>
          <t>cuissettes</t>
        </is>
      </c>
      <c r="B604" s="26">
        <f>IFERROR(INDEX(Mots!$B:$B,MATCH($A604,Mots!$A:$A,0)),"introuvable")</f>
        <v/>
      </c>
      <c r="C604" s="30" t="inlineStr">
        <is>
          <t>vetement</t>
        </is>
      </c>
      <c r="N604" s="30" t="inlineStr">
        <is>
          <t>s_habiller</t>
        </is>
      </c>
    </row>
    <row r="605">
      <c r="A605" s="30" t="inlineStr">
        <is>
          <t>jupe</t>
        </is>
      </c>
      <c r="B605" s="26">
        <f>IFERROR(INDEX(Mots!$B:$B,MATCH($A605,Mots!$A:$A,0)),"introuvable")</f>
        <v/>
      </c>
      <c r="C605" s="30" t="inlineStr">
        <is>
          <t>vetement</t>
        </is>
      </c>
      <c r="N605" s="30" t="inlineStr">
        <is>
          <t>s_habiller</t>
        </is>
      </c>
    </row>
    <row r="606">
      <c r="A606" s="30" t="inlineStr">
        <is>
          <t>juste_au_corps</t>
        </is>
      </c>
      <c r="B606" s="26">
        <f>IFERROR(INDEX(Mots!$B:$B,MATCH($A606,Mots!$A:$A,0)),"introuvable")</f>
        <v/>
      </c>
      <c r="C606" s="30" t="inlineStr">
        <is>
          <t>vetement</t>
        </is>
      </c>
      <c r="N606" s="30" t="inlineStr">
        <is>
          <t>s_habiller</t>
        </is>
      </c>
    </row>
    <row r="607">
      <c r="A607" s="30" t="inlineStr">
        <is>
          <t>t_shirt</t>
        </is>
      </c>
      <c r="B607" s="26">
        <f>IFERROR(INDEX(Mots!$B:$B,MATCH($A607,Mots!$A:$A,0)),"introuvable")</f>
        <v/>
      </c>
      <c r="C607" s="30" t="inlineStr">
        <is>
          <t>vetement</t>
        </is>
      </c>
      <c r="N607" s="30" t="inlineStr">
        <is>
          <t>s_habiller</t>
        </is>
      </c>
    </row>
    <row r="608">
      <c r="A608" s="30" t="inlineStr">
        <is>
          <t>chemise</t>
        </is>
      </c>
      <c r="B608" s="26">
        <f>IFERROR(INDEX(Mots!$B:$B,MATCH($A608,Mots!$A:$A,0)),"introuvable")</f>
        <v/>
      </c>
      <c r="C608" s="30" t="inlineStr">
        <is>
          <t>vetement</t>
        </is>
      </c>
      <c r="N608" s="30" t="inlineStr">
        <is>
          <t>s_habiller</t>
        </is>
      </c>
    </row>
    <row r="609">
      <c r="A609" s="30" t="inlineStr">
        <is>
          <t>polo</t>
        </is>
      </c>
      <c r="B609" s="26">
        <f>IFERROR(INDEX(Mots!$B:$B,MATCH($A609,Mots!$A:$A,0)),"introuvable")</f>
        <v/>
      </c>
      <c r="C609" s="30" t="inlineStr">
        <is>
          <t>vetement</t>
        </is>
      </c>
      <c r="N609" s="30" t="inlineStr">
        <is>
          <t>s_habiller</t>
        </is>
      </c>
    </row>
    <row r="610">
      <c r="A610" s="30" t="inlineStr">
        <is>
          <t>pull_ou_pullover</t>
        </is>
      </c>
      <c r="B610" s="26">
        <f>IFERROR(INDEX(Mots!$B:$B,MATCH($A610,Mots!$A:$A,0)),"introuvable")</f>
        <v/>
      </c>
      <c r="C610" s="30" t="inlineStr">
        <is>
          <t>vetement</t>
        </is>
      </c>
      <c r="N610" s="30" t="inlineStr">
        <is>
          <t>s_habiller</t>
        </is>
      </c>
    </row>
    <row r="611">
      <c r="A611" s="30" t="inlineStr">
        <is>
          <t>veste</t>
        </is>
      </c>
      <c r="B611" s="26">
        <f>IFERROR(INDEX(Mots!$B:$B,MATCH($A611,Mots!$A:$A,0)),"introuvable")</f>
        <v/>
      </c>
      <c r="C611" s="30" t="inlineStr">
        <is>
          <t>vetement</t>
        </is>
      </c>
      <c r="N611" s="30" t="inlineStr">
        <is>
          <t>s_habiller</t>
        </is>
      </c>
    </row>
    <row r="612">
      <c r="A612" s="30" t="inlineStr">
        <is>
          <t>pain</t>
        </is>
      </c>
      <c r="B612" s="26">
        <f>IFERROR(INDEX(Mots!$B:$B,MATCH($A612,Mots!$A:$A,0)),"introuvable")</f>
        <v/>
      </c>
      <c r="C612" s="30" t="inlineStr">
        <is>
          <t>aliment</t>
        </is>
      </c>
      <c r="I612" s="30" t="inlineStr">
        <is>
          <t>cuisine</t>
        </is>
      </c>
      <c r="N612" s="30" t="inlineStr">
        <is>
          <t>manger_boire</t>
        </is>
      </c>
    </row>
    <row r="613">
      <c r="A613" s="30" t="inlineStr">
        <is>
          <t>gendarme_charc</t>
        </is>
      </c>
      <c r="B613" s="26">
        <f>IFERROR(INDEX(Mots!$B:$B,MATCH($A613,Mots!$A:$A,0)),"introuvable")</f>
        <v/>
      </c>
      <c r="C613" s="30" t="inlineStr">
        <is>
          <t>aliment</t>
        </is>
      </c>
      <c r="I613" s="30" t="inlineStr">
        <is>
          <t>cuisine</t>
        </is>
      </c>
      <c r="N613" s="30" t="inlineStr">
        <is>
          <t>manger_boire</t>
        </is>
      </c>
    </row>
    <row r="614">
      <c r="A614" s="30" t="inlineStr">
        <is>
          <t>saucisse</t>
        </is>
      </c>
      <c r="B614" s="26">
        <f>IFERROR(INDEX(Mots!$B:$B,MATCH($A614,Mots!$A:$A,0)),"introuvable")</f>
        <v/>
      </c>
      <c r="C614" s="30" t="inlineStr">
        <is>
          <t>aliment</t>
        </is>
      </c>
      <c r="I614" s="30" t="inlineStr">
        <is>
          <t>cuisine</t>
        </is>
      </c>
      <c r="N614" s="30" t="inlineStr">
        <is>
          <t>manger_boire</t>
        </is>
      </c>
    </row>
    <row r="615">
      <c r="A615" s="30" t="inlineStr">
        <is>
          <t>cafe</t>
        </is>
      </c>
      <c r="B615" s="26">
        <f>IFERROR(INDEX(Mots!$B:$B,MATCH($A615,Mots!$A:$A,0)),"introuvable")</f>
        <v/>
      </c>
      <c r="C615" s="30" t="inlineStr">
        <is>
          <t>boisson</t>
        </is>
      </c>
      <c r="I615" s="30" t="inlineStr">
        <is>
          <t>cuisine</t>
        </is>
      </c>
      <c r="N615" s="30" t="inlineStr">
        <is>
          <t>manger_boire</t>
        </is>
      </c>
    </row>
    <row r="616">
      <c r="A616" s="30" t="inlineStr">
        <is>
          <t>fromage</t>
        </is>
      </c>
      <c r="B616" s="26">
        <f>IFERROR(INDEX(Mots!$B:$B,MATCH($A616,Mots!$A:$A,0)),"introuvable")</f>
        <v/>
      </c>
      <c r="C616" s="30" t="inlineStr">
        <is>
          <t>aliment</t>
        </is>
      </c>
      <c r="I616" s="30" t="inlineStr">
        <is>
          <t>cuisine</t>
        </is>
      </c>
      <c r="N616" s="30" t="inlineStr">
        <is>
          <t>manger_boire</t>
        </is>
      </c>
    </row>
    <row r="617">
      <c r="A617" s="30" t="inlineStr">
        <is>
          <t>maison</t>
        </is>
      </c>
      <c r="B617" s="26">
        <f>IFERROR(INDEX(Mots!$B:$B,MATCH($A617,Mots!$A:$A,0)),"introuvable")</f>
        <v/>
      </c>
      <c r="C617" s="30" t="inlineStr">
        <is>
          <t>batiment</t>
        </is>
      </c>
      <c r="I617" s="30" t="inlineStr">
        <is>
          <t>maison</t>
        </is>
      </c>
    </row>
    <row r="618">
      <c r="A618" s="30" t="inlineStr">
        <is>
          <t>chalet</t>
        </is>
      </c>
      <c r="B618" s="26">
        <f>IFERROR(INDEX(Mots!$B:$B,MATCH($A618,Mots!$A:$A,0)),"introuvable")</f>
        <v/>
      </c>
      <c r="C618" s="30" t="inlineStr">
        <is>
          <t>batiment</t>
        </is>
      </c>
      <c r="I618" s="30" t="inlineStr">
        <is>
          <t>maison</t>
        </is>
      </c>
    </row>
    <row r="619">
      <c r="A619" s="30" t="inlineStr">
        <is>
          <t>garage</t>
        </is>
      </c>
      <c r="B619" s="26">
        <f>IFERROR(INDEX(Mots!$B:$B,MATCH($A619,Mots!$A:$A,0)),"introuvable")</f>
        <v/>
      </c>
      <c r="E619" s="30" t="inlineStr">
        <is>
          <t>maison</t>
        </is>
      </c>
      <c r="I619" s="30" t="inlineStr">
        <is>
          <t>maison</t>
        </is>
      </c>
    </row>
    <row r="620">
      <c r="A620" s="30" t="inlineStr">
        <is>
          <t>porte</t>
        </is>
      </c>
      <c r="B620" s="26">
        <f>IFERROR(INDEX(Mots!$B:$B,MATCH($A620,Mots!$A:$A,0)),"introuvable")</f>
        <v/>
      </c>
      <c r="I620" s="30" t="inlineStr">
        <is>
          <t>maison</t>
        </is>
      </c>
    </row>
    <row r="621">
      <c r="A621" s="30" t="inlineStr">
        <is>
          <t>fenetre</t>
        </is>
      </c>
      <c r="B621" s="26">
        <f>IFERROR(INDEX(Mots!$B:$B,MATCH($A621,Mots!$A:$A,0)),"introuvable")</f>
        <v/>
      </c>
      <c r="I621" s="30" t="inlineStr">
        <is>
          <t>maison</t>
        </is>
      </c>
    </row>
    <row r="622">
      <c r="A622" s="30" t="inlineStr">
        <is>
          <t>stores</t>
        </is>
      </c>
      <c r="B622" s="26">
        <f>IFERROR(INDEX(Mots!$B:$B,MATCH($A622,Mots!$A:$A,0)),"introuvable")</f>
        <v/>
      </c>
      <c r="C622" s="30" t="inlineStr">
        <is>
          <t>objet</t>
        </is>
      </c>
      <c r="I622" s="30" t="inlineStr">
        <is>
          <t>maison</t>
        </is>
      </c>
    </row>
    <row r="623">
      <c r="A623" s="30" t="inlineStr">
        <is>
          <t>volets</t>
        </is>
      </c>
      <c r="B623" s="26">
        <f>IFERROR(INDEX(Mots!$B:$B,MATCH($A623,Mots!$A:$A,0)),"introuvable")</f>
        <v/>
      </c>
      <c r="C623" s="30" t="inlineStr">
        <is>
          <t>matiere</t>
        </is>
      </c>
      <c r="I623" s="30" t="inlineStr">
        <is>
          <t>maison</t>
        </is>
      </c>
    </row>
    <row r="624">
      <c r="A624" s="30" t="inlineStr">
        <is>
          <t>escalier</t>
        </is>
      </c>
      <c r="B624" s="26">
        <f>IFERROR(INDEX(Mots!$B:$B,MATCH($A624,Mots!$A:$A,0)),"introuvable")</f>
        <v/>
      </c>
      <c r="I624" s="30" t="inlineStr">
        <is>
          <t>maison</t>
        </is>
      </c>
    </row>
    <row r="625">
      <c r="A625" s="30" t="inlineStr">
        <is>
          <t>ampoule</t>
        </is>
      </c>
      <c r="B625" s="26">
        <f>IFERROR(INDEX(Mots!$B:$B,MATCH($A625,Mots!$A:$A,0)),"introuvable")</f>
        <v/>
      </c>
      <c r="I625" s="30" t="inlineStr">
        <is>
          <t>maison</t>
        </is>
      </c>
    </row>
    <row r="626">
      <c r="A626" s="30" t="inlineStr">
        <is>
          <t>interupteur</t>
        </is>
      </c>
      <c r="B626" s="26">
        <f>IFERROR(INDEX(Mots!$B:$B,MATCH($A626,Mots!$A:$A,0)),"introuvable")</f>
        <v/>
      </c>
      <c r="C626" s="30" t="inlineStr">
        <is>
          <t>objet</t>
        </is>
      </c>
      <c r="I626" s="30" t="inlineStr">
        <is>
          <t>maison</t>
        </is>
      </c>
    </row>
    <row r="627">
      <c r="A627" s="30" t="inlineStr">
        <is>
          <t>fusibles_pour_lelectricite</t>
        </is>
      </c>
      <c r="B627" s="26">
        <f>IFERROR(INDEX(Mots!$B:$B,MATCH($A627,Mots!$A:$A,0)),"introuvable")</f>
        <v/>
      </c>
      <c r="I627" s="30" t="inlineStr">
        <is>
          <t>maison</t>
        </is>
      </c>
    </row>
    <row r="628">
      <c r="A628" s="30" t="inlineStr">
        <is>
          <t>mur</t>
        </is>
      </c>
      <c r="B628" s="26">
        <f>IFERROR(INDEX(Mots!$B:$B,MATCH($A628,Mots!$A:$A,0)),"introuvable")</f>
        <v/>
      </c>
      <c r="I628" s="30" t="inlineStr">
        <is>
          <t>maison</t>
        </is>
      </c>
    </row>
    <row r="629">
      <c r="A629" s="30" t="inlineStr">
        <is>
          <t>toit</t>
        </is>
      </c>
      <c r="B629" s="26">
        <f>IFERROR(INDEX(Mots!$B:$B,MATCH($A629,Mots!$A:$A,0)),"introuvable")</f>
        <v/>
      </c>
      <c r="C629" s="30" t="inlineStr">
        <is>
          <t>batiment</t>
        </is>
      </c>
      <c r="I629" s="30" t="inlineStr">
        <is>
          <t>maison</t>
        </is>
      </c>
    </row>
    <row r="630">
      <c r="A630" s="30" t="inlineStr">
        <is>
          <t>cheneau</t>
        </is>
      </c>
      <c r="B630" s="26">
        <f>IFERROR(INDEX(Mots!$B:$B,MATCH($A630,Mots!$A:$A,0)),"introuvable")</f>
        <v/>
      </c>
      <c r="I630" s="30" t="inlineStr">
        <is>
          <t>maison</t>
        </is>
      </c>
    </row>
    <row r="631">
      <c r="A631" s="30" t="inlineStr">
        <is>
          <t>barriere</t>
        </is>
      </c>
      <c r="B631" s="26">
        <f>IFERROR(INDEX(Mots!$B:$B,MATCH($A631,Mots!$A:$A,0)),"introuvable")</f>
        <v/>
      </c>
      <c r="I631" s="30" t="inlineStr">
        <is>
          <t>maison</t>
        </is>
      </c>
    </row>
    <row r="632">
      <c r="A632" s="30" t="inlineStr">
        <is>
          <t>prise</t>
        </is>
      </c>
      <c r="B632" s="26">
        <f>IFERROR(INDEX(Mots!$B:$B,MATCH($A632,Mots!$A:$A,0)),"introuvable")</f>
        <v/>
      </c>
      <c r="C632" s="30" t="inlineStr">
        <is>
          <t>appareil</t>
        </is>
      </c>
      <c r="I632" s="30" t="inlineStr">
        <is>
          <t>maison</t>
        </is>
      </c>
    </row>
    <row r="633">
      <c r="A633" s="30" t="inlineStr">
        <is>
          <t>serrure</t>
        </is>
      </c>
      <c r="B633" s="26">
        <f>IFERROR(INDEX(Mots!$B:$B,MATCH($A633,Mots!$A:$A,0)),"introuvable")</f>
        <v/>
      </c>
      <c r="I633" s="30" t="inlineStr">
        <is>
          <t>maison</t>
        </is>
      </c>
    </row>
    <row r="634">
      <c r="A634" s="30" t="inlineStr">
        <is>
          <t>fourneau_bois</t>
        </is>
      </c>
      <c r="B634" s="26">
        <f>IFERROR(INDEX(Mots!$B:$B,MATCH($A634,Mots!$A:$A,0)),"introuvable")</f>
        <v/>
      </c>
      <c r="C634" s="30" t="inlineStr">
        <is>
          <t>appareil</t>
        </is>
      </c>
      <c r="I634" s="30" t="inlineStr">
        <is>
          <t>maison</t>
        </is>
      </c>
      <c r="J634" s="30" t="inlineStr">
        <is>
          <t>salon</t>
        </is>
      </c>
      <c r="N634" s="30" t="inlineStr">
        <is>
          <t>se_reposer</t>
        </is>
      </c>
    </row>
    <row r="635">
      <c r="A635" s="30" t="inlineStr">
        <is>
          <t>fourneau_pellets</t>
        </is>
      </c>
      <c r="B635" s="26">
        <f>IFERROR(INDEX(Mots!$B:$B,MATCH($A635,Mots!$A:$A,0)),"introuvable")</f>
        <v/>
      </c>
      <c r="C635" s="30" t="inlineStr">
        <is>
          <t>matiere</t>
        </is>
      </c>
      <c r="I635" s="30" t="inlineStr">
        <is>
          <t>maison</t>
        </is>
      </c>
      <c r="J635" s="30" t="inlineStr">
        <is>
          <t>salon</t>
        </is>
      </c>
      <c r="N635" s="30" t="inlineStr">
        <is>
          <t>se_reposer</t>
        </is>
      </c>
    </row>
    <row r="636">
      <c r="A636" s="30" t="inlineStr">
        <is>
          <t>v_accepter</t>
        </is>
      </c>
      <c r="B636" s="26">
        <f>IFERROR(INDEX(Mots!$B:$B,MATCH($A636,Mots!$A:$A,0)),"introuvable")</f>
        <v/>
      </c>
      <c r="N636" s="30" t="inlineStr">
        <is>
          <t>communiquer</t>
        </is>
      </c>
    </row>
    <row r="637">
      <c r="A637" s="30" t="inlineStr">
        <is>
          <t>v_acheter</t>
        </is>
      </c>
      <c r="B637" s="26">
        <f>IFERROR(INDEX(Mots!$B:$B,MATCH($A637,Mots!$A:$A,0)),"introuvable")</f>
        <v/>
      </c>
      <c r="I637" s="30" t="inlineStr">
        <is>
          <t>travail</t>
        </is>
      </c>
      <c r="N637" s="30" t="inlineStr">
        <is>
          <t>travailler</t>
        </is>
      </c>
      <c r="O637" s="30" t="inlineStr">
        <is>
          <t>donner_recevoir</t>
        </is>
      </c>
    </row>
    <row r="638">
      <c r="A638" s="30" t="inlineStr">
        <is>
          <t>adulte</t>
        </is>
      </c>
      <c r="B638" s="26">
        <f>IFERROR(INDEX(Mots!$B:$B,MATCH($A638,Mots!$A:$A,0)),"introuvable")</f>
        <v/>
      </c>
      <c r="S638" s="30" t="inlineStr">
        <is>
          <t>taille</t>
        </is>
      </c>
    </row>
    <row r="639">
      <c r="A639" s="30" t="inlineStr">
        <is>
          <t>v_aider</t>
        </is>
      </c>
      <c r="B639" s="26">
        <f>IFERROR(INDEX(Mots!$B:$B,MATCH($A639,Mots!$A:$A,0)),"introuvable")</f>
        <v/>
      </c>
      <c r="N639" s="30" t="inlineStr">
        <is>
          <t>donner_recevoir</t>
        </is>
      </c>
      <c r="O639" s="30" t="inlineStr">
        <is>
          <t>aider</t>
        </is>
      </c>
    </row>
    <row r="640">
      <c r="A640" s="30" t="inlineStr">
        <is>
          <t>ailleurs</t>
        </is>
      </c>
      <c r="B640" s="26">
        <f>IFERROR(INDEX(Mots!$B:$B,MATCH($A640,Mots!$A:$A,0)),"introuvable")</f>
        <v/>
      </c>
      <c r="G640" s="30" t="inlineStr">
        <is>
          <t>liaison</t>
        </is>
      </c>
    </row>
    <row r="641">
      <c r="A641" s="30" t="inlineStr">
        <is>
          <t>aimable</t>
        </is>
      </c>
      <c r="B641" s="26">
        <f>IFERROR(INDEX(Mots!$B:$B,MATCH($A641,Mots!$A:$A,0)),"introuvable")</f>
        <v/>
      </c>
      <c r="S641" s="30" t="inlineStr">
        <is>
          <t>caractere</t>
        </is>
      </c>
    </row>
    <row r="642">
      <c r="A642" s="30" t="inlineStr">
        <is>
          <t>v_aimer</t>
        </is>
      </c>
      <c r="B642" s="26">
        <f>IFERROR(INDEX(Mots!$B:$B,MATCH($A642,Mots!$A:$A,0)),"introuvable")</f>
        <v/>
      </c>
      <c r="N642" s="30" t="inlineStr">
        <is>
          <t>aimer_ressentir</t>
        </is>
      </c>
    </row>
    <row r="643">
      <c r="A643" s="30" t="inlineStr">
        <is>
          <t>v_aller</t>
        </is>
      </c>
      <c r="B643" s="26">
        <f>IFERROR(INDEX(Mots!$B:$B,MATCH($A643,Mots!$A:$A,0)),"introuvable")</f>
        <v/>
      </c>
      <c r="I643" s="30" t="inlineStr">
        <is>
          <t>dehors</t>
        </is>
      </c>
      <c r="N643" s="30" t="inlineStr">
        <is>
          <t>se_deplacer</t>
        </is>
      </c>
    </row>
    <row r="644">
      <c r="A644" s="30" t="inlineStr">
        <is>
          <t>v_annoncer</t>
        </is>
      </c>
      <c r="B644" s="26">
        <f>IFERROR(INDEX(Mots!$B:$B,MATCH($A644,Mots!$A:$A,0)),"introuvable")</f>
        <v/>
      </c>
      <c r="N644" s="30" t="inlineStr">
        <is>
          <t>communiquer</t>
        </is>
      </c>
      <c r="O644" s="30" t="inlineStr">
        <is>
          <t>penser</t>
        </is>
      </c>
    </row>
    <row r="645">
      <c r="A645" s="30" t="inlineStr">
        <is>
          <t>v_appeler</t>
        </is>
      </c>
      <c r="B645" s="26">
        <f>IFERROR(INDEX(Mots!$B:$B,MATCH($A645,Mots!$A:$A,0)),"introuvable")</f>
        <v/>
      </c>
      <c r="N645" s="30" t="inlineStr">
        <is>
          <t>communiquer</t>
        </is>
      </c>
    </row>
    <row r="646">
      <c r="A646" s="30" t="inlineStr">
        <is>
          <t>v_apprendre</t>
        </is>
      </c>
      <c r="B646" s="26">
        <f>IFERROR(INDEX(Mots!$B:$B,MATCH($A646,Mots!$A:$A,0)),"introuvable")</f>
        <v/>
      </c>
      <c r="N646" s="30" t="inlineStr">
        <is>
          <t>penser</t>
        </is>
      </c>
      <c r="O646" s="30" t="inlineStr">
        <is>
          <t>donner_recevoir</t>
        </is>
      </c>
    </row>
    <row r="647">
      <c r="A647" s="30" t="inlineStr">
        <is>
          <t>arrondi</t>
        </is>
      </c>
      <c r="B647" s="26">
        <f>IFERROR(INDEX(Mots!$B:$B,MATCH($A647,Mots!$A:$A,0)),"introuvable")</f>
        <v/>
      </c>
      <c r="S647" s="30" t="inlineStr">
        <is>
          <t>forme</t>
        </is>
      </c>
    </row>
    <row r="648">
      <c r="A648" s="30" t="inlineStr">
        <is>
          <t>assez</t>
        </is>
      </c>
      <c r="B648" s="26">
        <f>IFERROR(INDEX(Mots!$B:$B,MATCH($A648,Mots!$A:$A,0)),"introuvable")</f>
        <v/>
      </c>
      <c r="G648" s="30" t="inlineStr">
        <is>
          <t>quantite</t>
        </is>
      </c>
    </row>
    <row r="649">
      <c r="A649" s="30" t="inlineStr">
        <is>
          <t>v_attendre</t>
        </is>
      </c>
      <c r="B649" s="26">
        <f>IFERROR(INDEX(Mots!$B:$B,MATCH($A649,Mots!$A:$A,0)),"introuvable")</f>
        <v/>
      </c>
      <c r="N649" s="30" t="inlineStr">
        <is>
          <t>aider</t>
        </is>
      </c>
    </row>
    <row r="650">
      <c r="A650" s="30" t="inlineStr">
        <is>
          <t>aussi</t>
        </is>
      </c>
      <c r="B650" s="26">
        <f>IFERROR(INDEX(Mots!$B:$B,MATCH($A650,Mots!$A:$A,0)),"introuvable")</f>
        <v/>
      </c>
      <c r="G650" s="30" t="inlineStr">
        <is>
          <t>liaison</t>
        </is>
      </c>
    </row>
    <row r="651">
      <c r="A651" s="30" t="inlineStr">
        <is>
          <t>autant</t>
        </is>
      </c>
      <c r="B651" s="26">
        <f>IFERROR(INDEX(Mots!$B:$B,MATCH($A651,Mots!$A:$A,0)),"introuvable")</f>
        <v/>
      </c>
      <c r="G651" s="30" t="inlineStr">
        <is>
          <t>quantite</t>
        </is>
      </c>
    </row>
    <row r="652">
      <c r="A652" s="30" t="inlineStr">
        <is>
          <t>autour</t>
        </is>
      </c>
      <c r="B652" s="26">
        <f>IFERROR(INDEX(Mots!$B:$B,MATCH($A652,Mots!$A:$A,0)),"introuvable")</f>
        <v/>
      </c>
      <c r="G652" s="30" t="inlineStr">
        <is>
          <t>liaison</t>
        </is>
      </c>
    </row>
    <row r="653">
      <c r="A653" s="30" t="inlineStr">
        <is>
          <t>v_avouer</t>
        </is>
      </c>
      <c r="B653" s="26">
        <f>IFERROR(INDEX(Mots!$B:$B,MATCH($A653,Mots!$A:$A,0)),"introuvable")</f>
        <v/>
      </c>
      <c r="N653" s="30" t="inlineStr">
        <is>
          <t>communiquer</t>
        </is>
      </c>
    </row>
    <row r="654">
      <c r="A654" s="30" t="inlineStr">
        <is>
          <t>beaucoup</t>
        </is>
      </c>
      <c r="B654" s="26">
        <f>IFERROR(INDEX(Mots!$B:$B,MATCH($A654,Mots!$A:$A,0)),"introuvable")</f>
        <v/>
      </c>
      <c r="G654" s="30" t="inlineStr">
        <is>
          <t>quantite</t>
        </is>
      </c>
    </row>
    <row r="655">
      <c r="A655" s="30" t="inlineStr">
        <is>
          <t>bien</t>
        </is>
      </c>
      <c r="B655" s="26">
        <f>IFERROR(INDEX(Mots!$B:$B,MATCH($A655,Mots!$A:$A,0)),"introuvable")</f>
        <v/>
      </c>
      <c r="G655" s="30" t="inlineStr">
        <is>
          <t>liaison</t>
        </is>
      </c>
    </row>
    <row r="656">
      <c r="A656" s="30" t="inlineStr">
        <is>
          <t>bientot</t>
        </is>
      </c>
      <c r="B656" s="26">
        <f>IFERROR(INDEX(Mots!$B:$B,MATCH($A656,Mots!$A:$A,0)),"introuvable")</f>
        <v/>
      </c>
      <c r="G656" s="30" t="inlineStr">
        <is>
          <t>temps</t>
        </is>
      </c>
    </row>
    <row r="657">
      <c r="A657" s="30" t="inlineStr">
        <is>
          <t>v_boire</t>
        </is>
      </c>
      <c r="B657" s="26">
        <f>IFERROR(INDEX(Mots!$B:$B,MATCH($A657,Mots!$A:$A,0)),"introuvable")</f>
        <v/>
      </c>
      <c r="I657" s="30" t="inlineStr">
        <is>
          <t>cuisine</t>
        </is>
      </c>
      <c r="N657" s="30" t="inlineStr">
        <is>
          <t>manger_boire</t>
        </is>
      </c>
    </row>
    <row r="658">
      <c r="A658" s="30" t="inlineStr">
        <is>
          <t>brun</t>
        </is>
      </c>
      <c r="B658" s="26">
        <f>IFERROR(INDEX(Mots!$B:$B,MATCH($A658,Mots!$A:$A,0)),"introuvable")</f>
        <v/>
      </c>
      <c r="S658" s="30" t="inlineStr">
        <is>
          <t>couleur</t>
        </is>
      </c>
    </row>
    <row r="659">
      <c r="A659" s="30" t="inlineStr">
        <is>
          <t>casse</t>
        </is>
      </c>
      <c r="B659" s="26">
        <f>IFERROR(INDEX(Mots!$B:$B,MATCH($A659,Mots!$A:$A,0)),"introuvable")</f>
        <v/>
      </c>
      <c r="S659" s="30" t="inlineStr">
        <is>
          <t>etat</t>
        </is>
      </c>
    </row>
    <row r="660">
      <c r="A660" s="30" t="inlineStr">
        <is>
          <t>v_changer</t>
        </is>
      </c>
      <c r="B660" s="26">
        <f>IFERROR(INDEX(Mots!$B:$B,MATCH($A660,Mots!$A:$A,0)),"introuvable")</f>
        <v/>
      </c>
      <c r="I660" s="30" t="inlineStr">
        <is>
          <t>dehors</t>
        </is>
      </c>
      <c r="N660" s="30" t="inlineStr">
        <is>
          <t>donner_recevoir</t>
        </is>
      </c>
    </row>
    <row r="661">
      <c r="A661" s="30" t="inlineStr">
        <is>
          <t>v_chanter</t>
        </is>
      </c>
      <c r="B661" s="26">
        <f>IFERROR(INDEX(Mots!$B:$B,MATCH($A661,Mots!$A:$A,0)),"introuvable")</f>
        <v/>
      </c>
      <c r="I661" s="30" t="inlineStr">
        <is>
          <t>musique</t>
        </is>
      </c>
      <c r="N661" s="30" t="inlineStr">
        <is>
          <t>jouer_musique</t>
        </is>
      </c>
      <c r="O661" s="30" t="inlineStr">
        <is>
          <t>communiquer</t>
        </is>
      </c>
    </row>
    <row r="662">
      <c r="A662" s="30" t="inlineStr">
        <is>
          <t>v_choisir</t>
        </is>
      </c>
      <c r="B662" s="26">
        <f>IFERROR(INDEX(Mots!$B:$B,MATCH($A662,Mots!$A:$A,0)),"introuvable")</f>
        <v/>
      </c>
      <c r="N662" s="30" t="inlineStr">
        <is>
          <t>donner_recevoir</t>
        </is>
      </c>
    </row>
    <row r="663">
      <c r="A663" s="30" t="inlineStr">
        <is>
          <t>christophe_g</t>
        </is>
      </c>
      <c r="B663" s="26">
        <f>IFERROR(INDEX(Mots!$B:$B,MATCH($A663,Mots!$A:$A,0)),"introuvable")</f>
        <v/>
      </c>
      <c r="W663" s="30" t="inlineStr">
        <is>
          <t>metier</t>
        </is>
      </c>
    </row>
    <row r="664">
      <c r="A664" s="30" t="inlineStr">
        <is>
          <t>v_chuchoter</t>
        </is>
      </c>
      <c r="B664" s="26">
        <f>IFERROR(INDEX(Mots!$B:$B,MATCH($A664,Mots!$A:$A,0)),"introuvable")</f>
        <v/>
      </c>
      <c r="N664" s="30" t="inlineStr">
        <is>
          <t>communiquer</t>
        </is>
      </c>
    </row>
    <row r="665">
      <c r="A665" s="30" t="inlineStr">
        <is>
          <t>claudine_f</t>
        </is>
      </c>
      <c r="B665" s="26">
        <f>IFERROR(INDEX(Mots!$B:$B,MATCH($A665,Mots!$A:$A,0)),"introuvable")</f>
        <v/>
      </c>
      <c r="W665" s="30" t="inlineStr">
        <is>
          <t>metier</t>
        </is>
      </c>
    </row>
    <row r="666">
      <c r="A666" s="30" t="inlineStr">
        <is>
          <t>collant</t>
        </is>
      </c>
      <c r="B666" s="26">
        <f>IFERROR(INDEX(Mots!$B:$B,MATCH($A666,Mots!$A:$A,0)),"introuvable")</f>
        <v/>
      </c>
      <c r="S666" s="30" t="inlineStr">
        <is>
          <t>toucher</t>
        </is>
      </c>
    </row>
    <row r="667">
      <c r="A667" s="30" t="inlineStr">
        <is>
          <t>coloree</t>
        </is>
      </c>
      <c r="B667" s="26">
        <f>IFERROR(INDEX(Mots!$B:$B,MATCH($A667,Mots!$A:$A,0)),"introuvable")</f>
        <v/>
      </c>
      <c r="S667" s="30" t="inlineStr">
        <is>
          <t>couleur</t>
        </is>
      </c>
      <c r="T667" s="30" t="inlineStr">
        <is>
          <t>apparence</t>
        </is>
      </c>
    </row>
    <row r="668">
      <c r="A668" s="30" t="inlineStr">
        <is>
          <t>v_comparer</t>
        </is>
      </c>
      <c r="B668" s="26">
        <f>IFERROR(INDEX(Mots!$B:$B,MATCH($A668,Mots!$A:$A,0)),"introuvable")</f>
        <v/>
      </c>
      <c r="N668" s="30" t="inlineStr">
        <is>
          <t>donner_recevoir</t>
        </is>
      </c>
    </row>
    <row r="669">
      <c r="A669" s="30" t="inlineStr">
        <is>
          <t>v_comprendre</t>
        </is>
      </c>
      <c r="B669" s="26">
        <f>IFERROR(INDEX(Mots!$B:$B,MATCH($A669,Mots!$A:$A,0)),"introuvable")</f>
        <v/>
      </c>
      <c r="N669" s="30" t="inlineStr">
        <is>
          <t>penser</t>
        </is>
      </c>
      <c r="O669" s="30" t="inlineStr">
        <is>
          <t>donner_recevoir</t>
        </is>
      </c>
    </row>
    <row r="670">
      <c r="A670" s="30" t="inlineStr">
        <is>
          <t>v_compter</t>
        </is>
      </c>
      <c r="B670" s="26">
        <f>IFERROR(INDEX(Mots!$B:$B,MATCH($A670,Mots!$A:$A,0)),"introuvable")</f>
        <v/>
      </c>
      <c r="I670" s="30" t="inlineStr">
        <is>
          <t>travail</t>
        </is>
      </c>
      <c r="N670" s="30" t="inlineStr">
        <is>
          <t>communiquer</t>
        </is>
      </c>
      <c r="O670" s="30" t="inlineStr">
        <is>
          <t>penser</t>
        </is>
      </c>
    </row>
    <row r="671">
      <c r="A671" s="30" t="inlineStr">
        <is>
          <t>v_connaitre</t>
        </is>
      </c>
      <c r="B671" s="26">
        <f>IFERROR(INDEX(Mots!$B:$B,MATCH($A671,Mots!$A:$A,0)),"introuvable")</f>
        <v/>
      </c>
      <c r="N671" s="30" t="inlineStr">
        <is>
          <t>penser</t>
        </is>
      </c>
    </row>
    <row r="672">
      <c r="A672" s="30" t="inlineStr">
        <is>
          <t>v_conseiller</t>
        </is>
      </c>
      <c r="B672" s="26">
        <f>IFERROR(INDEX(Mots!$B:$B,MATCH($A672,Mots!$A:$A,0)),"introuvable")</f>
        <v/>
      </c>
      <c r="N672" s="30" t="inlineStr">
        <is>
          <t>communiquer</t>
        </is>
      </c>
    </row>
    <row r="673">
      <c r="A673" s="30" t="inlineStr">
        <is>
          <t>coupant</t>
        </is>
      </c>
      <c r="B673" s="26">
        <f>IFERROR(INDEX(Mots!$B:$B,MATCH($A673,Mots!$A:$A,0)),"introuvable")</f>
        <v/>
      </c>
      <c r="G673" s="30" t="inlineStr">
        <is>
          <t>liaison</t>
        </is>
      </c>
    </row>
    <row r="674">
      <c r="A674" s="30" t="inlineStr">
        <is>
          <t>v_courir</t>
        </is>
      </c>
      <c r="B674" s="26">
        <f>IFERROR(INDEX(Mots!$B:$B,MATCH($A674,Mots!$A:$A,0)),"introuvable")</f>
        <v/>
      </c>
      <c r="I674" s="30" t="inlineStr">
        <is>
          <t>dehors</t>
        </is>
      </c>
      <c r="N674" s="30" t="inlineStr">
        <is>
          <t>se_deplacer</t>
        </is>
      </c>
    </row>
    <row r="675">
      <c r="A675" s="30" t="inlineStr">
        <is>
          <t>creux</t>
        </is>
      </c>
      <c r="B675" s="26">
        <f>IFERROR(INDEX(Mots!$B:$B,MATCH($A675,Mots!$A:$A,0)),"introuvable")</f>
        <v/>
      </c>
      <c r="S675" s="30" t="inlineStr">
        <is>
          <t>etat</t>
        </is>
      </c>
    </row>
    <row r="676">
      <c r="A676" s="30" t="inlineStr">
        <is>
          <t>v_crier</t>
        </is>
      </c>
      <c r="B676" s="26">
        <f>IFERROR(INDEX(Mots!$B:$B,MATCH($A676,Mots!$A:$A,0)),"introuvable")</f>
        <v/>
      </c>
      <c r="N676" s="30" t="inlineStr">
        <is>
          <t>communiquer</t>
        </is>
      </c>
    </row>
    <row r="677">
      <c r="A677" s="30" t="inlineStr">
        <is>
          <t>v_croire</t>
        </is>
      </c>
      <c r="B677" s="26">
        <f>IFERROR(INDEX(Mots!$B:$B,MATCH($A677,Mots!$A:$A,0)),"introuvable")</f>
        <v/>
      </c>
      <c r="N677" s="30" t="inlineStr">
        <is>
          <t>penser</t>
        </is>
      </c>
    </row>
    <row r="678">
      <c r="A678" s="30" t="inlineStr">
        <is>
          <t>v_cuire</t>
        </is>
      </c>
      <c r="B678" s="26">
        <f>IFERROR(INDEX(Mots!$B:$B,MATCH($A678,Mots!$A:$A,0)),"introuvable")</f>
        <v/>
      </c>
      <c r="I678" s="30" t="inlineStr">
        <is>
          <t>cuisine</t>
        </is>
      </c>
      <c r="N678" s="30" t="inlineStr">
        <is>
          <t>manger_boire</t>
        </is>
      </c>
      <c r="O678" s="30" t="inlineStr">
        <is>
          <t>cuisiner</t>
        </is>
      </c>
      <c r="P678" s="30" t="inlineStr">
        <is>
          <t>donner_recevoir</t>
        </is>
      </c>
    </row>
    <row r="679">
      <c r="A679" s="30" t="inlineStr">
        <is>
          <t>d_abord</t>
        </is>
      </c>
      <c r="B679" s="26">
        <f>IFERROR(INDEX(Mots!$B:$B,MATCH($A679,Mots!$A:$A,0)),"introuvable")</f>
        <v/>
      </c>
      <c r="G679" s="30" t="inlineStr">
        <is>
          <t>liaison</t>
        </is>
      </c>
    </row>
    <row r="680">
      <c r="A680" s="30" t="inlineStr">
        <is>
          <t>damien_lagger</t>
        </is>
      </c>
      <c r="B680" s="26">
        <f>IFERROR(INDEX(Mots!$B:$B,MATCH($A680,Mots!$A:$A,0)),"introuvable")</f>
        <v/>
      </c>
      <c r="W680" s="30" t="inlineStr">
        <is>
          <t>connaissance</t>
        </is>
      </c>
    </row>
    <row r="681">
      <c r="A681" s="30" t="inlineStr">
        <is>
          <t>dangereux</t>
        </is>
      </c>
      <c r="B681" s="26">
        <f>IFERROR(INDEX(Mots!$B:$B,MATCH($A681,Mots!$A:$A,0)),"introuvable")</f>
        <v/>
      </c>
      <c r="S681" s="30" t="inlineStr">
        <is>
          <t>etat</t>
        </is>
      </c>
    </row>
    <row r="682">
      <c r="A682" s="30" t="inlineStr">
        <is>
          <t>v_danser</t>
        </is>
      </c>
      <c r="B682" s="26">
        <f>IFERROR(INDEX(Mots!$B:$B,MATCH($A682,Mots!$A:$A,0)),"introuvable")</f>
        <v/>
      </c>
      <c r="I682" s="30" t="inlineStr">
        <is>
          <t>musique</t>
        </is>
      </c>
      <c r="N682" s="30" t="inlineStr">
        <is>
          <t>jouer_musique</t>
        </is>
      </c>
    </row>
    <row r="683">
      <c r="A683" s="30" t="inlineStr">
        <is>
          <t>v_decider</t>
        </is>
      </c>
      <c r="B683" s="26">
        <f>IFERROR(INDEX(Mots!$B:$B,MATCH($A683,Mots!$A:$A,0)),"introuvable")</f>
        <v/>
      </c>
      <c r="N683" s="30" t="inlineStr">
        <is>
          <t>penser</t>
        </is>
      </c>
    </row>
    <row r="684">
      <c r="A684" s="30" t="inlineStr">
        <is>
          <t>dedans</t>
        </is>
      </c>
      <c r="B684" s="26">
        <f>IFERROR(INDEX(Mots!$B:$B,MATCH($A684,Mots!$A:$A,0)),"introuvable")</f>
        <v/>
      </c>
      <c r="G684" s="30" t="inlineStr">
        <is>
          <t>liaison</t>
        </is>
      </c>
    </row>
    <row r="685">
      <c r="A685" s="30" t="inlineStr">
        <is>
          <t>dehors</t>
        </is>
      </c>
      <c r="B685" s="26">
        <f>IFERROR(INDEX(Mots!$B:$B,MATCH($A685,Mots!$A:$A,0)),"introuvable")</f>
        <v/>
      </c>
      <c r="G685" s="30" t="inlineStr">
        <is>
          <t>liaison</t>
        </is>
      </c>
    </row>
    <row r="686">
      <c r="A686" s="30" t="inlineStr">
        <is>
          <t>deja</t>
        </is>
      </c>
      <c r="B686" s="26">
        <f>IFERROR(INDEX(Mots!$B:$B,MATCH($A686,Mots!$A:$A,0)),"introuvable")</f>
        <v/>
      </c>
      <c r="G686" s="30" t="inlineStr">
        <is>
          <t>temps</t>
        </is>
      </c>
    </row>
    <row r="687">
      <c r="A687" s="30" t="inlineStr">
        <is>
          <t>v_demander</t>
        </is>
      </c>
      <c r="B687" s="26">
        <f>IFERROR(INDEX(Mots!$B:$B,MATCH($A687,Mots!$A:$A,0)),"introuvable")</f>
        <v/>
      </c>
      <c r="N687" s="30" t="inlineStr">
        <is>
          <t>communiquer</t>
        </is>
      </c>
    </row>
    <row r="688">
      <c r="A688" s="30" t="inlineStr">
        <is>
          <t>v_deviner</t>
        </is>
      </c>
      <c r="B688" s="26">
        <f>IFERROR(INDEX(Mots!$B:$B,MATCH($A688,Mots!$A:$A,0)),"introuvable")</f>
        <v/>
      </c>
      <c r="N688" s="30" t="inlineStr">
        <is>
          <t>penser</t>
        </is>
      </c>
    </row>
    <row r="689">
      <c r="A689" s="30" t="inlineStr">
        <is>
          <t>v_dire</t>
        </is>
      </c>
      <c r="B689" s="26">
        <f>IFERROR(INDEX(Mots!$B:$B,MATCH($A689,Mots!$A:$A,0)),"introuvable")</f>
        <v/>
      </c>
      <c r="N689" s="30" t="inlineStr">
        <is>
          <t>communiquer</t>
        </is>
      </c>
    </row>
    <row r="690">
      <c r="A690" s="30" t="inlineStr">
        <is>
          <t>v_donner</t>
        </is>
      </c>
      <c r="B690" s="26">
        <f>IFERROR(INDEX(Mots!$B:$B,MATCH($A690,Mots!$A:$A,0)),"introuvable")</f>
        <v/>
      </c>
      <c r="N690" s="30" t="inlineStr">
        <is>
          <t>donner_recevoir</t>
        </is>
      </c>
    </row>
    <row r="691">
      <c r="A691" s="30" t="inlineStr">
        <is>
          <t>v_dormir</t>
        </is>
      </c>
      <c r="B691" s="26">
        <f>IFERROR(INDEX(Mots!$B:$B,MATCH($A691,Mots!$A:$A,0)),"introuvable")</f>
        <v/>
      </c>
      <c r="I691" s="30" t="inlineStr">
        <is>
          <t>chambre</t>
        </is>
      </c>
      <c r="N691" s="30" t="inlineStr">
        <is>
          <t>se_reposer</t>
        </is>
      </c>
    </row>
    <row r="692">
      <c r="A692" s="30" t="inlineStr">
        <is>
          <t>douce</t>
        </is>
      </c>
      <c r="B692" s="26">
        <f>IFERROR(INDEX(Mots!$B:$B,MATCH($A692,Mots!$A:$A,0)),"introuvable")</f>
        <v/>
      </c>
      <c r="S692" s="30" t="inlineStr">
        <is>
          <t>toucher</t>
        </is>
      </c>
      <c r="T692" s="30" t="inlineStr">
        <is>
          <t>gout</t>
        </is>
      </c>
      <c r="U692" s="30" t="inlineStr">
        <is>
          <t>prix</t>
        </is>
      </c>
    </row>
    <row r="693">
      <c r="A693" s="30" t="inlineStr">
        <is>
          <t>doucement</t>
        </is>
      </c>
      <c r="B693" s="26">
        <f>IFERROR(INDEX(Mots!$B:$B,MATCH($A693,Mots!$A:$A,0)),"introuvable")</f>
        <v/>
      </c>
      <c r="G693" s="30" t="inlineStr">
        <is>
          <t>liaison</t>
        </is>
      </c>
    </row>
    <row r="694">
      <c r="A694" s="30" t="inlineStr">
        <is>
          <t>v_douter</t>
        </is>
      </c>
      <c r="B694" s="26">
        <f>IFERROR(INDEX(Mots!$B:$B,MATCH($A694,Mots!$A:$A,0)),"introuvable")</f>
        <v/>
      </c>
      <c r="N694" s="30" t="inlineStr">
        <is>
          <t>penser</t>
        </is>
      </c>
    </row>
    <row r="695">
      <c r="A695" s="30" t="inlineStr">
        <is>
          <t>v_ecouter</t>
        </is>
      </c>
      <c r="B695" s="26">
        <f>IFERROR(INDEX(Mots!$B:$B,MATCH($A695,Mots!$A:$A,0)),"introuvable")</f>
        <v/>
      </c>
      <c r="N695" s="30" t="inlineStr">
        <is>
          <t>communiquer</t>
        </is>
      </c>
    </row>
    <row r="696">
      <c r="A696" s="30" t="inlineStr">
        <is>
          <t>v_ecrire</t>
        </is>
      </c>
      <c r="B696" s="26">
        <f>IFERROR(INDEX(Mots!$B:$B,MATCH($A696,Mots!$A:$A,0)),"introuvable")</f>
        <v/>
      </c>
      <c r="N696" s="30" t="inlineStr">
        <is>
          <t>communiquer</t>
        </is>
      </c>
    </row>
    <row r="697">
      <c r="A697" s="30" t="inlineStr">
        <is>
          <t>a_electrique</t>
        </is>
      </c>
      <c r="B697" s="26">
        <f>IFERROR(INDEX(Mots!$B:$B,MATCH($A697,Mots!$A:$A,0)),"introuvable")</f>
        <v/>
      </c>
      <c r="S697" s="30" t="inlineStr">
        <is>
          <t>etat</t>
        </is>
      </c>
    </row>
    <row r="698">
      <c r="A698" s="30" t="inlineStr">
        <is>
          <t>a_eleve</t>
        </is>
      </c>
      <c r="B698" s="26">
        <f>IFERROR(INDEX(Mots!$B:$B,MATCH($A698,Mots!$A:$A,0)),"introuvable")</f>
        <v/>
      </c>
      <c r="S698" s="30" t="inlineStr">
        <is>
          <t>taille</t>
        </is>
      </c>
      <c r="T698" s="30" t="inlineStr">
        <is>
          <t>position</t>
        </is>
      </c>
    </row>
    <row r="699">
      <c r="A699" s="30" t="inlineStr">
        <is>
          <t>enfin</t>
        </is>
      </c>
      <c r="B699" s="26">
        <f>IFERROR(INDEX(Mots!$B:$B,MATCH($A699,Mots!$A:$A,0)),"introuvable")</f>
        <v/>
      </c>
      <c r="G699" s="30" t="inlineStr">
        <is>
          <t>distance</t>
        </is>
      </c>
    </row>
    <row r="700">
      <c r="A700" s="30" t="inlineStr">
        <is>
          <t>a_enflamme</t>
        </is>
      </c>
      <c r="B700" s="26">
        <f>IFERROR(INDEX(Mots!$B:$B,MATCH($A700,Mots!$A:$A,0)),"introuvable")</f>
        <v/>
      </c>
      <c r="S700" s="30" t="inlineStr">
        <is>
          <t>temperature</t>
        </is>
      </c>
      <c r="T700" s="30" t="inlineStr">
        <is>
          <t>etat</t>
        </is>
      </c>
    </row>
    <row r="701">
      <c r="A701" s="30" t="inlineStr">
        <is>
          <t>ensemble</t>
        </is>
      </c>
      <c r="B701" s="26">
        <f>IFERROR(INDEX(Mots!$B:$B,MATCH($A701,Mots!$A:$A,0)),"introuvable")</f>
        <v/>
      </c>
      <c r="G701" s="30" t="inlineStr">
        <is>
          <t>liaison</t>
        </is>
      </c>
    </row>
    <row r="702">
      <c r="A702" s="30" t="inlineStr">
        <is>
          <t>ensuite</t>
        </is>
      </c>
      <c r="B702" s="26">
        <f>IFERROR(INDEX(Mots!$B:$B,MATCH($A702,Mots!$A:$A,0)),"introuvable")</f>
        <v/>
      </c>
      <c r="G702" s="30" t="inlineStr">
        <is>
          <t>distance</t>
        </is>
      </c>
    </row>
    <row r="703">
      <c r="A703" s="30" t="inlineStr">
        <is>
          <t>v_entrer</t>
        </is>
      </c>
      <c r="B703" s="26">
        <f>IFERROR(INDEX(Mots!$B:$B,MATCH($A703,Mots!$A:$A,0)),"introuvable")</f>
        <v/>
      </c>
      <c r="N703" s="30" t="inlineStr">
        <is>
          <t>se_deplacer</t>
        </is>
      </c>
    </row>
    <row r="704">
      <c r="A704" s="30" t="inlineStr">
        <is>
          <t>environ</t>
        </is>
      </c>
      <c r="B704" s="26">
        <f>IFERROR(INDEX(Mots!$B:$B,MATCH($A704,Mots!$A:$A,0)),"introuvable")</f>
        <v/>
      </c>
      <c r="G704" s="30" t="inlineStr">
        <is>
          <t>distance</t>
        </is>
      </c>
    </row>
    <row r="705">
      <c r="A705" s="30" t="inlineStr">
        <is>
          <t>v_essayer</t>
        </is>
      </c>
      <c r="B705" s="26">
        <f>IFERROR(INDEX(Mots!$B:$B,MATCH($A705,Mots!$A:$A,0)),"introuvable")</f>
        <v/>
      </c>
      <c r="N705" s="30" t="inlineStr">
        <is>
          <t>s_habiller</t>
        </is>
      </c>
    </row>
    <row r="706">
      <c r="A706" s="30" t="inlineStr">
        <is>
          <t>v_expliquer</t>
        </is>
      </c>
      <c r="B706" s="26">
        <f>IFERROR(INDEX(Mots!$B:$B,MATCH($A706,Mots!$A:$A,0)),"introuvable")</f>
        <v/>
      </c>
      <c r="N706" s="30" t="inlineStr">
        <is>
          <t>communiquer</t>
        </is>
      </c>
      <c r="O706" s="30" t="inlineStr">
        <is>
          <t>penser</t>
        </is>
      </c>
      <c r="P706" s="30" t="inlineStr">
        <is>
          <t>donner_recevoir</t>
        </is>
      </c>
    </row>
    <row r="707">
      <c r="A707" s="30" t="inlineStr">
        <is>
          <t>expres</t>
        </is>
      </c>
      <c r="B707" s="26">
        <f>IFERROR(INDEX(Mots!$B:$B,MATCH($A707,Mots!$A:$A,0)),"introuvable")</f>
        <v/>
      </c>
      <c r="G707" s="30" t="inlineStr">
        <is>
          <t>distance</t>
        </is>
      </c>
    </row>
    <row r="708">
      <c r="A708" s="30" t="inlineStr">
        <is>
          <t>exterieur</t>
        </is>
      </c>
      <c r="B708" s="26">
        <f>IFERROR(INDEX(Mots!$B:$B,MATCH($A708,Mots!$A:$A,0)),"introuvable")</f>
        <v/>
      </c>
      <c r="S708" s="30" t="inlineStr">
        <is>
          <t>position</t>
        </is>
      </c>
    </row>
    <row r="709">
      <c r="A709" s="30" t="inlineStr">
        <is>
          <t>v_faire</t>
        </is>
      </c>
      <c r="B709" s="26">
        <f>IFERROR(INDEX(Mots!$B:$B,MATCH($A709,Mots!$A:$A,0)),"introuvable")</f>
        <v/>
      </c>
      <c r="N709" s="30" t="inlineStr">
        <is>
          <t>bricoler</t>
        </is>
      </c>
    </row>
    <row r="710">
      <c r="A710" s="30" t="inlineStr">
        <is>
          <t>v_feliciter</t>
        </is>
      </c>
      <c r="B710" s="26">
        <f>IFERROR(INDEX(Mots!$B:$B,MATCH($A710,Mots!$A:$A,0)),"introuvable")</f>
        <v/>
      </c>
      <c r="I710" s="30" t="inlineStr">
        <is>
          <t>travail</t>
        </is>
      </c>
      <c r="N710" s="30" t="inlineStr">
        <is>
          <t>communiquer</t>
        </is>
      </c>
      <c r="O710" s="30" t="inlineStr">
        <is>
          <t>penser</t>
        </is>
      </c>
    </row>
    <row r="711">
      <c r="A711" s="30" t="inlineStr">
        <is>
          <t>v_fermer</t>
        </is>
      </c>
      <c r="B711" s="26">
        <f>IFERROR(INDEX(Mots!$B:$B,MATCH($A711,Mots!$A:$A,0)),"introuvable")</f>
        <v/>
      </c>
      <c r="I711" s="30" t="inlineStr">
        <is>
          <t>maison</t>
        </is>
      </c>
    </row>
    <row r="712">
      <c r="A712" s="30" t="inlineStr">
        <is>
          <t>a_frais</t>
        </is>
      </c>
      <c r="B712" s="26">
        <f>IFERROR(INDEX(Mots!$B:$B,MATCH($A712,Mots!$A:$A,0)),"introuvable")</f>
        <v/>
      </c>
      <c r="S712" s="30" t="inlineStr">
        <is>
          <t>temperature</t>
        </is>
      </c>
    </row>
    <row r="713">
      <c r="A713" s="30" t="inlineStr">
        <is>
          <t>v_frapper</t>
        </is>
      </c>
      <c r="B713" s="26">
        <f>IFERROR(INDEX(Mots!$B:$B,MATCH($A713,Mots!$A:$A,0)),"introuvable")</f>
        <v/>
      </c>
      <c r="N713" s="30" t="inlineStr">
        <is>
          <t>donner_recevoir</t>
        </is>
      </c>
    </row>
    <row r="714">
      <c r="A714" s="30" t="inlineStr">
        <is>
          <t>v_gagner</t>
        </is>
      </c>
      <c r="B714" s="26">
        <f>IFERROR(INDEX(Mots!$B:$B,MATCH($A714,Mots!$A:$A,0)),"introuvable")</f>
        <v/>
      </c>
      <c r="I714" s="30" t="inlineStr">
        <is>
          <t>travail</t>
        </is>
      </c>
    </row>
    <row r="715">
      <c r="A715" s="30" t="inlineStr">
        <is>
          <t>gautier_m</t>
        </is>
      </c>
      <c r="B715" s="26">
        <f>IFERROR(INDEX(Mots!$B:$B,MATCH($A715,Mots!$A:$A,0)),"introuvable")</f>
        <v/>
      </c>
      <c r="N715" s="30" t="inlineStr">
        <is>
          <t>communiquer</t>
        </is>
      </c>
    </row>
    <row r="716">
      <c r="A716" s="30" t="inlineStr">
        <is>
          <t>gentiment</t>
        </is>
      </c>
      <c r="B716" s="26">
        <f>IFERROR(INDEX(Mots!$B:$B,MATCH($A716,Mots!$A:$A,0)),"introuvable")</f>
        <v/>
      </c>
      <c r="G716" s="30" t="inlineStr">
        <is>
          <t>liaison</t>
        </is>
      </c>
    </row>
    <row r="717">
      <c r="A717" s="30" t="inlineStr">
        <is>
          <t>v_gouter</t>
        </is>
      </c>
      <c r="B717" s="26">
        <f>IFERROR(INDEX(Mots!$B:$B,MATCH($A717,Mots!$A:$A,0)),"introuvable")</f>
        <v/>
      </c>
      <c r="I717" s="30" t="inlineStr">
        <is>
          <t>cuisine</t>
        </is>
      </c>
      <c r="N717" s="30" t="inlineStr">
        <is>
          <t>manger_boire</t>
        </is>
      </c>
    </row>
    <row r="718">
      <c r="A718" s="30" t="inlineStr">
        <is>
          <t>grand_maman_leontine</t>
        </is>
      </c>
      <c r="B718" s="26">
        <f>IFERROR(INDEX(Mots!$B:$B,MATCH($A718,Mots!$A:$A,0)),"introuvable")</f>
        <v/>
      </c>
      <c r="W718" s="30" t="inlineStr">
        <is>
          <t>famille</t>
        </is>
      </c>
    </row>
    <row r="719">
      <c r="A719" s="30" t="inlineStr">
        <is>
          <t>gratuit</t>
        </is>
      </c>
      <c r="B719" s="26">
        <f>IFERROR(INDEX(Mots!$B:$B,MATCH($A719,Mots!$A:$A,0)),"introuvable")</f>
        <v/>
      </c>
      <c r="S719" s="30" t="inlineStr">
        <is>
          <t>prix</t>
        </is>
      </c>
    </row>
    <row r="720">
      <c r="A720" s="30" t="inlineStr">
        <is>
          <t>heureux</t>
        </is>
      </c>
      <c r="B720" s="26">
        <f>IFERROR(INDEX(Mots!$B:$B,MATCH($A720,Mots!$A:$A,0)),"introuvable")</f>
        <v/>
      </c>
      <c r="S720" s="30" t="inlineStr">
        <is>
          <t>humeur</t>
        </is>
      </c>
    </row>
    <row r="721">
      <c r="A721" s="30" t="inlineStr">
        <is>
          <t>ici</t>
        </is>
      </c>
      <c r="B721" s="26">
        <f>IFERROR(INDEX(Mots!$B:$B,MATCH($A721,Mots!$A:$A,0)),"introuvable")</f>
        <v/>
      </c>
      <c r="G721" s="30" t="inlineStr">
        <is>
          <t>liaison</t>
        </is>
      </c>
    </row>
    <row r="722">
      <c r="A722" s="30" t="inlineStr">
        <is>
          <t>v_imaginer</t>
        </is>
      </c>
      <c r="B722" s="26">
        <f>IFERROR(INDEX(Mots!$B:$B,MATCH($A722,Mots!$A:$A,0)),"introuvable")</f>
        <v/>
      </c>
      <c r="I722" s="30" t="inlineStr">
        <is>
          <t>dehors</t>
        </is>
      </c>
      <c r="N722" s="30" t="inlineStr">
        <is>
          <t>penser</t>
        </is>
      </c>
    </row>
    <row r="723">
      <c r="A723" s="30" t="inlineStr">
        <is>
          <t>a_important</t>
        </is>
      </c>
      <c r="B723" s="26">
        <f>IFERROR(INDEX(Mots!$B:$B,MATCH($A723,Mots!$A:$A,0)),"introuvable")</f>
        <v/>
      </c>
      <c r="S723" s="30" t="inlineStr">
        <is>
          <t>apparence</t>
        </is>
      </c>
    </row>
    <row r="724">
      <c r="A724" s="30" t="inlineStr">
        <is>
          <t>interieur</t>
        </is>
      </c>
      <c r="B724" s="26">
        <f>IFERROR(INDEX(Mots!$B:$B,MATCH($A724,Mots!$A:$A,0)),"introuvable")</f>
        <v/>
      </c>
      <c r="S724" s="30" t="inlineStr">
        <is>
          <t>position</t>
        </is>
      </c>
    </row>
    <row r="725">
      <c r="A725" s="30" t="inlineStr">
        <is>
          <t>joyeux</t>
        </is>
      </c>
      <c r="B725" s="26">
        <f>IFERROR(INDEX(Mots!$B:$B,MATCH($A725,Mots!$A:$A,0)),"introuvable")</f>
        <v/>
      </c>
      <c r="S725" s="30" t="inlineStr">
        <is>
          <t>etat</t>
        </is>
      </c>
      <c r="T725" s="30" t="inlineStr">
        <is>
          <t>humeur</t>
        </is>
      </c>
    </row>
    <row r="726">
      <c r="A726" s="30" t="inlineStr">
        <is>
          <t>la</t>
        </is>
      </c>
      <c r="B726" s="26">
        <f>IFERROR(INDEX(Mots!$B:$B,MATCH($A726,Mots!$A:$A,0)),"introuvable")</f>
        <v/>
      </c>
      <c r="G726" s="30" t="inlineStr">
        <is>
          <t>distance</t>
        </is>
      </c>
    </row>
    <row r="727">
      <c r="A727" s="30" t="inlineStr">
        <is>
          <t>balance</t>
        </is>
      </c>
      <c r="B727" s="26">
        <f>IFERROR(INDEX(Mots!$B:$B,MATCH($A727,Mots!$A:$A,0)),"introuvable")</f>
        <v/>
      </c>
      <c r="C727" s="30" t="inlineStr">
        <is>
          <t>objet</t>
        </is>
      </c>
      <c r="G727" s="30" t="inlineStr">
        <is>
          <t>poids</t>
        </is>
      </c>
    </row>
    <row r="728">
      <c r="A728" s="30" t="inlineStr">
        <is>
          <t>bibliotheque</t>
        </is>
      </c>
      <c r="B728" s="26">
        <f>IFERROR(INDEX(Mots!$B:$B,MATCH($A728,Mots!$A:$A,0)),"introuvable")</f>
        <v/>
      </c>
      <c r="I728" s="30" t="inlineStr">
        <is>
          <t>maison</t>
        </is>
      </c>
    </row>
    <row r="729">
      <c r="A729" s="30" t="inlineStr">
        <is>
          <t>blessure</t>
        </is>
      </c>
      <c r="B729" s="26">
        <f>IFERROR(INDEX(Mots!$B:$B,MATCH($A729,Mots!$A:$A,0)),"introuvable")</f>
        <v/>
      </c>
      <c r="I729" s="30" t="inlineStr">
        <is>
          <t>sante</t>
        </is>
      </c>
    </row>
    <row r="730">
      <c r="A730" s="30" t="inlineStr">
        <is>
          <t>boite</t>
        </is>
      </c>
      <c r="B730" s="26">
        <f>IFERROR(INDEX(Mots!$B:$B,MATCH($A730,Mots!$A:$A,0)),"introuvable")</f>
        <v/>
      </c>
      <c r="C730" s="30" t="inlineStr">
        <is>
          <t>meuble</t>
        </is>
      </c>
      <c r="I730" s="30" t="inlineStr">
        <is>
          <t>cuisine</t>
        </is>
      </c>
    </row>
    <row r="731">
      <c r="A731" s="30" t="inlineStr">
        <is>
          <t>boutique</t>
        </is>
      </c>
      <c r="B731" s="26">
        <f>IFERROR(INDEX(Mots!$B:$B,MATCH($A731,Mots!$A:$A,0)),"introuvable")</f>
        <v/>
      </c>
      <c r="I731" s="30" t="inlineStr">
        <is>
          <t>ville</t>
        </is>
      </c>
    </row>
    <row r="732">
      <c r="A732" s="30" t="inlineStr">
        <is>
          <t>brise</t>
        </is>
      </c>
      <c r="B732" s="26">
        <f>IFERROR(INDEX(Mots!$B:$B,MATCH($A732,Mots!$A:$A,0)),"introuvable")</f>
        <v/>
      </c>
      <c r="I732" s="30" t="inlineStr">
        <is>
          <t>dehors</t>
        </is>
      </c>
    </row>
    <row r="733">
      <c r="A733" s="30" t="inlineStr">
        <is>
          <t>caisse_paiement</t>
        </is>
      </c>
      <c r="B733" s="26">
        <f>IFERROR(INDEX(Mots!$B:$B,MATCH($A733,Mots!$A:$A,0)),"introuvable")</f>
        <v/>
      </c>
      <c r="I733" s="30" t="inlineStr">
        <is>
          <t>ville</t>
        </is>
      </c>
    </row>
    <row r="734">
      <c r="A734" s="30" t="inlineStr">
        <is>
          <t>campagne</t>
        </is>
      </c>
      <c r="B734" s="26">
        <f>IFERROR(INDEX(Mots!$B:$B,MATCH($A734,Mots!$A:$A,0)),"introuvable")</f>
        <v/>
      </c>
      <c r="I734" s="30" t="inlineStr">
        <is>
          <t>dehors</t>
        </is>
      </c>
      <c r="J734" s="30" t="inlineStr">
        <is>
          <t>ville</t>
        </is>
      </c>
    </row>
    <row r="735">
      <c r="A735" s="30" t="inlineStr">
        <is>
          <t>cascade</t>
        </is>
      </c>
      <c r="B735" s="26">
        <f>IFERROR(INDEX(Mots!$B:$B,MATCH($A735,Mots!$A:$A,0)),"introuvable")</f>
        <v/>
      </c>
      <c r="I735" s="30" t="inlineStr">
        <is>
          <t>dehors</t>
        </is>
      </c>
    </row>
    <row r="736">
      <c r="A736" s="30" t="inlineStr">
        <is>
          <t>cave</t>
        </is>
      </c>
      <c r="B736" s="26">
        <f>IFERROR(INDEX(Mots!$B:$B,MATCH($A736,Mots!$A:$A,0)),"introuvable")</f>
        <v/>
      </c>
      <c r="I736" s="30" t="inlineStr">
        <is>
          <t>maison</t>
        </is>
      </c>
      <c r="J736" s="30" t="inlineStr">
        <is>
          <t>dehors</t>
        </is>
      </c>
    </row>
    <row r="737">
      <c r="A737" s="30" t="inlineStr">
        <is>
          <t>chose</t>
        </is>
      </c>
      <c r="B737" s="26">
        <f>IFERROR(INDEX(Mots!$B:$B,MATCH($A737,Mots!$A:$A,0)),"introuvable")</f>
        <v/>
      </c>
      <c r="C737" s="30" t="inlineStr">
        <is>
          <t>objet</t>
        </is>
      </c>
      <c r="I737" s="30" t="inlineStr">
        <is>
          <t>cuisine</t>
        </is>
      </c>
      <c r="J737" s="30" t="inlineStr">
        <is>
          <t>maison</t>
        </is>
      </c>
      <c r="N737" s="30" t="inlineStr">
        <is>
          <t>communiquer</t>
        </is>
      </c>
    </row>
    <row r="738">
      <c r="A738" s="30" t="inlineStr">
        <is>
          <t>circulation</t>
        </is>
      </c>
      <c r="B738" s="26">
        <f>IFERROR(INDEX(Mots!$B:$B,MATCH($A738,Mots!$A:$A,0)),"introuvable")</f>
        <v/>
      </c>
      <c r="I738" s="30" t="inlineStr">
        <is>
          <t>voiture</t>
        </is>
      </c>
    </row>
    <row r="739">
      <c r="A739" s="30" t="inlineStr">
        <is>
          <t>clairière</t>
        </is>
      </c>
      <c r="B739" s="26">
        <f>IFERROR(INDEX(Mots!$B:$B,MATCH($A739,Mots!$A:$A,0)),"introuvable")</f>
        <v/>
      </c>
      <c r="I739" s="30" t="inlineStr">
        <is>
          <t>dehors</t>
        </is>
      </c>
    </row>
    <row r="740">
      <c r="A740" s="30" t="inlineStr">
        <is>
          <t>collection</t>
        </is>
      </c>
      <c r="B740" s="26">
        <f>IFERROR(INDEX(Mots!$B:$B,MATCH($A740,Mots!$A:$A,0)),"introuvable")</f>
        <v/>
      </c>
      <c r="C740" s="30" t="inlineStr">
        <is>
          <t>objet</t>
        </is>
      </c>
    </row>
    <row r="741">
      <c r="A741" s="30" t="inlineStr">
        <is>
          <t>colline</t>
        </is>
      </c>
      <c r="B741" s="26">
        <f>IFERROR(INDEX(Mots!$B:$B,MATCH($A741,Mots!$A:$A,0)),"introuvable")</f>
        <v/>
      </c>
      <c r="I741" s="30" t="inlineStr">
        <is>
          <t>dehors</t>
        </is>
      </c>
    </row>
    <row r="742">
      <c r="A742" s="30" t="inlineStr">
        <is>
          <t>confiture</t>
        </is>
      </c>
      <c r="B742" s="26">
        <f>IFERROR(INDEX(Mots!$B:$B,MATCH($A742,Mots!$A:$A,0)),"introuvable")</f>
        <v/>
      </c>
      <c r="C742" s="30" t="inlineStr">
        <is>
          <t>aliment</t>
        </is>
      </c>
      <c r="I742" s="30" t="inlineStr">
        <is>
          <t>cuisine</t>
        </is>
      </c>
    </row>
    <row r="743">
      <c r="A743" s="30" t="inlineStr">
        <is>
          <t>construction</t>
        </is>
      </c>
      <c r="B743" s="26">
        <f>IFERROR(INDEX(Mots!$B:$B,MATCH($A743,Mots!$A:$A,0)),"introuvable")</f>
        <v/>
      </c>
      <c r="I743" s="30" t="inlineStr">
        <is>
          <t>maison</t>
        </is>
      </c>
    </row>
    <row r="744">
      <c r="A744" s="30" t="inlineStr">
        <is>
          <t>conversation</t>
        </is>
      </c>
      <c r="B744" s="26">
        <f>IFERROR(INDEX(Mots!$B:$B,MATCH($A744,Mots!$A:$A,0)),"introuvable")</f>
        <v/>
      </c>
      <c r="G744" s="30" t="inlineStr">
        <is>
          <t>temps</t>
        </is>
      </c>
    </row>
    <row r="745">
      <c r="A745" s="30" t="inlineStr">
        <is>
          <t>corde</t>
        </is>
      </c>
      <c r="B745" s="26">
        <f>IFERROR(INDEX(Mots!$B:$B,MATCH($A745,Mots!$A:$A,0)),"introuvable")</f>
        <v/>
      </c>
      <c r="I745" s="30" t="inlineStr">
        <is>
          <t>dehors</t>
        </is>
      </c>
    </row>
    <row r="746">
      <c r="A746" s="30" t="inlineStr">
        <is>
          <t>couverture</t>
        </is>
      </c>
      <c r="B746" s="26">
        <f>IFERROR(INDEX(Mots!$B:$B,MATCH($A746,Mots!$A:$A,0)),"introuvable")</f>
        <v/>
      </c>
      <c r="C746" s="30" t="inlineStr">
        <is>
          <t>matiere</t>
        </is>
      </c>
      <c r="I746" s="30" t="inlineStr">
        <is>
          <t>chambre</t>
        </is>
      </c>
      <c r="N746" s="30" t="inlineStr">
        <is>
          <t>s_habiller</t>
        </is>
      </c>
    </row>
    <row r="747">
      <c r="A747" s="30" t="inlineStr">
        <is>
          <t>curiosite</t>
        </is>
      </c>
      <c r="B747" s="26">
        <f>IFERROR(INDEX(Mots!$B:$B,MATCH($A747,Mots!$A:$A,0)),"introuvable")</f>
        <v/>
      </c>
      <c r="N747" s="30" t="inlineStr">
        <is>
          <t>penser</t>
        </is>
      </c>
    </row>
    <row r="748">
      <c r="A748" s="30" t="inlineStr">
        <is>
          <t>v_depenser</t>
        </is>
      </c>
      <c r="B748" s="26">
        <f>IFERROR(INDEX(Mots!$B:$B,MATCH($A748,Mots!$A:$A,0)),"introuvable")</f>
        <v/>
      </c>
      <c r="I748" s="30" t="inlineStr">
        <is>
          <t>cuisine</t>
        </is>
      </c>
      <c r="J748" s="30" t="inlineStr">
        <is>
          <t>travail</t>
        </is>
      </c>
      <c r="N748" s="30" t="inlineStr">
        <is>
          <t>manger_boire</t>
        </is>
      </c>
      <c r="O748" s="30" t="inlineStr">
        <is>
          <t>travailler</t>
        </is>
      </c>
      <c r="P748" s="30" t="inlineStr">
        <is>
          <t>penser</t>
        </is>
      </c>
      <c r="Q748" s="30" t="inlineStr">
        <is>
          <t>donner_recevoir</t>
        </is>
      </c>
    </row>
    <row r="749">
      <c r="A749" s="30" t="inlineStr">
        <is>
          <t>v_se_detendre</t>
        </is>
      </c>
      <c r="B749" s="26">
        <f>IFERROR(INDEX(Mots!$B:$B,MATCH($A749,Mots!$A:$A,0)),"introuvable")</f>
        <v/>
      </c>
      <c r="N749" s="30" t="inlineStr">
        <is>
          <t>se_reposer</t>
        </is>
      </c>
    </row>
    <row r="750">
      <c r="A750" s="30" t="inlineStr">
        <is>
          <t>dispute</t>
        </is>
      </c>
      <c r="B750" s="26">
        <f>IFERROR(INDEX(Mots!$B:$B,MATCH($A750,Mots!$A:$A,0)),"introuvable")</f>
        <v/>
      </c>
      <c r="G750" s="30" t="inlineStr">
        <is>
          <t>temps</t>
        </is>
      </c>
    </row>
    <row r="751">
      <c r="A751" s="30" t="inlineStr">
        <is>
          <t>douleur</t>
        </is>
      </c>
      <c r="B751" s="26">
        <f>IFERROR(INDEX(Mots!$B:$B,MATCH($A751,Mots!$A:$A,0)),"introuvable")</f>
        <v/>
      </c>
      <c r="I751" s="30" t="inlineStr">
        <is>
          <t>sante</t>
        </is>
      </c>
      <c r="N751" s="30" t="inlineStr">
        <is>
          <t>se_soigner</t>
        </is>
      </c>
    </row>
    <row r="752">
      <c r="A752" s="30" t="inlineStr">
        <is>
          <t>face</t>
        </is>
      </c>
      <c r="B752" s="26">
        <f>IFERROR(INDEX(Mots!$B:$B,MATCH($A752,Mots!$A:$A,0)),"introuvable")</f>
        <v/>
      </c>
      <c r="C752" s="30" t="inlineStr">
        <is>
          <t>objet</t>
        </is>
      </c>
    </row>
    <row r="753">
      <c r="A753" s="30" t="inlineStr">
        <is>
          <t>facture</t>
        </is>
      </c>
      <c r="B753" s="26">
        <f>IFERROR(INDEX(Mots!$B:$B,MATCH($A753,Mots!$A:$A,0)),"introuvable")</f>
        <v/>
      </c>
      <c r="I753" s="30" t="inlineStr">
        <is>
          <t>travail</t>
        </is>
      </c>
      <c r="N753" s="30" t="inlineStr">
        <is>
          <t>travailler</t>
        </is>
      </c>
    </row>
    <row r="754">
      <c r="A754" s="30" t="inlineStr">
        <is>
          <t>falaise</t>
        </is>
      </c>
      <c r="B754" s="26">
        <f>IFERROR(INDEX(Mots!$B:$B,MATCH($A754,Mots!$A:$A,0)),"introuvable")</f>
        <v/>
      </c>
      <c r="I754" s="30" t="inlineStr">
        <is>
          <t>maison</t>
        </is>
      </c>
    </row>
    <row r="755">
      <c r="A755" s="30" t="inlineStr">
        <is>
          <t>farine</t>
        </is>
      </c>
      <c r="B755" s="26">
        <f>IFERROR(INDEX(Mots!$B:$B,MATCH($A755,Mots!$A:$A,0)),"introuvable")</f>
        <v/>
      </c>
      <c r="I755" s="30" t="inlineStr">
        <is>
          <t>cuisine</t>
        </is>
      </c>
    </row>
    <row r="756">
      <c r="A756" s="30" t="inlineStr">
        <is>
          <t>ferme</t>
        </is>
      </c>
      <c r="B756" s="26">
        <f>IFERROR(INDEX(Mots!$B:$B,MATCH($A756,Mots!$A:$A,0)),"introuvable")</f>
        <v/>
      </c>
      <c r="I756" s="30" t="inlineStr">
        <is>
          <t>dehors</t>
        </is>
      </c>
    </row>
    <row r="757">
      <c r="A757" s="30" t="inlineStr">
        <is>
          <t>fete</t>
        </is>
      </c>
      <c r="B757" s="26">
        <f>IFERROR(INDEX(Mots!$B:$B,MATCH($A757,Mots!$A:$A,0)),"introuvable")</f>
        <v/>
      </c>
      <c r="G757" s="30" t="inlineStr">
        <is>
          <t>temps</t>
        </is>
      </c>
    </row>
    <row r="758">
      <c r="A758" s="30" t="inlineStr">
        <is>
          <t>feuille</t>
        </is>
      </c>
      <c r="B758" s="26">
        <f>IFERROR(INDEX(Mots!$B:$B,MATCH($A758,Mots!$A:$A,0)),"introuvable")</f>
        <v/>
      </c>
      <c r="C758" s="30" t="inlineStr">
        <is>
          <t>plante</t>
        </is>
      </c>
      <c r="I758" s="30" t="inlineStr">
        <is>
          <t>dehors</t>
        </is>
      </c>
    </row>
    <row r="759">
      <c r="A759" s="30" t="inlineStr">
        <is>
          <t>fievre</t>
        </is>
      </c>
      <c r="B759" s="26">
        <f>IFERROR(INDEX(Mots!$B:$B,MATCH($A759,Mots!$A:$A,0)),"introuvable")</f>
        <v/>
      </c>
      <c r="I759" s="30" t="inlineStr">
        <is>
          <t>sante</t>
        </is>
      </c>
      <c r="N759" s="30" t="inlineStr">
        <is>
          <t>s_habiller</t>
        </is>
      </c>
    </row>
    <row r="760">
      <c r="A760" s="30" t="inlineStr">
        <is>
          <t>fois</t>
        </is>
      </c>
      <c r="B760" s="26">
        <f>IFERROR(INDEX(Mots!$B:$B,MATCH($A760,Mots!$A:$A,0)),"introuvable")</f>
        <v/>
      </c>
      <c r="N760" s="30" t="inlineStr">
        <is>
          <t>communiquer</t>
        </is>
      </c>
    </row>
    <row r="761">
      <c r="A761" s="30" t="inlineStr">
        <is>
          <t>foule</t>
        </is>
      </c>
      <c r="B761" s="26">
        <f>IFERROR(INDEX(Mots!$B:$B,MATCH($A761,Mots!$A:$A,0)),"introuvable")</f>
        <v/>
      </c>
      <c r="G761" s="30" t="inlineStr">
        <is>
          <t>nombre</t>
        </is>
      </c>
    </row>
    <row r="762">
      <c r="A762" s="30" t="inlineStr">
        <is>
          <t>friandise</t>
        </is>
      </c>
      <c r="B762" s="26">
        <f>IFERROR(INDEX(Mots!$B:$B,MATCH($A762,Mots!$A:$A,0)),"introuvable")</f>
        <v/>
      </c>
      <c r="I762" s="30" t="inlineStr">
        <is>
          <t>cuisine</t>
        </is>
      </c>
      <c r="N762" s="30" t="inlineStr">
        <is>
          <t>communiquer</t>
        </is>
      </c>
    </row>
    <row r="763">
      <c r="A763" s="30" t="inlineStr">
        <is>
          <t>garantie</t>
        </is>
      </c>
      <c r="B763" s="26">
        <f>IFERROR(INDEX(Mots!$B:$B,MATCH($A763,Mots!$A:$A,0)),"introuvable")</f>
        <v/>
      </c>
      <c r="I763" s="30" t="inlineStr">
        <is>
          <t>dehors</t>
        </is>
      </c>
      <c r="N763" s="30" t="inlineStr">
        <is>
          <t>bricoler</t>
        </is>
      </c>
    </row>
    <row r="764">
      <c r="A764" s="30" t="inlineStr">
        <is>
          <t>glace</t>
        </is>
      </c>
      <c r="B764" s="26">
        <f>IFERROR(INDEX(Mots!$B:$B,MATCH($A764,Mots!$A:$A,0)),"introuvable")</f>
        <v/>
      </c>
      <c r="I764" s="30" t="inlineStr">
        <is>
          <t>dehors</t>
        </is>
      </c>
    </row>
    <row r="765">
      <c r="A765" s="30" t="inlineStr">
        <is>
          <t>gorge</t>
        </is>
      </c>
      <c r="B765" s="26">
        <f>IFERROR(INDEX(Mots!$B:$B,MATCH($A765,Mots!$A:$A,0)),"introuvable")</f>
        <v/>
      </c>
      <c r="C765" s="30" t="inlineStr">
        <is>
          <t>aliment</t>
        </is>
      </c>
      <c r="N765" s="30" t="inlineStr">
        <is>
          <t>manger_boire</t>
        </is>
      </c>
    </row>
    <row r="766">
      <c r="A766" s="30" t="inlineStr">
        <is>
          <t>goutte</t>
        </is>
      </c>
      <c r="B766" s="26">
        <f>IFERROR(INDEX(Mots!$B:$B,MATCH($A766,Mots!$A:$A,0)),"introuvable")</f>
        <v/>
      </c>
      <c r="N766" s="30" t="inlineStr">
        <is>
          <t>manger_boire</t>
        </is>
      </c>
    </row>
    <row r="767">
      <c r="A767" s="30" t="inlineStr">
        <is>
          <t>graine</t>
        </is>
      </c>
      <c r="B767" s="26">
        <f>IFERROR(INDEX(Mots!$B:$B,MATCH($A767,Mots!$A:$A,0)),"introuvable")</f>
        <v/>
      </c>
      <c r="C767" s="30" t="inlineStr">
        <is>
          <t>plante</t>
        </is>
      </c>
      <c r="I767" s="30" t="inlineStr">
        <is>
          <t>dehors</t>
        </is>
      </c>
    </row>
    <row r="768">
      <c r="A768" s="30" t="inlineStr">
        <is>
          <t>graisse</t>
        </is>
      </c>
      <c r="B768" s="26">
        <f>IFERROR(INDEX(Mots!$B:$B,MATCH($A768,Mots!$A:$A,0)),"introuvable")</f>
        <v/>
      </c>
      <c r="C768" s="30" t="inlineStr">
        <is>
          <t>matiere</t>
        </is>
      </c>
    </row>
    <row r="769">
      <c r="A769" s="30" t="inlineStr">
        <is>
          <t>grille</t>
        </is>
      </c>
      <c r="B769" s="26">
        <f>IFERROR(INDEX(Mots!$B:$B,MATCH($A769,Mots!$A:$A,0)),"introuvable")</f>
        <v/>
      </c>
      <c r="C769" s="30" t="inlineStr">
        <is>
          <t>objet</t>
        </is>
      </c>
      <c r="I769" s="30" t="inlineStr">
        <is>
          <t>voiture</t>
        </is>
      </c>
    </row>
    <row r="770">
      <c r="A770" s="30" t="inlineStr">
        <is>
          <t>guepe</t>
        </is>
      </c>
      <c r="B770" s="26">
        <f>IFERROR(INDEX(Mots!$B:$B,MATCH($A770,Mots!$A:$A,0)),"introuvable")</f>
        <v/>
      </c>
      <c r="C770" s="30" t="inlineStr">
        <is>
          <t>animal</t>
        </is>
      </c>
      <c r="I770" s="30" t="inlineStr">
        <is>
          <t>dehors</t>
        </is>
      </c>
    </row>
    <row r="771">
      <c r="A771" s="30" t="inlineStr">
        <is>
          <t>guerison</t>
        </is>
      </c>
      <c r="B771" s="26">
        <f>IFERROR(INDEX(Mots!$B:$B,MATCH($A771,Mots!$A:$A,0)),"introuvable")</f>
        <v/>
      </c>
      <c r="G771" s="30" t="inlineStr">
        <is>
          <t>temps</t>
        </is>
      </c>
    </row>
    <row r="772">
      <c r="A772" s="30" t="inlineStr">
        <is>
          <t>honte</t>
        </is>
      </c>
      <c r="B772" s="26">
        <f>IFERROR(INDEX(Mots!$B:$B,MATCH($A772,Mots!$A:$A,0)),"introuvable")</f>
        <v/>
      </c>
      <c r="Z772" s="30" t="inlineStr">
        <is>
          <t>desagreable</t>
        </is>
      </c>
    </row>
    <row r="773">
      <c r="A773" s="30" t="inlineStr">
        <is>
          <t>jalousie</t>
        </is>
      </c>
      <c r="B773" s="26">
        <f>IFERROR(INDEX(Mots!$B:$B,MATCH($A773,Mots!$A:$A,0)),"introuvable")</f>
        <v/>
      </c>
      <c r="Z773" s="30" t="inlineStr">
        <is>
          <t>desagreable</t>
        </is>
      </c>
    </row>
    <row r="774">
      <c r="A774" s="30" t="inlineStr">
        <is>
          <t>lame</t>
        </is>
      </c>
      <c r="B774" s="26">
        <f>IFERROR(INDEX(Mots!$B:$B,MATCH($A774,Mots!$A:$A,0)),"introuvable")</f>
        <v/>
      </c>
      <c r="I774" s="30" t="inlineStr">
        <is>
          <t>cuisine</t>
        </is>
      </c>
    </row>
    <row r="775">
      <c r="A775" s="30" t="inlineStr">
        <is>
          <t>larme</t>
        </is>
      </c>
      <c r="B775" s="26">
        <f>IFERROR(INDEX(Mots!$B:$B,MATCH($A775,Mots!$A:$A,0)),"introuvable")</f>
        <v/>
      </c>
      <c r="N775" s="30" t="inlineStr">
        <is>
          <t>manger_boire</t>
        </is>
      </c>
    </row>
    <row r="776">
      <c r="A776" s="30" t="inlineStr">
        <is>
          <t>loupe</t>
        </is>
      </c>
      <c r="B776" s="26">
        <f>IFERROR(INDEX(Mots!$B:$B,MATCH($A776,Mots!$A:$A,0)),"introuvable")</f>
        <v/>
      </c>
      <c r="I776" s="30" t="inlineStr">
        <is>
          <t>cuisine</t>
        </is>
      </c>
    </row>
    <row r="777">
      <c r="A777" s="30" t="inlineStr">
        <is>
          <t>machine</t>
        </is>
      </c>
      <c r="B777" s="26">
        <f>IFERROR(INDEX(Mots!$B:$B,MATCH($A777,Mots!$A:$A,0)),"introuvable")</f>
        <v/>
      </c>
      <c r="C777" s="30" t="inlineStr">
        <is>
          <t>appareil</t>
        </is>
      </c>
      <c r="I777" s="30" t="inlineStr">
        <is>
          <t>dehors</t>
        </is>
      </c>
      <c r="J777" s="30" t="inlineStr">
        <is>
          <t>travail</t>
        </is>
      </c>
    </row>
    <row r="778">
      <c r="A778" s="30" t="inlineStr">
        <is>
          <t>maladie</t>
        </is>
      </c>
      <c r="B778" s="26">
        <f>IFERROR(INDEX(Mots!$B:$B,MATCH($A778,Mots!$A:$A,0)),"introuvable")</f>
        <v/>
      </c>
      <c r="I778" s="30" t="inlineStr">
        <is>
          <t>sante</t>
        </is>
      </c>
      <c r="N778" s="30" t="inlineStr">
        <is>
          <t>se_soigner</t>
        </is>
      </c>
    </row>
    <row r="779">
      <c r="A779" s="30" t="inlineStr">
        <is>
          <t>manche</t>
        </is>
      </c>
      <c r="B779" s="26">
        <f>IFERROR(INDEX(Mots!$B:$B,MATCH($A779,Mots!$A:$A,0)),"introuvable")</f>
        <v/>
      </c>
      <c r="C779" s="30" t="inlineStr">
        <is>
          <t>vetement</t>
        </is>
      </c>
      <c r="N779" s="30" t="inlineStr">
        <is>
          <t>s_habiller</t>
        </is>
      </c>
    </row>
    <row r="780">
      <c r="A780" s="30" t="inlineStr">
        <is>
          <t>masse</t>
        </is>
      </c>
      <c r="B780" s="26">
        <f>IFERROR(INDEX(Mots!$B:$B,MATCH($A780,Mots!$A:$A,0)),"introuvable")</f>
        <v/>
      </c>
      <c r="C780" s="30" t="inlineStr">
        <is>
          <t>matiere</t>
        </is>
      </c>
    </row>
    <row r="781">
      <c r="A781" s="30" t="inlineStr">
        <is>
          <t>matiere</t>
        </is>
      </c>
      <c r="B781" s="26">
        <f>IFERROR(INDEX(Mots!$B:$B,MATCH($A781,Mots!$A:$A,0)),"introuvable")</f>
        <v/>
      </c>
      <c r="C781" s="30" t="inlineStr">
        <is>
          <t>matiere</t>
        </is>
      </c>
      <c r="N781" s="30" t="inlineStr">
        <is>
          <t>s_habiller</t>
        </is>
      </c>
    </row>
    <row r="782">
      <c r="A782" s="30" t="inlineStr">
        <is>
          <t>memoire</t>
        </is>
      </c>
      <c r="B782" s="26">
        <f>IFERROR(INDEX(Mots!$B:$B,MATCH($A782,Mots!$A:$A,0)),"introuvable")</f>
        <v/>
      </c>
      <c r="N782" s="30" t="inlineStr">
        <is>
          <t>penser</t>
        </is>
      </c>
    </row>
    <row r="783">
      <c r="A783" s="30" t="inlineStr">
        <is>
          <t>meteo</t>
        </is>
      </c>
      <c r="B783" s="26">
        <f>IFERROR(INDEX(Mots!$B:$B,MATCH($A783,Mots!$A:$A,0)),"introuvable")</f>
        <v/>
      </c>
      <c r="I783" s="30" t="inlineStr">
        <is>
          <t>dehors</t>
        </is>
      </c>
    </row>
    <row r="784">
      <c r="A784" s="30" t="inlineStr">
        <is>
          <t>montre</t>
        </is>
      </c>
      <c r="B784" s="26">
        <f>IFERROR(INDEX(Mots!$B:$B,MATCH($A784,Mots!$A:$A,0)),"introuvable")</f>
        <v/>
      </c>
      <c r="C784" s="30" t="inlineStr">
        <is>
          <t>objet</t>
        </is>
      </c>
      <c r="G784" s="30" t="inlineStr">
        <is>
          <t>temps</t>
        </is>
      </c>
      <c r="I784" s="30" t="inlineStr">
        <is>
          <t>maison</t>
        </is>
      </c>
    </row>
    <row r="785">
      <c r="A785" s="30" t="inlineStr">
        <is>
          <t>mousse</t>
        </is>
      </c>
      <c r="B785" s="26">
        <f>IFERROR(INDEX(Mots!$B:$B,MATCH($A785,Mots!$A:$A,0)),"introuvable")</f>
        <v/>
      </c>
      <c r="C785" s="30" t="inlineStr">
        <is>
          <t>plante</t>
        </is>
      </c>
      <c r="I785" s="30" t="inlineStr">
        <is>
          <t>dehors</t>
        </is>
      </c>
    </row>
    <row r="786">
      <c r="A786" s="30" t="inlineStr">
        <is>
          <t>naissance</t>
        </is>
      </c>
      <c r="B786" s="26">
        <f>IFERROR(INDEX(Mots!$B:$B,MATCH($A786,Mots!$A:$A,0)),"introuvable")</f>
        <v/>
      </c>
      <c r="G786" s="30" t="inlineStr">
        <is>
          <t>temps</t>
        </is>
      </c>
    </row>
    <row r="787">
      <c r="A787" s="30" t="inlineStr">
        <is>
          <t>nature</t>
        </is>
      </c>
      <c r="B787" s="26">
        <f>IFERROR(INDEX(Mots!$B:$B,MATCH($A787,Mots!$A:$A,0)),"introuvable")</f>
        <v/>
      </c>
      <c r="C787" s="30" t="inlineStr">
        <is>
          <t>plante</t>
        </is>
      </c>
      <c r="I787" s="30" t="inlineStr">
        <is>
          <t>dehors</t>
        </is>
      </c>
    </row>
    <row r="788">
      <c r="A788" s="30" t="inlineStr">
        <is>
          <t>neige</t>
        </is>
      </c>
      <c r="B788" s="26">
        <f>IFERROR(INDEX(Mots!$B:$B,MATCH($A788,Mots!$A:$A,0)),"introuvable")</f>
        <v/>
      </c>
      <c r="I788" s="30" t="inlineStr">
        <is>
          <t>dehors</t>
        </is>
      </c>
    </row>
    <row r="789">
      <c r="A789" s="30" t="inlineStr">
        <is>
          <t>panne</t>
        </is>
      </c>
      <c r="B789" s="26">
        <f>IFERROR(INDEX(Mots!$B:$B,MATCH($A789,Mots!$A:$A,0)),"introuvable")</f>
        <v/>
      </c>
      <c r="G789" s="30" t="inlineStr">
        <is>
          <t>temps</t>
        </is>
      </c>
    </row>
    <row r="790">
      <c r="A790" s="30" t="inlineStr">
        <is>
          <t>paroi</t>
        </is>
      </c>
      <c r="B790" s="26">
        <f>IFERROR(INDEX(Mots!$B:$B,MATCH($A790,Mots!$A:$A,0)),"introuvable")</f>
        <v/>
      </c>
      <c r="I790" s="30" t="inlineStr">
        <is>
          <t>maison</t>
        </is>
      </c>
    </row>
    <row r="791">
      <c r="A791" s="30" t="inlineStr">
        <is>
          <t>patte</t>
        </is>
      </c>
      <c r="B791" s="26">
        <f>IFERROR(INDEX(Mots!$B:$B,MATCH($A791,Mots!$A:$A,0)),"introuvable")</f>
        <v/>
      </c>
      <c r="C791" s="30" t="inlineStr">
        <is>
          <t>animal</t>
        </is>
      </c>
      <c r="I791" s="30" t="inlineStr">
        <is>
          <t>dehors</t>
        </is>
      </c>
    </row>
    <row r="792">
      <c r="A792" s="30" t="inlineStr">
        <is>
          <t>peine</t>
        </is>
      </c>
      <c r="B792" s="26">
        <f>IFERROR(INDEX(Mots!$B:$B,MATCH($A792,Mots!$A:$A,0)),"introuvable")</f>
        <v/>
      </c>
      <c r="Z792" s="30" t="inlineStr">
        <is>
          <t>desagreable</t>
        </is>
      </c>
    </row>
    <row r="793">
      <c r="A793" s="30" t="inlineStr">
        <is>
          <t>peinture</t>
        </is>
      </c>
      <c r="B793" s="26">
        <f>IFERROR(INDEX(Mots!$B:$B,MATCH($A793,Mots!$A:$A,0)),"introuvable")</f>
        <v/>
      </c>
      <c r="C793" s="30" t="inlineStr">
        <is>
          <t>objet</t>
        </is>
      </c>
      <c r="I793" s="30" t="inlineStr">
        <is>
          <t>maison</t>
        </is>
      </c>
    </row>
    <row r="794">
      <c r="A794" s="30" t="inlineStr">
        <is>
          <t>personne</t>
        </is>
      </c>
      <c r="B794" s="26">
        <f>IFERROR(INDEX(Mots!$B:$B,MATCH($A794,Mots!$A:$A,0)),"introuvable")</f>
        <v/>
      </c>
      <c r="I794" s="30" t="inlineStr">
        <is>
          <t>maison</t>
        </is>
      </c>
    </row>
    <row r="795">
      <c r="A795" s="30" t="inlineStr">
        <is>
          <t>pharmacie</t>
        </is>
      </c>
      <c r="B795" s="26">
        <f>IFERROR(INDEX(Mots!$B:$B,MATCH($A795,Mots!$A:$A,0)),"introuvable")</f>
        <v/>
      </c>
      <c r="I795" s="30" t="inlineStr">
        <is>
          <t>ville</t>
        </is>
      </c>
      <c r="J795" s="30" t="inlineStr">
        <is>
          <t>sante</t>
        </is>
      </c>
    </row>
    <row r="796">
      <c r="A796" s="30" t="inlineStr">
        <is>
          <t>photo</t>
        </is>
      </c>
      <c r="B796" s="26">
        <f>IFERROR(INDEX(Mots!$B:$B,MATCH($A796,Mots!$A:$A,0)),"introuvable")</f>
        <v/>
      </c>
      <c r="C796" s="30" t="inlineStr">
        <is>
          <t>appareil</t>
        </is>
      </c>
    </row>
    <row r="797">
      <c r="A797" s="30" t="inlineStr">
        <is>
          <t>pince</t>
        </is>
      </c>
      <c r="B797" s="26">
        <f>IFERROR(INDEX(Mots!$B:$B,MATCH($A797,Mots!$A:$A,0)),"introuvable")</f>
        <v/>
      </c>
      <c r="C797" s="30" t="inlineStr">
        <is>
          <t>outil</t>
        </is>
      </c>
      <c r="N797" s="30" t="inlineStr">
        <is>
          <t>bricoler</t>
        </is>
      </c>
    </row>
    <row r="798">
      <c r="A798" s="30" t="inlineStr">
        <is>
          <t>piqure</t>
        </is>
      </c>
      <c r="B798" s="26">
        <f>IFERROR(INDEX(Mots!$B:$B,MATCH($A798,Mots!$A:$A,0)),"introuvable")</f>
        <v/>
      </c>
      <c r="C798" s="30" t="inlineStr">
        <is>
          <t>animal</t>
        </is>
      </c>
      <c r="I798" s="30" t="inlineStr">
        <is>
          <t>dehors</t>
        </is>
      </c>
    </row>
    <row r="799">
      <c r="A799" s="30" t="inlineStr">
        <is>
          <t>place</t>
        </is>
      </c>
      <c r="B799" s="26">
        <f>IFERROR(INDEX(Mots!$B:$B,MATCH($A799,Mots!$A:$A,0)),"introuvable")</f>
        <v/>
      </c>
      <c r="I799" s="30" t="inlineStr">
        <is>
          <t>dehors</t>
        </is>
      </c>
      <c r="J799" s="30" t="inlineStr">
        <is>
          <t>ville</t>
        </is>
      </c>
    </row>
    <row r="800">
      <c r="A800" s="30" t="inlineStr">
        <is>
          <t>planete</t>
        </is>
      </c>
      <c r="B800" s="26">
        <f>IFERROR(INDEX(Mots!$B:$B,MATCH($A800,Mots!$A:$A,0)),"introuvable")</f>
        <v/>
      </c>
      <c r="I800" s="30" t="inlineStr">
        <is>
          <t>dehors</t>
        </is>
      </c>
    </row>
    <row r="801">
      <c r="A801" s="30" t="inlineStr">
        <is>
          <t>pluie</t>
        </is>
      </c>
      <c r="B801" s="26">
        <f>IFERROR(INDEX(Mots!$B:$B,MATCH($A801,Mots!$A:$A,0)),"introuvable")</f>
        <v/>
      </c>
      <c r="I801" s="30" t="inlineStr">
        <is>
          <t>dehors</t>
        </is>
      </c>
    </row>
    <row r="802">
      <c r="A802" s="30" t="inlineStr">
        <is>
          <t>plume</t>
        </is>
      </c>
      <c r="B802" s="26">
        <f>IFERROR(INDEX(Mots!$B:$B,MATCH($A802,Mots!$A:$A,0)),"introuvable")</f>
        <v/>
      </c>
      <c r="C802" s="30" t="inlineStr">
        <is>
          <t>animal</t>
        </is>
      </c>
      <c r="I802" s="30" t="inlineStr">
        <is>
          <t>dehors</t>
        </is>
      </c>
    </row>
    <row r="803">
      <c r="A803" s="30" t="inlineStr">
        <is>
          <t>poche</t>
        </is>
      </c>
      <c r="B803" s="26">
        <f>IFERROR(INDEX(Mots!$B:$B,MATCH($A803,Mots!$A:$A,0)),"introuvable")</f>
        <v/>
      </c>
      <c r="C803" s="30" t="inlineStr">
        <is>
          <t>meuble</t>
        </is>
      </c>
      <c r="N803" s="30" t="inlineStr">
        <is>
          <t>s_habiller</t>
        </is>
      </c>
    </row>
    <row r="804">
      <c r="A804" s="30" t="inlineStr">
        <is>
          <t>pommade</t>
        </is>
      </c>
      <c r="B804" s="26">
        <f>IFERROR(INDEX(Mots!$B:$B,MATCH($A804,Mots!$A:$A,0)),"introuvable")</f>
        <v/>
      </c>
      <c r="I804" s="30" t="inlineStr">
        <is>
          <t>sante</t>
        </is>
      </c>
      <c r="N804" s="30" t="inlineStr">
        <is>
          <t>se_soigner</t>
        </is>
      </c>
    </row>
    <row r="805">
      <c r="A805" s="30" t="inlineStr">
        <is>
          <t>poste</t>
        </is>
      </c>
      <c r="B805" s="26">
        <f>IFERROR(INDEX(Mots!$B:$B,MATCH($A805,Mots!$A:$A,0)),"introuvable")</f>
        <v/>
      </c>
      <c r="I805" s="30" t="inlineStr">
        <is>
          <t>ville</t>
        </is>
      </c>
    </row>
    <row r="806">
      <c r="A806" s="30" t="inlineStr">
        <is>
          <t>poubelle</t>
        </is>
      </c>
      <c r="B806" s="26">
        <f>IFERROR(INDEX(Mots!$B:$B,MATCH($A806,Mots!$A:$A,0)),"introuvable")</f>
        <v/>
      </c>
      <c r="C806" s="30" t="inlineStr">
        <is>
          <t>recipient</t>
        </is>
      </c>
      <c r="I806" s="30" t="inlineStr">
        <is>
          <t>cuisine</t>
        </is>
      </c>
    </row>
    <row r="807">
      <c r="A807" s="30" t="inlineStr">
        <is>
          <t>poudre</t>
        </is>
      </c>
      <c r="B807" s="26">
        <f>IFERROR(INDEX(Mots!$B:$B,MATCH($A807,Mots!$A:$A,0)),"introuvable")</f>
        <v/>
      </c>
      <c r="C807" s="30" t="inlineStr">
        <is>
          <t>matiere</t>
        </is>
      </c>
      <c r="I807" s="30" t="inlineStr">
        <is>
          <t>cuisine</t>
        </is>
      </c>
    </row>
    <row r="808">
      <c r="A808" s="30" t="inlineStr">
        <is>
          <t>poussiere</t>
        </is>
      </c>
      <c r="B808" s="26">
        <f>IFERROR(INDEX(Mots!$B:$B,MATCH($A808,Mots!$A:$A,0)),"introuvable")</f>
        <v/>
      </c>
      <c r="I808" s="30" t="inlineStr">
        <is>
          <t>maison</t>
        </is>
      </c>
      <c r="N808" s="30" t="inlineStr">
        <is>
          <t>nettoyer</t>
        </is>
      </c>
    </row>
    <row r="809">
      <c r="A809" s="30" t="inlineStr">
        <is>
          <t>prairie</t>
        </is>
      </c>
      <c r="B809" s="26">
        <f>IFERROR(INDEX(Mots!$B:$B,MATCH($A809,Mots!$A:$A,0)),"introuvable")</f>
        <v/>
      </c>
      <c r="I809" s="30" t="inlineStr">
        <is>
          <t>dehors</t>
        </is>
      </c>
    </row>
    <row r="810">
      <c r="A810" s="30" t="inlineStr">
        <is>
          <t>promenade</t>
        </is>
      </c>
      <c r="B810" s="26">
        <f>IFERROR(INDEX(Mots!$B:$B,MATCH($A810,Mots!$A:$A,0)),"introuvable")</f>
        <v/>
      </c>
      <c r="I810" s="30" t="inlineStr">
        <is>
          <t>ville</t>
        </is>
      </c>
      <c r="N810" s="30" t="inlineStr">
        <is>
          <t>se_deplacer</t>
        </is>
      </c>
      <c r="O810" s="30" t="inlineStr">
        <is>
          <t>se_promener</t>
        </is>
      </c>
    </row>
    <row r="811">
      <c r="A811" s="30" t="inlineStr">
        <is>
          <t>quantite</t>
        </is>
      </c>
      <c r="B811" s="26">
        <f>IFERROR(INDEX(Mots!$B:$B,MATCH($A811,Mots!$A:$A,0)),"introuvable")</f>
        <v/>
      </c>
      <c r="G811" s="30" t="inlineStr">
        <is>
          <t>nombre</t>
        </is>
      </c>
    </row>
    <row r="812">
      <c r="A812" s="30" t="inlineStr">
        <is>
          <t>question</t>
        </is>
      </c>
      <c r="B812" s="26">
        <f>IFERROR(INDEX(Mots!$B:$B,MATCH($A812,Mots!$A:$A,0)),"introuvable")</f>
        <v/>
      </c>
      <c r="N812" s="30" t="inlineStr">
        <is>
          <t>communiquer</t>
        </is>
      </c>
    </row>
    <row r="813">
      <c r="A813" s="30" t="inlineStr">
        <is>
          <t>racine</t>
        </is>
      </c>
      <c r="B813" s="26">
        <f>IFERROR(INDEX(Mots!$B:$B,MATCH($A813,Mots!$A:$A,0)),"introuvable")</f>
        <v/>
      </c>
      <c r="C813" s="30" t="inlineStr">
        <is>
          <t>plante</t>
        </is>
      </c>
      <c r="E813" s="30" t="inlineStr">
        <is>
          <t>plante</t>
        </is>
      </c>
      <c r="I813" s="30" t="inlineStr">
        <is>
          <t>dehors</t>
        </is>
      </c>
    </row>
    <row r="814">
      <c r="A814" s="30" t="inlineStr">
        <is>
          <t>randonnee</t>
        </is>
      </c>
      <c r="B814" s="26">
        <f>IFERROR(INDEX(Mots!$B:$B,MATCH($A814,Mots!$A:$A,0)),"introuvable")</f>
        <v/>
      </c>
      <c r="I814" s="30" t="inlineStr">
        <is>
          <t>dehors</t>
        </is>
      </c>
      <c r="N814" s="30" t="inlineStr">
        <is>
          <t>se_promener</t>
        </is>
      </c>
    </row>
    <row r="815">
      <c r="A815" s="30" t="inlineStr">
        <is>
          <t>recolte</t>
        </is>
      </c>
      <c r="B815" s="26">
        <f>IFERROR(INDEX(Mots!$B:$B,MATCH($A815,Mots!$A:$A,0)),"introuvable")</f>
        <v/>
      </c>
      <c r="C815" s="30" t="inlineStr">
        <is>
          <t>plante</t>
        </is>
      </c>
      <c r="I815" s="30" t="inlineStr">
        <is>
          <t>dehors</t>
        </is>
      </c>
    </row>
    <row r="816">
      <c r="A816" s="30" t="inlineStr">
        <is>
          <t>rencontre</t>
        </is>
      </c>
      <c r="B816" s="26">
        <f>IFERROR(INDEX(Mots!$B:$B,MATCH($A816,Mots!$A:$A,0)),"introuvable")</f>
        <v/>
      </c>
      <c r="G816" s="30" t="inlineStr">
        <is>
          <t>temps</t>
        </is>
      </c>
    </row>
    <row r="817">
      <c r="A817" s="30" t="inlineStr">
        <is>
          <t>robe</t>
        </is>
      </c>
      <c r="B817" s="26">
        <f>IFERROR(INDEX(Mots!$B:$B,MATCH($A817,Mots!$A:$A,0)),"introuvable")</f>
        <v/>
      </c>
      <c r="C817" s="30" t="inlineStr">
        <is>
          <t>vetement</t>
        </is>
      </c>
      <c r="N817" s="30" t="inlineStr">
        <is>
          <t>s_habiller</t>
        </is>
      </c>
    </row>
    <row r="818">
      <c r="A818" s="30" t="inlineStr">
        <is>
          <t>roche</t>
        </is>
      </c>
      <c r="B818" s="26">
        <f>IFERROR(INDEX(Mots!$B:$B,MATCH($A818,Mots!$A:$A,0)),"introuvable")</f>
        <v/>
      </c>
      <c r="C818" s="30" t="inlineStr">
        <is>
          <t>matiere</t>
        </is>
      </c>
      <c r="I818" s="30" t="inlineStr">
        <is>
          <t>dehors</t>
        </is>
      </c>
    </row>
    <row r="819">
      <c r="A819" s="30" t="inlineStr">
        <is>
          <t>rosee</t>
        </is>
      </c>
      <c r="B819" s="26">
        <f>IFERROR(INDEX(Mots!$B:$B,MATCH($A819,Mots!$A:$A,0)),"introuvable")</f>
        <v/>
      </c>
      <c r="I819" s="30" t="inlineStr">
        <is>
          <t>dehors</t>
        </is>
      </c>
      <c r="N819" s="30" t="inlineStr">
        <is>
          <t>manger_boire</t>
        </is>
      </c>
    </row>
    <row r="820">
      <c r="A820" s="30" t="inlineStr">
        <is>
          <t>roue</t>
        </is>
      </c>
      <c r="B820" s="26">
        <f>IFERROR(INDEX(Mots!$B:$B,MATCH($A820,Mots!$A:$A,0)),"introuvable")</f>
        <v/>
      </c>
      <c r="C820" s="30" t="inlineStr">
        <is>
          <t>vehicule</t>
        </is>
      </c>
      <c r="I820" s="30" t="inlineStr">
        <is>
          <t>maison</t>
        </is>
      </c>
      <c r="J820" s="30" t="inlineStr">
        <is>
          <t>voiture</t>
        </is>
      </c>
      <c r="N820" s="30" t="inlineStr">
        <is>
          <t>se_deplacer</t>
        </is>
      </c>
    </row>
    <row r="821">
      <c r="A821" s="30" t="inlineStr">
        <is>
          <t>salete</t>
        </is>
      </c>
      <c r="B821" s="26">
        <f>IFERROR(INDEX(Mots!$B:$B,MATCH($A821,Mots!$A:$A,0)),"introuvable")</f>
        <v/>
      </c>
      <c r="N821" s="30" t="inlineStr">
        <is>
          <t>nettoyer</t>
        </is>
      </c>
    </row>
    <row r="822">
      <c r="A822" s="30" t="inlineStr">
        <is>
          <t>sante</t>
        </is>
      </c>
      <c r="B822" s="26">
        <f>IFERROR(INDEX(Mots!$B:$B,MATCH($A822,Mots!$A:$A,0)),"introuvable")</f>
        <v/>
      </c>
      <c r="N822" s="30" t="inlineStr">
        <is>
          <t>se_soigner</t>
        </is>
      </c>
    </row>
    <row r="823">
      <c r="A823" s="30" t="inlineStr">
        <is>
          <t>sauce</t>
        </is>
      </c>
      <c r="B823" s="26">
        <f>IFERROR(INDEX(Mots!$B:$B,MATCH($A823,Mots!$A:$A,0)),"introuvable")</f>
        <v/>
      </c>
      <c r="C823" s="30" t="inlineStr">
        <is>
          <t>aliment</t>
        </is>
      </c>
      <c r="I823" s="30" t="inlineStr">
        <is>
          <t>cuisine</t>
        </is>
      </c>
      <c r="N823" s="30" t="inlineStr">
        <is>
          <t>manger_boire</t>
        </is>
      </c>
    </row>
    <row r="824">
      <c r="A824" s="30" t="inlineStr">
        <is>
          <t>serviette</t>
        </is>
      </c>
      <c r="B824" s="26">
        <f>IFERROR(INDEX(Mots!$B:$B,MATCH($A824,Mots!$A:$A,0)),"introuvable")</f>
        <v/>
      </c>
      <c r="C824" s="30" t="inlineStr">
        <is>
          <t>matiere</t>
        </is>
      </c>
      <c r="I824" s="30" t="inlineStr">
        <is>
          <t>salle_de_bain</t>
        </is>
      </c>
      <c r="N824" s="30" t="inlineStr">
        <is>
          <t>se_soigner</t>
        </is>
      </c>
    </row>
    <row r="825">
      <c r="A825" s="30" t="inlineStr">
        <is>
          <t>signature</t>
        </is>
      </c>
      <c r="B825" s="26">
        <f>IFERROR(INDEX(Mots!$B:$B,MATCH($A825,Mots!$A:$A,0)),"introuvable")</f>
        <v/>
      </c>
      <c r="I825" s="30" t="inlineStr">
        <is>
          <t>dehors</t>
        </is>
      </c>
    </row>
    <row r="826">
      <c r="A826" s="30" t="inlineStr">
        <is>
          <t>societe</t>
        </is>
      </c>
      <c r="B826" s="26">
        <f>IFERROR(INDEX(Mots!$B:$B,MATCH($A826,Mots!$A:$A,0)),"introuvable")</f>
        <v/>
      </c>
      <c r="I826" s="30" t="inlineStr">
        <is>
          <t>dehors</t>
        </is>
      </c>
    </row>
    <row r="827">
      <c r="A827" s="30" t="inlineStr">
        <is>
          <t>sortie</t>
        </is>
      </c>
      <c r="B827" s="26">
        <f>IFERROR(INDEX(Mots!$B:$B,MATCH($A827,Mots!$A:$A,0)),"introuvable")</f>
        <v/>
      </c>
      <c r="I827" s="30" t="inlineStr">
        <is>
          <t>maison</t>
        </is>
      </c>
      <c r="J827" s="30" t="inlineStr">
        <is>
          <t>ville</t>
        </is>
      </c>
    </row>
    <row r="828">
      <c r="A828" s="30" t="inlineStr">
        <is>
          <t>source</t>
        </is>
      </c>
      <c r="B828" s="26">
        <f>IFERROR(INDEX(Mots!$B:$B,MATCH($A828,Mots!$A:$A,0)),"introuvable")</f>
        <v/>
      </c>
      <c r="I828" s="30" t="inlineStr">
        <is>
          <t>dehors</t>
        </is>
      </c>
    </row>
    <row r="829">
      <c r="A829" s="30" t="inlineStr">
        <is>
          <t>sucrerie</t>
        </is>
      </c>
      <c r="B829" s="26">
        <f>IFERROR(INDEX(Mots!$B:$B,MATCH($A829,Mots!$A:$A,0)),"introuvable")</f>
        <v/>
      </c>
      <c r="I829" s="30" t="inlineStr">
        <is>
          <t>cuisine</t>
        </is>
      </c>
    </row>
    <row r="830">
      <c r="A830" s="30" t="inlineStr">
        <is>
          <t>surface</t>
        </is>
      </c>
      <c r="B830" s="26">
        <f>IFERROR(INDEX(Mots!$B:$B,MATCH($A830,Mots!$A:$A,0)),"introuvable")</f>
        <v/>
      </c>
      <c r="C830" s="30" t="inlineStr">
        <is>
          <t>aliment</t>
        </is>
      </c>
      <c r="I830" s="30" t="inlineStr">
        <is>
          <t>cuisine</t>
        </is>
      </c>
    </row>
    <row r="831">
      <c r="A831" s="30" t="inlineStr">
        <is>
          <t>tache</t>
        </is>
      </c>
      <c r="B831" s="26">
        <f>IFERROR(INDEX(Mots!$B:$B,MATCH($A831,Mots!$A:$A,0)),"introuvable")</f>
        <v/>
      </c>
      <c r="I831" s="30" t="inlineStr">
        <is>
          <t>travail</t>
        </is>
      </c>
    </row>
    <row r="832">
      <c r="A832" s="30" t="inlineStr">
        <is>
          <t>tempete</t>
        </is>
      </c>
      <c r="B832" s="26">
        <f>IFERROR(INDEX(Mots!$B:$B,MATCH($A832,Mots!$A:$A,0)),"introuvable")</f>
        <v/>
      </c>
      <c r="I832" s="30" t="inlineStr">
        <is>
          <t>dehors</t>
        </is>
      </c>
    </row>
    <row r="833">
      <c r="A833" s="30" t="inlineStr">
        <is>
          <t>tente</t>
        </is>
      </c>
      <c r="B833" s="26">
        <f>IFERROR(INDEX(Mots!$B:$B,MATCH($A833,Mots!$A:$A,0)),"introuvable")</f>
        <v/>
      </c>
      <c r="C833" s="30" t="inlineStr">
        <is>
          <t>matiere</t>
        </is>
      </c>
      <c r="I833" s="30" t="inlineStr">
        <is>
          <t>chambre</t>
        </is>
      </c>
      <c r="N833" s="30" t="inlineStr">
        <is>
          <t>s_habiller</t>
        </is>
      </c>
      <c r="O833" s="30" t="inlineStr">
        <is>
          <t>se_reposer</t>
        </is>
      </c>
    </row>
    <row r="834">
      <c r="A834" s="30" t="inlineStr">
        <is>
          <t>timidite</t>
        </is>
      </c>
      <c r="B834" s="26">
        <f>IFERROR(INDEX(Mots!$B:$B,MATCH($A834,Mots!$A:$A,0)),"introuvable")</f>
        <v/>
      </c>
      <c r="Z834" s="30" t="inlineStr">
        <is>
          <t>desagreable</t>
        </is>
      </c>
    </row>
    <row r="835">
      <c r="A835" s="30" t="inlineStr">
        <is>
          <t>valise</t>
        </is>
      </c>
      <c r="B835" s="26">
        <f>IFERROR(INDEX(Mots!$B:$B,MATCH($A835,Mots!$A:$A,0)),"introuvable")</f>
        <v/>
      </c>
      <c r="C835" s="30" t="inlineStr">
        <is>
          <t>meuble</t>
        </is>
      </c>
    </row>
    <row r="836">
      <c r="A836" s="30" t="inlineStr">
        <is>
          <t>vallee</t>
        </is>
      </c>
      <c r="B836" s="26">
        <f>IFERROR(INDEX(Mots!$B:$B,MATCH($A836,Mots!$A:$A,0)),"introuvable")</f>
        <v/>
      </c>
      <c r="I836" s="30" t="inlineStr">
        <is>
          <t>dehors</t>
        </is>
      </c>
    </row>
    <row r="837">
      <c r="A837" s="30" t="inlineStr">
        <is>
          <t>vente</t>
        </is>
      </c>
      <c r="B837" s="26">
        <f>IFERROR(INDEX(Mots!$B:$B,MATCH($A837,Mots!$A:$A,0)),"introuvable")</f>
        <v/>
      </c>
      <c r="I837" s="30" t="inlineStr">
        <is>
          <t>dehors</t>
        </is>
      </c>
      <c r="N837" s="30" t="inlineStr">
        <is>
          <t>travailler</t>
        </is>
      </c>
      <c r="O837" s="30" t="inlineStr">
        <is>
          <t>donner_recevoir</t>
        </is>
      </c>
    </row>
    <row r="838">
      <c r="A838" s="30" t="inlineStr">
        <is>
          <t>vigne</t>
        </is>
      </c>
      <c r="B838" s="26">
        <f>IFERROR(INDEX(Mots!$B:$B,MATCH($A838,Mots!$A:$A,0)),"introuvable")</f>
        <v/>
      </c>
      <c r="C838" s="30" t="inlineStr">
        <is>
          <t>aliment</t>
        </is>
      </c>
      <c r="I838" s="30" t="inlineStr">
        <is>
          <t>cuisine</t>
        </is>
      </c>
      <c r="J838" s="30" t="inlineStr">
        <is>
          <t>dehors</t>
        </is>
      </c>
    </row>
    <row r="839">
      <c r="A839" s="30" t="inlineStr">
        <is>
          <t>vis</t>
        </is>
      </c>
      <c r="B839" s="26">
        <f>IFERROR(INDEX(Mots!$B:$B,MATCH($A839,Mots!$A:$A,0)),"introuvable")</f>
        <v/>
      </c>
      <c r="C839" s="30" t="inlineStr">
        <is>
          <t>matiere</t>
        </is>
      </c>
    </row>
    <row r="840">
      <c r="A840" s="30" t="inlineStr">
        <is>
          <t>accident</t>
        </is>
      </c>
      <c r="B840" s="26">
        <f>IFERROR(INDEX(Mots!$B:$B,MATCH($A840,Mots!$A:$A,0)),"introuvable")</f>
        <v/>
      </c>
      <c r="I840" s="30" t="inlineStr">
        <is>
          <t>salle_de_bain</t>
        </is>
      </c>
    </row>
    <row r="841">
      <c r="A841" s="30" t="inlineStr">
        <is>
          <t>achat</t>
        </is>
      </c>
      <c r="B841" s="26">
        <f>IFERROR(INDEX(Mots!$B:$B,MATCH($A841,Mots!$A:$A,0)),"introuvable")</f>
        <v/>
      </c>
      <c r="N841" s="30" t="inlineStr">
        <is>
          <t>travailler</t>
        </is>
      </c>
      <c r="O841" s="30" t="inlineStr">
        <is>
          <t>donner_recevoir</t>
        </is>
      </c>
    </row>
    <row r="842">
      <c r="A842" s="30" t="inlineStr">
        <is>
          <t>affaires</t>
        </is>
      </c>
      <c r="B842" s="26">
        <f>IFERROR(INDEX(Mots!$B:$B,MATCH($A842,Mots!$A:$A,0)),"introuvable")</f>
        <v/>
      </c>
      <c r="C842" s="30" t="inlineStr">
        <is>
          <t>objet</t>
        </is>
      </c>
      <c r="I842" s="30" t="inlineStr">
        <is>
          <t>maison</t>
        </is>
      </c>
    </row>
    <row r="843">
      <c r="A843" s="30" t="inlineStr">
        <is>
          <t>age</t>
        </is>
      </c>
      <c r="B843" s="26">
        <f>IFERROR(INDEX(Mots!$B:$B,MATCH($A843,Mots!$A:$A,0)),"introuvable")</f>
        <v/>
      </c>
      <c r="G843" s="30" t="inlineStr">
        <is>
          <t>temps</t>
        </is>
      </c>
    </row>
    <row r="844">
      <c r="A844" s="30" t="inlineStr">
        <is>
          <t>aide</t>
        </is>
      </c>
      <c r="B844" s="26">
        <f>IFERROR(INDEX(Mots!$B:$B,MATCH($A844,Mots!$A:$A,0)),"introuvable")</f>
        <v/>
      </c>
      <c r="N844" s="30" t="inlineStr">
        <is>
          <t>donner_recevoir</t>
        </is>
      </c>
      <c r="O844" s="30" t="inlineStr">
        <is>
          <t>aider</t>
        </is>
      </c>
    </row>
    <row r="845">
      <c r="A845" s="30" t="inlineStr">
        <is>
          <t>allumette</t>
        </is>
      </c>
      <c r="B845" s="26">
        <f>IFERROR(INDEX(Mots!$B:$B,MATCH($A845,Mots!$A:$A,0)),"introuvable")</f>
        <v/>
      </c>
      <c r="I845" s="30" t="inlineStr">
        <is>
          <t>maison</t>
        </is>
      </c>
    </row>
    <row r="846">
      <c r="A846" s="30" t="inlineStr">
        <is>
          <t>anse</t>
        </is>
      </c>
      <c r="B846" s="26">
        <f>IFERROR(INDEX(Mots!$B:$B,MATCH($A846,Mots!$A:$A,0)),"introuvable")</f>
        <v/>
      </c>
      <c r="C846" s="30" t="inlineStr">
        <is>
          <t>objet</t>
        </is>
      </c>
    </row>
    <row r="847">
      <c r="A847" s="30" t="inlineStr">
        <is>
          <t>appareil</t>
        </is>
      </c>
      <c r="B847" s="26">
        <f>IFERROR(INDEX(Mots!$B:$B,MATCH($A847,Mots!$A:$A,0)),"introuvable")</f>
        <v/>
      </c>
      <c r="C847" s="30" t="inlineStr">
        <is>
          <t>outil</t>
        </is>
      </c>
      <c r="I847" s="30" t="inlineStr">
        <is>
          <t>travail</t>
        </is>
      </c>
    </row>
    <row r="848">
      <c r="A848" s="30" t="inlineStr">
        <is>
          <t>appartement</t>
        </is>
      </c>
      <c r="B848" s="26">
        <f>IFERROR(INDEX(Mots!$B:$B,MATCH($A848,Mots!$A:$A,0)),"introuvable")</f>
        <v/>
      </c>
      <c r="C848" s="30" t="inlineStr">
        <is>
          <t>meuble</t>
        </is>
      </c>
      <c r="I848" s="30" t="inlineStr">
        <is>
          <t>maison</t>
        </is>
      </c>
    </row>
    <row r="849">
      <c r="A849" s="30" t="inlineStr">
        <is>
          <t>arc_en_ciel</t>
        </is>
      </c>
      <c r="B849" s="26">
        <f>IFERROR(INDEX(Mots!$B:$B,MATCH($A849,Mots!$A:$A,0)),"introuvable")</f>
        <v/>
      </c>
      <c r="I849" s="30" t="inlineStr">
        <is>
          <t>dehors</t>
        </is>
      </c>
    </row>
    <row r="850">
      <c r="A850" s="30" t="inlineStr">
        <is>
          <t>attention</t>
        </is>
      </c>
      <c r="B850" s="26">
        <f>IFERROR(INDEX(Mots!$B:$B,MATCH($A850,Mots!$A:$A,0)),"introuvable")</f>
        <v/>
      </c>
      <c r="N850" s="30" t="inlineStr">
        <is>
          <t>communiquer</t>
        </is>
      </c>
      <c r="O850" s="30" t="inlineStr">
        <is>
          <t>donner_recevoir</t>
        </is>
      </c>
    </row>
    <row r="851">
      <c r="A851" s="30" t="inlineStr">
        <is>
          <t>autoroute</t>
        </is>
      </c>
      <c r="B851" s="26">
        <f>IFERROR(INDEX(Mots!$B:$B,MATCH($A851,Mots!$A:$A,0)),"introuvable")</f>
        <v/>
      </c>
      <c r="I851" s="30" t="inlineStr">
        <is>
          <t>voiture</t>
        </is>
      </c>
    </row>
    <row r="852">
      <c r="A852" s="30" t="inlineStr">
        <is>
          <t>aventure</t>
        </is>
      </c>
      <c r="B852" s="26">
        <f>IFERROR(INDEX(Mots!$B:$B,MATCH($A852,Mots!$A:$A,0)),"introuvable")</f>
        <v/>
      </c>
      <c r="I852" s="30" t="inlineStr">
        <is>
          <t>dehors</t>
        </is>
      </c>
    </row>
    <row r="853">
      <c r="A853" s="30" t="inlineStr">
        <is>
          <t>v_laver</t>
        </is>
      </c>
      <c r="B853" s="26">
        <f>IFERROR(INDEX(Mots!$B:$B,MATCH($A853,Mots!$A:$A,0)),"introuvable")</f>
        <v/>
      </c>
      <c r="N853" s="30" t="inlineStr">
        <is>
          <t>nettoyer</t>
        </is>
      </c>
    </row>
    <row r="854">
      <c r="A854" s="30" t="inlineStr">
        <is>
          <t>avis</t>
        </is>
      </c>
      <c r="B854" s="26">
        <f>IFERROR(INDEX(Mots!$B:$B,MATCH($A854,Mots!$A:$A,0)),"introuvable")</f>
        <v/>
      </c>
      <c r="N854" s="30" t="inlineStr">
        <is>
          <t>communiquer</t>
        </is>
      </c>
    </row>
    <row r="855">
      <c r="A855" s="30" t="inlineStr">
        <is>
          <t>bagage</t>
        </is>
      </c>
      <c r="B855" s="26">
        <f>IFERROR(INDEX(Mots!$B:$B,MATCH($A855,Mots!$A:$A,0)),"introuvable")</f>
        <v/>
      </c>
      <c r="I855" s="30" t="inlineStr">
        <is>
          <t>maison</t>
        </is>
      </c>
    </row>
    <row r="856">
      <c r="A856" s="30" t="inlineStr">
        <is>
          <t>bain</t>
        </is>
      </c>
      <c r="B856" s="26">
        <f>IFERROR(INDEX(Mots!$B:$B,MATCH($A856,Mots!$A:$A,0)),"introuvable")</f>
        <v/>
      </c>
      <c r="I856" s="30" t="inlineStr">
        <is>
          <t>salle_de_bain</t>
        </is>
      </c>
      <c r="N856" s="30" t="inlineStr">
        <is>
          <t>nettoyer</t>
        </is>
      </c>
    </row>
    <row r="857">
      <c r="A857" s="30" t="inlineStr">
        <is>
          <t>balai</t>
        </is>
      </c>
      <c r="B857" s="26">
        <f>IFERROR(INDEX(Mots!$B:$B,MATCH($A857,Mots!$A:$A,0)),"introuvable")</f>
        <v/>
      </c>
      <c r="C857" s="30" t="inlineStr">
        <is>
          <t>objet</t>
        </is>
      </c>
      <c r="N857" s="30" t="inlineStr">
        <is>
          <t>nettoyer</t>
        </is>
      </c>
    </row>
    <row r="858">
      <c r="A858" s="30" t="inlineStr">
        <is>
          <t>balcon</t>
        </is>
      </c>
      <c r="B858" s="26">
        <f>IFERROR(INDEX(Mots!$B:$B,MATCH($A858,Mots!$A:$A,0)),"introuvable")</f>
        <v/>
      </c>
      <c r="I858" s="30" t="inlineStr">
        <is>
          <t>maison</t>
        </is>
      </c>
    </row>
    <row r="859">
      <c r="A859" s="30" t="inlineStr">
        <is>
          <t>ballon</t>
        </is>
      </c>
      <c r="B859" s="26">
        <f>IFERROR(INDEX(Mots!$B:$B,MATCH($A859,Mots!$A:$A,0)),"introuvable")</f>
        <v/>
      </c>
      <c r="C859" s="30" t="inlineStr">
        <is>
          <t>objet</t>
        </is>
      </c>
    </row>
    <row r="860">
      <c r="A860" s="30" t="inlineStr">
        <is>
          <t>bandage</t>
        </is>
      </c>
      <c r="B860" s="26">
        <f>IFERROR(INDEX(Mots!$B:$B,MATCH($A860,Mots!$A:$A,0)),"introuvable")</f>
        <v/>
      </c>
      <c r="C860" s="30" t="inlineStr">
        <is>
          <t>matiere</t>
        </is>
      </c>
      <c r="I860" s="30" t="inlineStr">
        <is>
          <t>sante</t>
        </is>
      </c>
      <c r="N860" s="30" t="inlineStr">
        <is>
          <t>s_habiller</t>
        </is>
      </c>
      <c r="O860" s="30" t="inlineStr">
        <is>
          <t>se_soigner</t>
        </is>
      </c>
    </row>
    <row r="861">
      <c r="A861" s="30" t="inlineStr">
        <is>
          <t>batiment</t>
        </is>
      </c>
      <c r="B861" s="26">
        <f>IFERROR(INDEX(Mots!$B:$B,MATCH($A861,Mots!$A:$A,0)),"introuvable")</f>
        <v/>
      </c>
      <c r="C861" s="30" t="inlineStr">
        <is>
          <t>batiment</t>
        </is>
      </c>
      <c r="I861" s="30" t="inlineStr">
        <is>
          <t>maison</t>
        </is>
      </c>
      <c r="J861" s="30" t="inlineStr">
        <is>
          <t>ville</t>
        </is>
      </c>
    </row>
    <row r="862">
      <c r="A862" s="30" t="inlineStr">
        <is>
          <t>beurre</t>
        </is>
      </c>
      <c r="B862" s="26">
        <f>IFERROR(INDEX(Mots!$B:$B,MATCH($A862,Mots!$A:$A,0)),"introuvable")</f>
        <v/>
      </c>
      <c r="C862" s="30" t="inlineStr">
        <is>
          <t>aliment</t>
        </is>
      </c>
      <c r="I862" s="30" t="inlineStr">
        <is>
          <t>cuisine</t>
        </is>
      </c>
      <c r="N862" s="30" t="inlineStr">
        <is>
          <t>manger_boire</t>
        </is>
      </c>
    </row>
    <row r="863">
      <c r="A863" s="30" t="inlineStr">
        <is>
          <t>billet</t>
        </is>
      </c>
      <c r="B863" s="26">
        <f>IFERROR(INDEX(Mots!$B:$B,MATCH($A863,Mots!$A:$A,0)),"introuvable")</f>
        <v/>
      </c>
      <c r="N863" s="30" t="inlineStr">
        <is>
          <t>se_deplacer</t>
        </is>
      </c>
    </row>
    <row r="864">
      <c r="A864" s="30" t="inlineStr">
        <is>
          <t>ble</t>
        </is>
      </c>
      <c r="B864" s="26">
        <f>IFERROR(INDEX(Mots!$B:$B,MATCH($A864,Mots!$A:$A,0)),"introuvable")</f>
        <v/>
      </c>
      <c r="C864" s="30" t="inlineStr">
        <is>
          <t>plante</t>
        </is>
      </c>
      <c r="I864" s="30" t="inlineStr">
        <is>
          <t>cuisine</t>
        </is>
      </c>
      <c r="J864" s="30" t="inlineStr">
        <is>
          <t>dehors</t>
        </is>
      </c>
    </row>
    <row r="865">
      <c r="A865" s="30" t="inlineStr">
        <is>
          <t>bocal</t>
        </is>
      </c>
      <c r="B865" s="26">
        <f>IFERROR(INDEX(Mots!$B:$B,MATCH($A865,Mots!$A:$A,0)),"introuvable")</f>
        <v/>
      </c>
      <c r="I865" s="30" t="inlineStr">
        <is>
          <t>cuisine</t>
        </is>
      </c>
    </row>
    <row r="866">
      <c r="A866" s="30" t="inlineStr">
        <is>
          <t>bois</t>
        </is>
      </c>
      <c r="B866" s="26">
        <f>IFERROR(INDEX(Mots!$B:$B,MATCH($A866,Mots!$A:$A,0)),"introuvable")</f>
        <v/>
      </c>
      <c r="C866" s="30" t="inlineStr">
        <is>
          <t>plante</t>
        </is>
      </c>
      <c r="I866" s="30" t="inlineStr">
        <is>
          <t>dehors</t>
        </is>
      </c>
    </row>
    <row r="867">
      <c r="A867" s="30" t="inlineStr">
        <is>
          <t>bonbon</t>
        </is>
      </c>
      <c r="B867" s="26">
        <f>IFERROR(INDEX(Mots!$B:$B,MATCH($A867,Mots!$A:$A,0)),"introuvable")</f>
        <v/>
      </c>
      <c r="I867" s="30" t="inlineStr">
        <is>
          <t>cuisine</t>
        </is>
      </c>
    </row>
    <row r="868">
      <c r="A868" s="30" t="inlineStr">
        <is>
          <t>bourgeon</t>
        </is>
      </c>
      <c r="B868" s="26">
        <f>IFERROR(INDEX(Mots!$B:$B,MATCH($A868,Mots!$A:$A,0)),"introuvable")</f>
        <v/>
      </c>
      <c r="C868" s="30" t="inlineStr">
        <is>
          <t>plante</t>
        </is>
      </c>
      <c r="I868" s="30" t="inlineStr">
        <is>
          <t>dehors</t>
        </is>
      </c>
    </row>
    <row r="869">
      <c r="A869" s="30" t="inlineStr">
        <is>
          <t>bouton</t>
        </is>
      </c>
      <c r="B869" s="26">
        <f>IFERROR(INDEX(Mots!$B:$B,MATCH($A869,Mots!$A:$A,0)),"introuvable")</f>
        <v/>
      </c>
      <c r="C869" s="30" t="inlineStr">
        <is>
          <t>vetement</t>
        </is>
      </c>
      <c r="N869" s="30" t="inlineStr">
        <is>
          <t>s_habiller</t>
        </is>
      </c>
    </row>
    <row r="870">
      <c r="A870" s="30" t="inlineStr">
        <is>
          <t>bricolage</t>
        </is>
      </c>
      <c r="B870" s="26">
        <f>IFERROR(INDEX(Mots!$B:$B,MATCH($A870,Mots!$A:$A,0)),"introuvable")</f>
        <v/>
      </c>
      <c r="C870" s="30" t="inlineStr">
        <is>
          <t>objet</t>
        </is>
      </c>
      <c r="N870" s="30" t="inlineStr">
        <is>
          <t>bricoler</t>
        </is>
      </c>
    </row>
    <row r="871">
      <c r="A871" s="30" t="inlineStr">
        <is>
          <t>brouillard</t>
        </is>
      </c>
      <c r="B871" s="26">
        <f>IFERROR(INDEX(Mots!$B:$B,MATCH($A871,Mots!$A:$A,0)),"introuvable")</f>
        <v/>
      </c>
      <c r="I871" s="30" t="inlineStr">
        <is>
          <t>dehors</t>
        </is>
      </c>
    </row>
    <row r="872">
      <c r="A872" s="30" t="inlineStr">
        <is>
          <t>bruit</t>
        </is>
      </c>
      <c r="B872" s="26">
        <f>IFERROR(INDEX(Mots!$B:$B,MATCH($A872,Mots!$A:$A,0)),"introuvable")</f>
        <v/>
      </c>
      <c r="I872" s="30" t="inlineStr">
        <is>
          <t>dehors</t>
        </is>
      </c>
    </row>
    <row r="873">
      <c r="A873" s="30" t="inlineStr">
        <is>
          <t>buisson</t>
        </is>
      </c>
      <c r="B873" s="26">
        <f>IFERROR(INDEX(Mots!$B:$B,MATCH($A873,Mots!$A:$A,0)),"introuvable")</f>
        <v/>
      </c>
      <c r="C873" s="30" t="inlineStr">
        <is>
          <t>plante</t>
        </is>
      </c>
      <c r="I873" s="30" t="inlineStr">
        <is>
          <t>dehors</t>
        </is>
      </c>
    </row>
    <row r="874">
      <c r="A874" s="30" t="inlineStr">
        <is>
          <t>cadeau</t>
        </is>
      </c>
      <c r="B874" s="26">
        <f>IFERROR(INDEX(Mots!$B:$B,MATCH($A874,Mots!$A:$A,0)),"introuvable")</f>
        <v/>
      </c>
      <c r="C874" s="30" t="inlineStr">
        <is>
          <t>objet</t>
        </is>
      </c>
    </row>
    <row r="875">
      <c r="A875" s="30" t="inlineStr">
        <is>
          <t>calcul</t>
        </is>
      </c>
      <c r="B875" s="26">
        <f>IFERROR(INDEX(Mots!$B:$B,MATCH($A875,Mots!$A:$A,0)),"introuvable")</f>
        <v/>
      </c>
      <c r="G875" s="30" t="inlineStr">
        <is>
          <t>nombre</t>
        </is>
      </c>
    </row>
    <row r="876">
      <c r="A876" s="30" t="inlineStr">
        <is>
          <t>calme</t>
        </is>
      </c>
      <c r="B876" s="26">
        <f>IFERROR(INDEX(Mots!$B:$B,MATCH($A876,Mots!$A:$A,0)),"introuvable")</f>
        <v/>
      </c>
      <c r="N876" s="30" t="inlineStr">
        <is>
          <t>se_reposer</t>
        </is>
      </c>
    </row>
    <row r="877">
      <c r="A877" s="30" t="inlineStr">
        <is>
          <t>caoutchouc</t>
        </is>
      </c>
      <c r="B877" s="26">
        <f>IFERROR(INDEX(Mots!$B:$B,MATCH($A877,Mots!$A:$A,0)),"introuvable")</f>
        <v/>
      </c>
      <c r="C877" s="30" t="inlineStr">
        <is>
          <t>matiere</t>
        </is>
      </c>
      <c r="I877" s="30" t="inlineStr">
        <is>
          <t>voiture</t>
        </is>
      </c>
    </row>
    <row r="878">
      <c r="A878" s="30" t="inlineStr">
        <is>
          <t>chagrin</t>
        </is>
      </c>
      <c r="B878" s="26">
        <f>IFERROR(INDEX(Mots!$B:$B,MATCH($A878,Mots!$A:$A,0)),"introuvable")</f>
        <v/>
      </c>
      <c r="Z878" s="30" t="inlineStr">
        <is>
          <t>desagreable</t>
        </is>
      </c>
    </row>
    <row r="879">
      <c r="A879" s="30" t="inlineStr">
        <is>
          <t>champ</t>
        </is>
      </c>
      <c r="B879" s="26">
        <f>IFERROR(INDEX(Mots!$B:$B,MATCH($A879,Mots!$A:$A,0)),"introuvable")</f>
        <v/>
      </c>
      <c r="C879" s="30" t="inlineStr">
        <is>
          <t>aliment</t>
        </is>
      </c>
      <c r="I879" s="30" t="inlineStr">
        <is>
          <t>cuisine</t>
        </is>
      </c>
      <c r="J879" s="30" t="inlineStr">
        <is>
          <t>dehors</t>
        </is>
      </c>
    </row>
    <row r="880">
      <c r="A880" s="30" t="inlineStr">
        <is>
          <t>champignon</t>
        </is>
      </c>
      <c r="B880" s="26">
        <f>IFERROR(INDEX(Mots!$B:$B,MATCH($A880,Mots!$A:$A,0)),"introuvable")</f>
        <v/>
      </c>
      <c r="C880" s="30" t="inlineStr">
        <is>
          <t>plante</t>
        </is>
      </c>
      <c r="I880" s="30" t="inlineStr">
        <is>
          <t>dehors</t>
        </is>
      </c>
    </row>
    <row r="881">
      <c r="A881" s="30" t="inlineStr">
        <is>
          <t>champion</t>
        </is>
      </c>
      <c r="B881" s="26">
        <f>IFERROR(INDEX(Mots!$B:$B,MATCH($A881,Mots!$A:$A,0)),"introuvable")</f>
        <v/>
      </c>
      <c r="I881" s="30" t="inlineStr">
        <is>
          <t>dehors</t>
        </is>
      </c>
      <c r="J881" s="30" t="inlineStr">
        <is>
          <t>musique</t>
        </is>
      </c>
      <c r="N881" s="30" t="inlineStr">
        <is>
          <t>jouer_musique</t>
        </is>
      </c>
    </row>
    <row r="882">
      <c r="A882" s="30" t="inlineStr">
        <is>
          <t>chapeau</t>
        </is>
      </c>
      <c r="B882" s="26">
        <f>IFERROR(INDEX(Mots!$B:$B,MATCH($A882,Mots!$A:$A,0)),"introuvable")</f>
        <v/>
      </c>
      <c r="N882" s="30" t="inlineStr">
        <is>
          <t>s_habiller</t>
        </is>
      </c>
    </row>
    <row r="883">
      <c r="A883" s="30" t="inlineStr">
        <is>
          <t>chemin</t>
        </is>
      </c>
      <c r="B883" s="26">
        <f>IFERROR(INDEX(Mots!$B:$B,MATCH($A883,Mots!$A:$A,0)),"introuvable")</f>
        <v/>
      </c>
      <c r="I883" s="30" t="inlineStr">
        <is>
          <t>dehors</t>
        </is>
      </c>
      <c r="N883" s="30" t="inlineStr">
        <is>
          <t>se_promener</t>
        </is>
      </c>
    </row>
    <row r="884">
      <c r="A884" s="30" t="inlineStr">
        <is>
          <t>choc</t>
        </is>
      </c>
      <c r="B884" s="26">
        <f>IFERROR(INDEX(Mots!$B:$B,MATCH($A884,Mots!$A:$A,0)),"introuvable")</f>
        <v/>
      </c>
      <c r="I884" s="30" t="inlineStr">
        <is>
          <t>salle_de_bain</t>
        </is>
      </c>
      <c r="J884" s="30" t="inlineStr">
        <is>
          <t>voiture</t>
        </is>
      </c>
    </row>
    <row r="885">
      <c r="A885" s="30" t="inlineStr">
        <is>
          <t>chocolat</t>
        </is>
      </c>
      <c r="B885" s="26">
        <f>IFERROR(INDEX(Mots!$B:$B,MATCH($A885,Mots!$A:$A,0)),"introuvable")</f>
        <v/>
      </c>
      <c r="C885" s="30" t="inlineStr">
        <is>
          <t>aliment</t>
        </is>
      </c>
      <c r="I885" s="30" t="inlineStr">
        <is>
          <t>cuisine</t>
        </is>
      </c>
      <c r="N885" s="30" t="inlineStr">
        <is>
          <t>manger_boire</t>
        </is>
      </c>
    </row>
    <row r="886">
      <c r="A886" s="30" t="inlineStr">
        <is>
          <t>cintre</t>
        </is>
      </c>
      <c r="B886" s="26">
        <f>IFERROR(INDEX(Mots!$B:$B,MATCH($A886,Mots!$A:$A,0)),"introuvable")</f>
        <v/>
      </c>
      <c r="C886" s="30" t="inlineStr">
        <is>
          <t>vetement</t>
        </is>
      </c>
      <c r="N886" s="30" t="inlineStr">
        <is>
          <t>s_habiller</t>
        </is>
      </c>
    </row>
    <row r="887">
      <c r="A887" s="30" t="inlineStr">
        <is>
          <t>citron</t>
        </is>
      </c>
      <c r="B887" s="26">
        <f>IFERROR(INDEX(Mots!$B:$B,MATCH($A887,Mots!$A:$A,0)),"introuvable")</f>
        <v/>
      </c>
      <c r="C887" s="30" t="inlineStr">
        <is>
          <t>aliment</t>
        </is>
      </c>
      <c r="I887" s="30" t="inlineStr">
        <is>
          <t>cuisine</t>
        </is>
      </c>
      <c r="N887" s="30" t="inlineStr">
        <is>
          <t>manger_boire</t>
        </is>
      </c>
    </row>
    <row r="888">
      <c r="A888" s="30" t="inlineStr">
        <is>
          <t>clou</t>
        </is>
      </c>
      <c r="B888" s="26">
        <f>IFERROR(INDEX(Mots!$B:$B,MATCH($A888,Mots!$A:$A,0)),"introuvable")</f>
        <v/>
      </c>
      <c r="C888" s="30" t="inlineStr">
        <is>
          <t>matiere</t>
        </is>
      </c>
      <c r="N888" s="30" t="inlineStr">
        <is>
          <t>bricoler</t>
        </is>
      </c>
    </row>
    <row r="889">
      <c r="A889" s="30" t="inlineStr">
        <is>
          <t>commerce</t>
        </is>
      </c>
      <c r="B889" s="26">
        <f>IFERROR(INDEX(Mots!$B:$B,MATCH($A889,Mots!$A:$A,0)),"introuvable")</f>
        <v/>
      </c>
      <c r="I889" s="30" t="inlineStr">
        <is>
          <t>ville</t>
        </is>
      </c>
      <c r="N889" s="30" t="inlineStr">
        <is>
          <t>travailler</t>
        </is>
      </c>
      <c r="O889" s="30" t="inlineStr">
        <is>
          <t>donner_recevoir</t>
        </is>
      </c>
    </row>
    <row r="890">
      <c r="A890" s="30" t="inlineStr">
        <is>
          <t>comprime</t>
        </is>
      </c>
      <c r="B890" s="26">
        <f>IFERROR(INDEX(Mots!$B:$B,MATCH($A890,Mots!$A:$A,0)),"introuvable")</f>
        <v/>
      </c>
      <c r="I890" s="30" t="inlineStr">
        <is>
          <t>sante</t>
        </is>
      </c>
      <c r="N890" s="30" t="inlineStr">
        <is>
          <t>se_soigner</t>
        </is>
      </c>
    </row>
    <row r="891">
      <c r="A891" s="30" t="inlineStr">
        <is>
          <t>cone</t>
        </is>
      </c>
      <c r="B891" s="26">
        <f>IFERROR(INDEX(Mots!$B:$B,MATCH($A891,Mots!$A:$A,0)),"introuvable")</f>
        <v/>
      </c>
      <c r="I891" s="30" t="inlineStr">
        <is>
          <t>dehors</t>
        </is>
      </c>
    </row>
    <row r="892">
      <c r="A892" s="30" t="inlineStr">
        <is>
          <t>copain</t>
        </is>
      </c>
      <c r="B892" s="26">
        <f>IFERROR(INDEX(Mots!$B:$B,MATCH($A892,Mots!$A:$A,0)),"introuvable")</f>
        <v/>
      </c>
      <c r="I892" s="30" t="inlineStr">
        <is>
          <t>cuisine</t>
        </is>
      </c>
    </row>
    <row r="893">
      <c r="A893" s="30" t="inlineStr">
        <is>
          <t>coussin</t>
        </is>
      </c>
      <c r="B893" s="26">
        <f>IFERROR(INDEX(Mots!$B:$B,MATCH($A893,Mots!$A:$A,0)),"introuvable")</f>
        <v/>
      </c>
      <c r="I893" s="30" t="inlineStr">
        <is>
          <t>chambre</t>
        </is>
      </c>
      <c r="J893" s="30" t="inlineStr">
        <is>
          <t>salon</t>
        </is>
      </c>
    </row>
    <row r="894">
      <c r="A894" s="30" t="inlineStr">
        <is>
          <t>couvercle</t>
        </is>
      </c>
      <c r="B894" s="26">
        <f>IFERROR(INDEX(Mots!$B:$B,MATCH($A894,Mots!$A:$A,0)),"introuvable")</f>
        <v/>
      </c>
      <c r="I894" s="30" t="inlineStr">
        <is>
          <t>cuisine</t>
        </is>
      </c>
      <c r="N894" s="30" t="inlineStr">
        <is>
          <t>cuisiner</t>
        </is>
      </c>
    </row>
    <row r="895">
      <c r="A895" s="30" t="inlineStr">
        <is>
          <t>crayon</t>
        </is>
      </c>
      <c r="B895" s="26">
        <f>IFERROR(INDEX(Mots!$B:$B,MATCH($A895,Mots!$A:$A,0)),"introuvable")</f>
        <v/>
      </c>
      <c r="C895" s="30" t="inlineStr">
        <is>
          <t>matiere</t>
        </is>
      </c>
    </row>
    <row r="896">
      <c r="A896" s="30" t="inlineStr">
        <is>
          <t>danger</t>
        </is>
      </c>
      <c r="B896" s="26">
        <f>IFERROR(INDEX(Mots!$B:$B,MATCH($A896,Mots!$A:$A,0)),"introuvable")</f>
        <v/>
      </c>
      <c r="I896" s="30" t="inlineStr">
        <is>
          <t>salle_de_bain</t>
        </is>
      </c>
    </row>
    <row r="897">
      <c r="A897" s="30" t="inlineStr">
        <is>
          <t>dejeuner</t>
        </is>
      </c>
      <c r="B897" s="26">
        <f>IFERROR(INDEX(Mots!$B:$B,MATCH($A897,Mots!$A:$A,0)),"introuvable")</f>
        <v/>
      </c>
      <c r="I897" s="30" t="inlineStr">
        <is>
          <t>cuisine</t>
        </is>
      </c>
      <c r="N897" s="30" t="inlineStr">
        <is>
          <t>manger_boire</t>
        </is>
      </c>
    </row>
    <row r="898">
      <c r="A898" s="30" t="inlineStr">
        <is>
          <t>dessert</t>
        </is>
      </c>
      <c r="B898" s="26">
        <f>IFERROR(INDEX(Mots!$B:$B,MATCH($A898,Mots!$A:$A,0)),"introuvable")</f>
        <v/>
      </c>
      <c r="C898" s="30" t="inlineStr">
        <is>
          <t>aliment</t>
        </is>
      </c>
      <c r="I898" s="30" t="inlineStr">
        <is>
          <t>cuisine</t>
        </is>
      </c>
      <c r="N898" s="30" t="inlineStr">
        <is>
          <t>manger_boire</t>
        </is>
      </c>
    </row>
    <row r="899">
      <c r="A899" s="30" t="inlineStr">
        <is>
          <t>devoir</t>
        </is>
      </c>
      <c r="B899" s="26">
        <f>IFERROR(INDEX(Mots!$B:$B,MATCH($A899,Mots!$A:$A,0)),"introuvable")</f>
        <v/>
      </c>
      <c r="I899" s="30" t="inlineStr">
        <is>
          <t>maison</t>
        </is>
      </c>
      <c r="J899" s="30" t="inlineStr">
        <is>
          <t>dehors</t>
        </is>
      </c>
      <c r="K899" s="30" t="inlineStr">
        <is>
          <t>ville</t>
        </is>
      </c>
      <c r="L899" s="30" t="inlineStr">
        <is>
          <t>travail</t>
        </is>
      </c>
    </row>
    <row r="900">
      <c r="A900" s="30" t="inlineStr">
        <is>
          <t>diner</t>
        </is>
      </c>
      <c r="B900" s="26">
        <f>IFERROR(INDEX(Mots!$B:$B,MATCH($A900,Mots!$A:$A,0)),"introuvable")</f>
        <v/>
      </c>
      <c r="I900" s="30" t="inlineStr">
        <is>
          <t>cuisine</t>
        </is>
      </c>
      <c r="N900" s="30" t="inlineStr">
        <is>
          <t>manger_boire</t>
        </is>
      </c>
    </row>
    <row r="901">
      <c r="A901" s="30" t="inlineStr">
        <is>
          <t>disque</t>
        </is>
      </c>
      <c r="B901" s="26">
        <f>IFERROR(INDEX(Mots!$B:$B,MATCH($A901,Mots!$A:$A,0)),"introuvable")</f>
        <v/>
      </c>
      <c r="C901" s="30" t="inlineStr">
        <is>
          <t>aliment</t>
        </is>
      </c>
      <c r="I901" s="30" t="inlineStr">
        <is>
          <t>cuisine</t>
        </is>
      </c>
    </row>
    <row r="902">
      <c r="A902" s="30" t="inlineStr">
        <is>
          <t>document</t>
        </is>
      </c>
      <c r="B902" s="26">
        <f>IFERROR(INDEX(Mots!$B:$B,MATCH($A902,Mots!$A:$A,0)),"introuvable")</f>
        <v/>
      </c>
      <c r="C902" s="30" t="inlineStr">
        <is>
          <t>document</t>
        </is>
      </c>
    </row>
    <row r="903">
      <c r="A903" s="30" t="inlineStr">
        <is>
          <t>fer</t>
        </is>
      </c>
      <c r="B903" s="26">
        <f>IFERROR(INDEX(Mots!$B:$B,MATCH($A903,Mots!$A:$A,0)),"introuvable")</f>
        <v/>
      </c>
      <c r="C903" s="30" t="inlineStr">
        <is>
          <t>matiere</t>
        </is>
      </c>
    </row>
    <row r="904">
      <c r="A904" s="30" t="inlineStr">
        <is>
          <t>frein</t>
        </is>
      </c>
      <c r="B904" s="26">
        <f>IFERROR(INDEX(Mots!$B:$B,MATCH($A904,Mots!$A:$A,0)),"introuvable")</f>
        <v/>
      </c>
      <c r="I904" s="30" t="inlineStr">
        <is>
          <t>voiture</t>
        </is>
      </c>
    </row>
    <row r="905">
      <c r="A905" s="30" t="inlineStr">
        <is>
          <t>gel</t>
        </is>
      </c>
      <c r="B905" s="26">
        <f>IFERROR(INDEX(Mots!$B:$B,MATCH($A905,Mots!$A:$A,0)),"introuvable")</f>
        <v/>
      </c>
      <c r="I905" s="30" t="inlineStr">
        <is>
          <t>dehors</t>
        </is>
      </c>
    </row>
    <row r="906">
      <c r="A906" s="30" t="inlineStr">
        <is>
          <t>geste</t>
        </is>
      </c>
      <c r="B906" s="26">
        <f>IFERROR(INDEX(Mots!$B:$B,MATCH($A906,Mots!$A:$A,0)),"introuvable")</f>
        <v/>
      </c>
      <c r="C906" s="30" t="inlineStr">
        <is>
          <t>partie_corps</t>
        </is>
      </c>
      <c r="E906" s="30" t="inlineStr">
        <is>
          <t>corps</t>
        </is>
      </c>
    </row>
    <row r="907">
      <c r="A907" s="30" t="inlineStr">
        <is>
          <t>gout</t>
        </is>
      </c>
      <c r="B907" s="26">
        <f>IFERROR(INDEX(Mots!$B:$B,MATCH($A907,Mots!$A:$A,0)),"introuvable")</f>
        <v/>
      </c>
      <c r="N907" s="30" t="inlineStr">
        <is>
          <t>manger_boire</t>
        </is>
      </c>
    </row>
    <row r="908">
      <c r="A908" s="30" t="inlineStr">
        <is>
          <t>jardin</t>
        </is>
      </c>
      <c r="B908" s="26">
        <f>IFERROR(INDEX(Mots!$B:$B,MATCH($A908,Mots!$A:$A,0)),"introuvable")</f>
        <v/>
      </c>
      <c r="C908" s="30" t="inlineStr">
        <is>
          <t>aliment</t>
        </is>
      </c>
      <c r="I908" s="30" t="inlineStr">
        <is>
          <t>cuisine</t>
        </is>
      </c>
      <c r="J908" s="30" t="inlineStr">
        <is>
          <t>maison</t>
        </is>
      </c>
      <c r="K908" s="30" t="inlineStr">
        <is>
          <t>dehors</t>
        </is>
      </c>
    </row>
    <row r="909">
      <c r="A909" s="30" t="inlineStr">
        <is>
          <t>jardinage</t>
        </is>
      </c>
      <c r="B909" s="26">
        <f>IFERROR(INDEX(Mots!$B:$B,MATCH($A909,Mots!$A:$A,0)),"introuvable")</f>
        <v/>
      </c>
      <c r="C909" s="30" t="inlineStr">
        <is>
          <t>plante</t>
        </is>
      </c>
      <c r="I909" s="30" t="inlineStr">
        <is>
          <t>dehors</t>
        </is>
      </c>
      <c r="N909" s="30" t="inlineStr">
        <is>
          <t>aider</t>
        </is>
      </c>
    </row>
    <row r="910">
      <c r="A910" s="30" t="inlineStr">
        <is>
          <t>jouet</t>
        </is>
      </c>
      <c r="B910" s="26">
        <f>IFERROR(INDEX(Mots!$B:$B,MATCH($A910,Mots!$A:$A,0)),"introuvable")</f>
        <v/>
      </c>
      <c r="C910" s="30" t="inlineStr">
        <is>
          <t>objet</t>
        </is>
      </c>
    </row>
    <row r="911">
      <c r="A911" s="30" t="inlineStr">
        <is>
          <t>jus</t>
        </is>
      </c>
      <c r="B911" s="26">
        <f>IFERROR(INDEX(Mots!$B:$B,MATCH($A911,Mots!$A:$A,0)),"introuvable")</f>
        <v/>
      </c>
      <c r="C911" s="30" t="inlineStr">
        <is>
          <t>aliment</t>
        </is>
      </c>
      <c r="I911" s="30" t="inlineStr">
        <is>
          <t>cuisine</t>
        </is>
      </c>
    </row>
    <row r="912">
      <c r="A912" s="30" t="inlineStr">
        <is>
          <t>lac</t>
        </is>
      </c>
      <c r="B912" s="26">
        <f>IFERROR(INDEX(Mots!$B:$B,MATCH($A912,Mots!$A:$A,0)),"introuvable")</f>
        <v/>
      </c>
      <c r="I912" s="30" t="inlineStr">
        <is>
          <t>dehors</t>
        </is>
      </c>
    </row>
    <row r="913">
      <c r="A913" s="30" t="inlineStr">
        <is>
          <t>produits_laitiers</t>
        </is>
      </c>
      <c r="B913" s="26">
        <f>IFERROR(INDEX(Mots!$B:$B,MATCH($A913,Mots!$A:$A,0)),"introuvable")</f>
        <v/>
      </c>
      <c r="C913" s="30" t="inlineStr">
        <is>
          <t>aliment</t>
        </is>
      </c>
      <c r="I913" s="30" t="inlineStr">
        <is>
          <t>cuisine</t>
        </is>
      </c>
      <c r="N913" s="30" t="inlineStr">
        <is>
          <t>manger_boire</t>
        </is>
      </c>
    </row>
    <row r="914">
      <c r="A914" s="30" t="inlineStr">
        <is>
          <t>livre</t>
        </is>
      </c>
      <c r="B914" s="26">
        <f>IFERROR(INDEX(Mots!$B:$B,MATCH($A914,Mots!$A:$A,0)),"introuvable")</f>
        <v/>
      </c>
      <c r="C914" s="30" t="inlineStr">
        <is>
          <t>objet</t>
        </is>
      </c>
    </row>
    <row r="915">
      <c r="A915" s="30" t="inlineStr">
        <is>
          <t>logement</t>
        </is>
      </c>
      <c r="B915" s="26">
        <f>IFERROR(INDEX(Mots!$B:$B,MATCH($A915,Mots!$A:$A,0)),"introuvable")</f>
        <v/>
      </c>
      <c r="I915" s="30" t="inlineStr">
        <is>
          <t>maison</t>
        </is>
      </c>
    </row>
    <row r="916">
      <c r="A916" s="30" t="inlineStr">
        <is>
          <t>maitre</t>
        </is>
      </c>
      <c r="B916" s="26">
        <f>IFERROR(INDEX(Mots!$B:$B,MATCH($A916,Mots!$A:$A,0)),"introuvable")</f>
        <v/>
      </c>
      <c r="I916" s="30" t="inlineStr">
        <is>
          <t>ville</t>
        </is>
      </c>
    </row>
    <row r="917">
      <c r="A917" s="30" t="inlineStr">
        <is>
          <t>manteau</t>
        </is>
      </c>
      <c r="B917" s="26">
        <f>IFERROR(INDEX(Mots!$B:$B,MATCH($A917,Mots!$A:$A,0)),"introuvable")</f>
        <v/>
      </c>
      <c r="C917" s="30" t="inlineStr">
        <is>
          <t>vetement</t>
        </is>
      </c>
      <c r="N917" s="30" t="inlineStr">
        <is>
          <t>s_habiller</t>
        </is>
      </c>
    </row>
    <row r="918">
      <c r="A918" s="30" t="inlineStr">
        <is>
          <t>marteau</t>
        </is>
      </c>
      <c r="B918" s="26">
        <f>IFERROR(INDEX(Mots!$B:$B,MATCH($A918,Mots!$A:$A,0)),"introuvable")</f>
        <v/>
      </c>
      <c r="C918" s="30" t="inlineStr">
        <is>
          <t>outil</t>
        </is>
      </c>
      <c r="I918" s="30" t="inlineStr">
        <is>
          <t>dehors</t>
        </is>
      </c>
      <c r="N918" s="30" t="inlineStr">
        <is>
          <t>bricoler</t>
        </is>
      </c>
    </row>
    <row r="919">
      <c r="A919" s="30" t="inlineStr">
        <is>
          <t>medicament</t>
        </is>
      </c>
      <c r="B919" s="26">
        <f>IFERROR(INDEX(Mots!$B:$B,MATCH($A919,Mots!$A:$A,0)),"introuvable")</f>
        <v/>
      </c>
      <c r="I919" s="30" t="inlineStr">
        <is>
          <t>sante</t>
        </is>
      </c>
      <c r="N919" s="30" t="inlineStr">
        <is>
          <t>se_soigner</t>
        </is>
      </c>
    </row>
    <row r="920">
      <c r="A920" s="30" t="inlineStr">
        <is>
          <t>metal</t>
        </is>
      </c>
      <c r="B920" s="26">
        <f>IFERROR(INDEX(Mots!$B:$B,MATCH($A920,Mots!$A:$A,0)),"introuvable")</f>
        <v/>
      </c>
      <c r="C920" s="30" t="inlineStr">
        <is>
          <t>matiere</t>
        </is>
      </c>
    </row>
    <row r="921">
      <c r="A921" s="30" t="inlineStr">
        <is>
          <t>miel</t>
        </is>
      </c>
      <c r="B921" s="26">
        <f>IFERROR(INDEX(Mots!$B:$B,MATCH($A921,Mots!$A:$A,0)),"introuvable")</f>
        <v/>
      </c>
      <c r="C921" s="30" t="inlineStr">
        <is>
          <t>aliment</t>
        </is>
      </c>
      <c r="I921" s="30" t="inlineStr">
        <is>
          <t>cuisine</t>
        </is>
      </c>
      <c r="N921" s="30" t="inlineStr">
        <is>
          <t>manger_boire</t>
        </is>
      </c>
    </row>
    <row r="922">
      <c r="A922" s="30" t="inlineStr">
        <is>
          <t>moment</t>
        </is>
      </c>
      <c r="B922" s="26">
        <f>IFERROR(INDEX(Mots!$B:$B,MATCH($A922,Mots!$A:$A,0)),"introuvable")</f>
        <v/>
      </c>
      <c r="G922" s="30" t="inlineStr">
        <is>
          <t>temps</t>
        </is>
      </c>
    </row>
    <row r="923">
      <c r="A923" s="30" t="inlineStr">
        <is>
          <t>moteur</t>
        </is>
      </c>
      <c r="B923" s="26">
        <f>IFERROR(INDEX(Mots!$B:$B,MATCH($A923,Mots!$A:$A,0)),"introuvable")</f>
        <v/>
      </c>
      <c r="C923" s="30" t="inlineStr">
        <is>
          <t>vehicule</t>
        </is>
      </c>
      <c r="I923" s="30" t="inlineStr">
        <is>
          <t>voiture</t>
        </is>
      </c>
      <c r="N923" s="30" t="inlineStr">
        <is>
          <t>se_deplacer</t>
        </is>
      </c>
      <c r="O923" s="30" t="inlineStr">
        <is>
          <t>communiquer</t>
        </is>
      </c>
    </row>
    <row r="924">
      <c r="A924" s="30" t="inlineStr">
        <is>
          <t>mouvement</t>
        </is>
      </c>
      <c r="B924" s="26">
        <f>IFERROR(INDEX(Mots!$B:$B,MATCH($A924,Mots!$A:$A,0)),"introuvable")</f>
        <v/>
      </c>
      <c r="I924" s="30" t="inlineStr">
        <is>
          <t>dehors</t>
        </is>
      </c>
      <c r="N924" s="30" t="inlineStr">
        <is>
          <t>se_deplacer</t>
        </is>
      </c>
    </row>
    <row r="925">
      <c r="A925" s="30" t="inlineStr">
        <is>
          <t>niveau</t>
        </is>
      </c>
      <c r="B925" s="26">
        <f>IFERROR(INDEX(Mots!$B:$B,MATCH($A925,Mots!$A:$A,0)),"introuvable")</f>
        <v/>
      </c>
      <c r="C925" s="30" t="inlineStr">
        <is>
          <t>appareil</t>
        </is>
      </c>
    </row>
    <row r="926">
      <c r="A926" s="30" t="inlineStr">
        <is>
          <t>nombre</t>
        </is>
      </c>
      <c r="B926" s="26">
        <f>IFERROR(INDEX(Mots!$B:$B,MATCH($A926,Mots!$A:$A,0)),"introuvable")</f>
        <v/>
      </c>
      <c r="I926" s="30" t="inlineStr">
        <is>
          <t>travail</t>
        </is>
      </c>
      <c r="N926" s="30" t="inlineStr">
        <is>
          <t>penser</t>
        </is>
      </c>
    </row>
    <row r="927">
      <c r="A927" s="30" t="inlineStr">
        <is>
          <t>noyau</t>
        </is>
      </c>
      <c r="B927" s="26">
        <f>IFERROR(INDEX(Mots!$B:$B,MATCH($A927,Mots!$A:$A,0)),"introuvable")</f>
        <v/>
      </c>
      <c r="C927" s="30" t="inlineStr">
        <is>
          <t>aliment</t>
        </is>
      </c>
      <c r="I927" s="30" t="inlineStr">
        <is>
          <t>cuisine</t>
        </is>
      </c>
    </row>
    <row r="928">
      <c r="A928" s="30" t="inlineStr">
        <is>
          <t>nuage</t>
        </is>
      </c>
      <c r="B928" s="26">
        <f>IFERROR(INDEX(Mots!$B:$B,MATCH($A928,Mots!$A:$A,0)),"introuvable")</f>
        <v/>
      </c>
      <c r="I928" s="30" t="inlineStr">
        <is>
          <t>dehors</t>
        </is>
      </c>
    </row>
    <row r="929">
      <c r="A929" s="30" t="inlineStr">
        <is>
          <t>panier</t>
        </is>
      </c>
      <c r="B929" s="26">
        <f>IFERROR(INDEX(Mots!$B:$B,MATCH($A929,Mots!$A:$A,0)),"introuvable")</f>
        <v/>
      </c>
      <c r="C929" s="30" t="inlineStr">
        <is>
          <t>aliment</t>
        </is>
      </c>
      <c r="I929" s="30" t="inlineStr">
        <is>
          <t>cuisine</t>
        </is>
      </c>
      <c r="J929" s="30" t="inlineStr">
        <is>
          <t>maison</t>
        </is>
      </c>
    </row>
    <row r="930">
      <c r="A930" s="30" t="inlineStr">
        <is>
          <t>pansement</t>
        </is>
      </c>
      <c r="B930" s="26">
        <f>IFERROR(INDEX(Mots!$B:$B,MATCH($A930,Mots!$A:$A,0)),"introuvable")</f>
        <v/>
      </c>
      <c r="I930" s="30" t="inlineStr">
        <is>
          <t>sante</t>
        </is>
      </c>
      <c r="N930" s="30" t="inlineStr">
        <is>
          <t>se_soigner</t>
        </is>
      </c>
    </row>
    <row r="931">
      <c r="A931" s="30" t="inlineStr">
        <is>
          <t>parapluie</t>
        </is>
      </c>
      <c r="B931" s="26">
        <f>IFERROR(INDEX(Mots!$B:$B,MATCH($A931,Mots!$A:$A,0)),"introuvable")</f>
        <v/>
      </c>
      <c r="C931" s="30" t="inlineStr">
        <is>
          <t>objet</t>
        </is>
      </c>
      <c r="I931" s="30" t="inlineStr">
        <is>
          <t>dehors</t>
        </is>
      </c>
      <c r="N931" s="30" t="inlineStr">
        <is>
          <t>aider</t>
        </is>
      </c>
    </row>
    <row r="932">
      <c r="A932" s="30" t="inlineStr">
        <is>
          <t>parking</t>
        </is>
      </c>
      <c r="B932" s="26">
        <f>IFERROR(INDEX(Mots!$B:$B,MATCH($A932,Mots!$A:$A,0)),"introuvable")</f>
        <v/>
      </c>
      <c r="I932" s="30" t="inlineStr">
        <is>
          <t>ville</t>
        </is>
      </c>
      <c r="J932" s="30" t="inlineStr">
        <is>
          <t>voiture</t>
        </is>
      </c>
    </row>
    <row r="933">
      <c r="A933" s="30" t="inlineStr">
        <is>
          <t>v_partager</t>
        </is>
      </c>
      <c r="B933" s="26">
        <f>IFERROR(INDEX(Mots!$B:$B,MATCH($A933,Mots!$A:$A,0)),"introuvable")</f>
        <v/>
      </c>
      <c r="N933" s="30" t="inlineStr">
        <is>
          <t>donner_recevoir</t>
        </is>
      </c>
    </row>
    <row r="934">
      <c r="A934" s="30" t="inlineStr">
        <is>
          <t>pays</t>
        </is>
      </c>
      <c r="B934" s="26">
        <f>IFERROR(INDEX(Mots!$B:$B,MATCH($A934,Mots!$A:$A,0)),"introuvable")</f>
        <v/>
      </c>
      <c r="N934" s="30" t="inlineStr">
        <is>
          <t>s_habiller</t>
        </is>
      </c>
    </row>
    <row r="935">
      <c r="A935" s="30" t="inlineStr">
        <is>
          <t>paysage</t>
        </is>
      </c>
      <c r="B935" s="26">
        <f>IFERROR(INDEX(Mots!$B:$B,MATCH($A935,Mots!$A:$A,0)),"introuvable")</f>
        <v/>
      </c>
      <c r="I935" s="30" t="inlineStr">
        <is>
          <t>dehors</t>
        </is>
      </c>
    </row>
    <row r="936">
      <c r="A936" s="30" t="inlineStr">
        <is>
          <t>permis</t>
        </is>
      </c>
      <c r="B936" s="26">
        <f>IFERROR(INDEX(Mots!$B:$B,MATCH($A936,Mots!$A:$A,0)),"introuvable")</f>
        <v/>
      </c>
      <c r="I936" s="30" t="inlineStr">
        <is>
          <t>voiture</t>
        </is>
      </c>
      <c r="N936" s="30" t="inlineStr">
        <is>
          <t>se_deplacer</t>
        </is>
      </c>
    </row>
    <row r="937">
      <c r="A937" s="30" t="inlineStr">
        <is>
          <t>pharmacien</t>
        </is>
      </c>
      <c r="B937" s="26">
        <f>IFERROR(INDEX(Mots!$B:$B,MATCH($A937,Mots!$A:$A,0)),"introuvable")</f>
        <v/>
      </c>
      <c r="W937" s="30" t="inlineStr">
        <is>
          <t>sante</t>
        </is>
      </c>
    </row>
    <row r="938">
      <c r="A938" s="30" t="inlineStr">
        <is>
          <t>piment</t>
        </is>
      </c>
      <c r="B938" s="26">
        <f>IFERROR(INDEX(Mots!$B:$B,MATCH($A938,Mots!$A:$A,0)),"introuvable")</f>
        <v/>
      </c>
      <c r="C938" s="30" t="inlineStr">
        <is>
          <t>aliment</t>
        </is>
      </c>
      <c r="I938" s="30" t="inlineStr">
        <is>
          <t>cuisine</t>
        </is>
      </c>
    </row>
    <row r="939">
      <c r="A939" s="30" t="inlineStr">
        <is>
          <t>pinceau</t>
        </is>
      </c>
      <c r="B939" s="26">
        <f>IFERROR(INDEX(Mots!$B:$B,MATCH($A939,Mots!$A:$A,0)),"introuvable")</f>
        <v/>
      </c>
      <c r="C939" s="30" t="inlineStr">
        <is>
          <t>objet</t>
        </is>
      </c>
    </row>
    <row r="940">
      <c r="A940" s="30" t="inlineStr">
        <is>
          <t>pique_nique</t>
        </is>
      </c>
      <c r="B940" s="26">
        <f>IFERROR(INDEX(Mots!$B:$B,MATCH($A940,Mots!$A:$A,0)),"introuvable")</f>
        <v/>
      </c>
      <c r="I940" s="30" t="inlineStr">
        <is>
          <t>cuisine</t>
        </is>
      </c>
      <c r="J940" s="30" t="inlineStr">
        <is>
          <t>dehors</t>
        </is>
      </c>
      <c r="N940" s="30" t="inlineStr">
        <is>
          <t>manger_boire</t>
        </is>
      </c>
    </row>
    <row r="941">
      <c r="A941" s="30" t="inlineStr">
        <is>
          <t>plafond</t>
        </is>
      </c>
      <c r="B941" s="26">
        <f>IFERROR(INDEX(Mots!$B:$B,MATCH($A941,Mots!$A:$A,0)),"introuvable")</f>
        <v/>
      </c>
      <c r="I941" s="30" t="inlineStr">
        <is>
          <t>maison</t>
        </is>
      </c>
    </row>
    <row r="942">
      <c r="A942" s="30" t="inlineStr">
        <is>
          <t>plaisir</t>
        </is>
      </c>
      <c r="B942" s="26">
        <f>IFERROR(INDEX(Mots!$B:$B,MATCH($A942,Mots!$A:$A,0)),"introuvable")</f>
        <v/>
      </c>
      <c r="Z942" s="30" t="inlineStr">
        <is>
          <t>agreable</t>
        </is>
      </c>
    </row>
    <row r="943">
      <c r="A943" s="30" t="inlineStr">
        <is>
          <t>plancher</t>
        </is>
      </c>
      <c r="B943" s="26">
        <f>IFERROR(INDEX(Mots!$B:$B,MATCH($A943,Mots!$A:$A,0)),"introuvable")</f>
        <v/>
      </c>
      <c r="C943" s="30" t="inlineStr">
        <is>
          <t>matiere</t>
        </is>
      </c>
      <c r="I943" s="30" t="inlineStr">
        <is>
          <t>maison</t>
        </is>
      </c>
    </row>
    <row r="944">
      <c r="A944" s="30" t="inlineStr">
        <is>
          <t>plastique</t>
        </is>
      </c>
      <c r="B944" s="26">
        <f>IFERROR(INDEX(Mots!$B:$B,MATCH($A944,Mots!$A:$A,0)),"introuvable")</f>
        <v/>
      </c>
      <c r="C944" s="30" t="inlineStr">
        <is>
          <t>matiere</t>
        </is>
      </c>
    </row>
    <row r="945">
      <c r="A945" s="30" t="inlineStr">
        <is>
          <t>plat</t>
        </is>
      </c>
      <c r="B945" s="26">
        <f>IFERROR(INDEX(Mots!$B:$B,MATCH($A945,Mots!$A:$A,0)),"introuvable")</f>
        <v/>
      </c>
      <c r="C945" s="30" t="inlineStr">
        <is>
          <t>aliment</t>
        </is>
      </c>
      <c r="I945" s="30" t="inlineStr">
        <is>
          <t>cuisine</t>
        </is>
      </c>
      <c r="N945" s="30" t="inlineStr">
        <is>
          <t>cuisiner</t>
        </is>
      </c>
    </row>
    <row r="946">
      <c r="A946" s="30" t="inlineStr">
        <is>
          <t>portefeuille</t>
        </is>
      </c>
      <c r="B946" s="26">
        <f>IFERROR(INDEX(Mots!$B:$B,MATCH($A946,Mots!$A:$A,0)),"introuvable")</f>
        <v/>
      </c>
      <c r="C946" s="30" t="inlineStr">
        <is>
          <t>meuble</t>
        </is>
      </c>
      <c r="I946" s="30" t="inlineStr">
        <is>
          <t>maison</t>
        </is>
      </c>
    </row>
    <row r="947">
      <c r="A947" s="30" t="inlineStr">
        <is>
          <t>porte_manteau</t>
        </is>
      </c>
      <c r="B947" s="26">
        <f>IFERROR(INDEX(Mots!$B:$B,MATCH($A947,Mots!$A:$A,0)),"introuvable")</f>
        <v/>
      </c>
      <c r="C947" s="30" t="inlineStr">
        <is>
          <t>objet</t>
        </is>
      </c>
      <c r="I947" s="30" t="inlineStr">
        <is>
          <t>maison</t>
        </is>
      </c>
      <c r="N947" s="30" t="inlineStr">
        <is>
          <t>s_habiller</t>
        </is>
      </c>
    </row>
    <row r="948">
      <c r="A948" s="30" t="inlineStr">
        <is>
          <t>quartier</t>
        </is>
      </c>
      <c r="B948" s="26">
        <f>IFERROR(INDEX(Mots!$B:$B,MATCH($A948,Mots!$A:$A,0)),"introuvable")</f>
        <v/>
      </c>
      <c r="I948" s="30" t="inlineStr">
        <is>
          <t>ville</t>
        </is>
      </c>
    </row>
    <row r="949">
      <c r="A949" s="30" t="inlineStr">
        <is>
          <t>recipient</t>
        </is>
      </c>
      <c r="B949" s="26">
        <f>IFERROR(INDEX(Mots!$B:$B,MATCH($A949,Mots!$A:$A,0)),"introuvable")</f>
        <v/>
      </c>
      <c r="C949" s="30" t="inlineStr">
        <is>
          <t>recipient</t>
        </is>
      </c>
      <c r="I949" s="30" t="inlineStr">
        <is>
          <t>cuisine</t>
        </is>
      </c>
    </row>
    <row r="950">
      <c r="A950" s="30" t="inlineStr">
        <is>
          <t>reflet</t>
        </is>
      </c>
      <c r="B950" s="26">
        <f>IFERROR(INDEX(Mots!$B:$B,MATCH($A950,Mots!$A:$A,0)),"introuvable")</f>
        <v/>
      </c>
      <c r="I950" s="30" t="inlineStr">
        <is>
          <t>salle_de_bain</t>
        </is>
      </c>
    </row>
    <row r="951">
      <c r="A951" s="30" t="inlineStr">
        <is>
          <t>remede</t>
        </is>
      </c>
      <c r="B951" s="26">
        <f>IFERROR(INDEX(Mots!$B:$B,MATCH($A951,Mots!$A:$A,0)),"introuvable")</f>
        <v/>
      </c>
      <c r="I951" s="30" t="inlineStr">
        <is>
          <t>sante</t>
        </is>
      </c>
      <c r="N951" s="30" t="inlineStr">
        <is>
          <t>se_soigner</t>
        </is>
      </c>
    </row>
    <row r="952">
      <c r="A952" s="30" t="inlineStr">
        <is>
          <t>repas</t>
        </is>
      </c>
      <c r="B952" s="26">
        <f>IFERROR(INDEX(Mots!$B:$B,MATCH($A952,Mots!$A:$A,0)),"introuvable")</f>
        <v/>
      </c>
      <c r="C952" s="30" t="inlineStr">
        <is>
          <t>aliment</t>
        </is>
      </c>
      <c r="I952" s="30" t="inlineStr">
        <is>
          <t>cuisine</t>
        </is>
      </c>
      <c r="N952" s="30" t="inlineStr">
        <is>
          <t>manger_boire</t>
        </is>
      </c>
    </row>
    <row r="953">
      <c r="A953" s="30" t="inlineStr">
        <is>
          <t>repos</t>
        </is>
      </c>
      <c r="B953" s="26">
        <f>IFERROR(INDEX(Mots!$B:$B,MATCH($A953,Mots!$A:$A,0)),"introuvable")</f>
        <v/>
      </c>
      <c r="G953" s="30" t="inlineStr">
        <is>
          <t>temps</t>
        </is>
      </c>
    </row>
    <row r="954">
      <c r="A954" s="30" t="inlineStr">
        <is>
          <t>rhume</t>
        </is>
      </c>
      <c r="B954" s="26">
        <f>IFERROR(INDEX(Mots!$B:$B,MATCH($A954,Mots!$A:$A,0)),"introuvable")</f>
        <v/>
      </c>
      <c r="I954" s="30" t="inlineStr">
        <is>
          <t>sante</t>
        </is>
      </c>
    </row>
    <row r="955">
      <c r="A955" s="30" t="inlineStr">
        <is>
          <t>rideau</t>
        </is>
      </c>
      <c r="B955" s="26">
        <f>IFERROR(INDEX(Mots!$B:$B,MATCH($A955,Mots!$A:$A,0)),"introuvable")</f>
        <v/>
      </c>
      <c r="C955" s="30" t="inlineStr">
        <is>
          <t>matiere</t>
        </is>
      </c>
      <c r="I955" s="30" t="inlineStr">
        <is>
          <t>chambre</t>
        </is>
      </c>
      <c r="N955" s="30" t="inlineStr">
        <is>
          <t>se_reposer</t>
        </is>
      </c>
    </row>
    <row r="956">
      <c r="A956" s="30" t="inlineStr">
        <is>
          <t>ruban</t>
        </is>
      </c>
      <c r="B956" s="26">
        <f>IFERROR(INDEX(Mots!$B:$B,MATCH($A956,Mots!$A:$A,0)),"introuvable")</f>
        <v/>
      </c>
      <c r="C956" s="30" t="inlineStr">
        <is>
          <t>matiere</t>
        </is>
      </c>
      <c r="N956" s="30" t="inlineStr">
        <is>
          <t>s_habiller</t>
        </is>
      </c>
    </row>
    <row r="957">
      <c r="A957" s="30" t="inlineStr">
        <is>
          <t>rythme</t>
        </is>
      </c>
      <c r="B957" s="26">
        <f>IFERROR(INDEX(Mots!$B:$B,MATCH($A957,Mots!$A:$A,0)),"introuvable")</f>
        <v/>
      </c>
      <c r="I957" s="30" t="inlineStr">
        <is>
          <t>musique</t>
        </is>
      </c>
      <c r="N957" s="30" t="inlineStr">
        <is>
          <t>jouer_musique</t>
        </is>
      </c>
    </row>
    <row r="958">
      <c r="A958" s="30" t="inlineStr">
        <is>
          <t>sac</t>
        </is>
      </c>
      <c r="B958" s="26">
        <f>IFERROR(INDEX(Mots!$B:$B,MATCH($A958,Mots!$A:$A,0)),"introuvable")</f>
        <v/>
      </c>
      <c r="C958" s="30" t="inlineStr">
        <is>
          <t>objet</t>
        </is>
      </c>
      <c r="I958" s="30" t="inlineStr">
        <is>
          <t>maison</t>
        </is>
      </c>
    </row>
    <row r="959">
      <c r="A959" s="30" t="inlineStr">
        <is>
          <t>sac_a_dos</t>
        </is>
      </c>
      <c r="B959" s="26">
        <f>IFERROR(INDEX(Mots!$B:$B,MATCH($A959,Mots!$A:$A,0)),"introuvable")</f>
        <v/>
      </c>
      <c r="C959" s="30" t="inlineStr">
        <is>
          <t>partie_corps</t>
        </is>
      </c>
      <c r="I959" s="30" t="inlineStr">
        <is>
          <t>maison</t>
        </is>
      </c>
    </row>
    <row r="960">
      <c r="A960" s="30" t="inlineStr">
        <is>
          <t>seau</t>
        </is>
      </c>
      <c r="B960" s="26">
        <f>IFERROR(INDEX(Mots!$B:$B,MATCH($A960,Mots!$A:$A,0)),"introuvable")</f>
        <v/>
      </c>
      <c r="C960" s="30" t="inlineStr">
        <is>
          <t>recipient</t>
        </is>
      </c>
      <c r="I960" s="30" t="inlineStr">
        <is>
          <t>cuisine</t>
        </is>
      </c>
      <c r="J960" s="30" t="inlineStr">
        <is>
          <t>maison</t>
        </is>
      </c>
    </row>
    <row r="961">
      <c r="A961" s="30" t="inlineStr">
        <is>
          <t>secours</t>
        </is>
      </c>
      <c r="B961" s="26">
        <f>IFERROR(INDEX(Mots!$B:$B,MATCH($A961,Mots!$A:$A,0)),"introuvable")</f>
        <v/>
      </c>
      <c r="I961" s="30" t="inlineStr">
        <is>
          <t>maison</t>
        </is>
      </c>
    </row>
    <row r="962">
      <c r="A962" s="30" t="inlineStr">
        <is>
          <t>sentier</t>
        </is>
      </c>
      <c r="B962" s="26">
        <f>IFERROR(INDEX(Mots!$B:$B,MATCH($A962,Mots!$A:$A,0)),"introuvable")</f>
        <v/>
      </c>
      <c r="I962" s="30" t="inlineStr">
        <is>
          <t>dehors</t>
        </is>
      </c>
      <c r="N962" s="30" t="inlineStr">
        <is>
          <t>se_promener</t>
        </is>
      </c>
    </row>
    <row r="963">
      <c r="A963" s="30" t="inlineStr">
        <is>
          <t>signe</t>
        </is>
      </c>
      <c r="B963" s="26">
        <f>IFERROR(INDEX(Mots!$B:$B,MATCH($A963,Mots!$A:$A,0)),"introuvable")</f>
        <v/>
      </c>
      <c r="N963" s="30" t="inlineStr">
        <is>
          <t>communiquer</t>
        </is>
      </c>
    </row>
    <row r="964">
      <c r="A964" s="30" t="inlineStr">
        <is>
          <t>v_soigner</t>
        </is>
      </c>
      <c r="B964" s="26">
        <f>IFERROR(INDEX(Mots!$B:$B,MATCH($A964,Mots!$A:$A,0)),"introuvable")</f>
        <v/>
      </c>
      <c r="I964" s="30" t="inlineStr">
        <is>
          <t>sante</t>
        </is>
      </c>
      <c r="N964" s="30" t="inlineStr">
        <is>
          <t>se_soigner</t>
        </is>
      </c>
      <c r="O964" s="30" t="inlineStr">
        <is>
          <t>donner_recevoir</t>
        </is>
      </c>
    </row>
    <row r="965">
      <c r="A965" s="30" t="inlineStr">
        <is>
          <t>sol</t>
        </is>
      </c>
      <c r="B965" s="26">
        <f>IFERROR(INDEX(Mots!$B:$B,MATCH($A965,Mots!$A:$A,0)),"introuvable")</f>
        <v/>
      </c>
      <c r="I965" s="30" t="inlineStr">
        <is>
          <t>ville</t>
        </is>
      </c>
      <c r="N965" s="30" t="inlineStr">
        <is>
          <t>se_promener</t>
        </is>
      </c>
    </row>
    <row r="966">
      <c r="A966" s="30" t="inlineStr">
        <is>
          <t>sommeil</t>
        </is>
      </c>
      <c r="B966" s="26">
        <f>IFERROR(INDEX(Mots!$B:$B,MATCH($A966,Mots!$A:$A,0)),"introuvable")</f>
        <v/>
      </c>
      <c r="I966" s="30" t="inlineStr">
        <is>
          <t>chambre</t>
        </is>
      </c>
      <c r="N966" s="30" t="inlineStr">
        <is>
          <t>se_reposer</t>
        </is>
      </c>
    </row>
    <row r="967">
      <c r="A967" s="30" t="inlineStr">
        <is>
          <t>souvenir</t>
        </is>
      </c>
      <c r="B967" s="26">
        <f>IFERROR(INDEX(Mots!$B:$B,MATCH($A967,Mots!$A:$A,0)),"introuvable")</f>
        <v/>
      </c>
      <c r="G967" s="30" t="inlineStr">
        <is>
          <t>temps</t>
        </is>
      </c>
    </row>
    <row r="968">
      <c r="A968" s="30" t="inlineStr">
        <is>
          <t>stylo</t>
        </is>
      </c>
      <c r="B968" s="26">
        <f>IFERROR(INDEX(Mots!$B:$B,MATCH($A968,Mots!$A:$A,0)),"introuvable")</f>
        <v/>
      </c>
      <c r="C968" s="30" t="inlineStr">
        <is>
          <t>objet</t>
        </is>
      </c>
    </row>
    <row r="969">
      <c r="A969" s="30" t="inlineStr">
        <is>
          <t>tableau</t>
        </is>
      </c>
      <c r="B969" s="26">
        <f>IFERROR(INDEX(Mots!$B:$B,MATCH($A969,Mots!$A:$A,0)),"introuvable")</f>
        <v/>
      </c>
      <c r="I969" s="30" t="inlineStr">
        <is>
          <t>cuisine</t>
        </is>
      </c>
    </row>
    <row r="970">
      <c r="A970" s="30" t="inlineStr">
        <is>
          <t>tablier</t>
        </is>
      </c>
      <c r="B970" s="26">
        <f>IFERROR(INDEX(Mots!$B:$B,MATCH($A970,Mots!$A:$A,0)),"introuvable")</f>
        <v/>
      </c>
      <c r="C970" s="30" t="inlineStr">
        <is>
          <t>vetement</t>
        </is>
      </c>
      <c r="N970" s="30" t="inlineStr">
        <is>
          <t>s_habiller</t>
        </is>
      </c>
    </row>
    <row r="971">
      <c r="A971" s="30" t="inlineStr">
        <is>
          <t>terrain</t>
        </is>
      </c>
      <c r="B971" s="26">
        <f>IFERROR(INDEX(Mots!$B:$B,MATCH($A971,Mots!$A:$A,0)),"introuvable")</f>
        <v/>
      </c>
      <c r="C971" s="30" t="inlineStr">
        <is>
          <t>aliment</t>
        </is>
      </c>
      <c r="I971" s="30" t="inlineStr">
        <is>
          <t>cuisine</t>
        </is>
      </c>
    </row>
    <row r="972">
      <c r="A972" s="30" t="inlineStr">
        <is>
          <t>territoire</t>
        </is>
      </c>
      <c r="B972" s="26">
        <f>IFERROR(INDEX(Mots!$B:$B,MATCH($A972,Mots!$A:$A,0)),"introuvable")</f>
        <v/>
      </c>
      <c r="I972" s="30" t="inlineStr">
        <is>
          <t>dehors</t>
        </is>
      </c>
    </row>
    <row r="973">
      <c r="A973" s="30" t="inlineStr">
        <is>
          <t>texte</t>
        </is>
      </c>
      <c r="B973" s="26">
        <f>IFERROR(INDEX(Mots!$B:$B,MATCH($A973,Mots!$A:$A,0)),"introuvable")</f>
        <v/>
      </c>
      <c r="N973" s="30" t="inlineStr">
        <is>
          <t>communiquer</t>
        </is>
      </c>
    </row>
    <row r="974">
      <c r="A974" s="30" t="inlineStr">
        <is>
          <t>thermometre</t>
        </is>
      </c>
      <c r="B974" s="26">
        <f>IFERROR(INDEX(Mots!$B:$B,MATCH($A974,Mots!$A:$A,0)),"introuvable")</f>
        <v/>
      </c>
      <c r="C974" s="30" t="inlineStr">
        <is>
          <t>objet</t>
        </is>
      </c>
      <c r="G974" s="30" t="inlineStr">
        <is>
          <t>temperature</t>
        </is>
      </c>
    </row>
    <row r="975">
      <c r="A975" s="30" t="inlineStr">
        <is>
          <t>tiroir</t>
        </is>
      </c>
      <c r="B975" s="26">
        <f>IFERROR(INDEX(Mots!$B:$B,MATCH($A975,Mots!$A:$A,0)),"introuvable")</f>
        <v/>
      </c>
      <c r="C975" s="30" t="inlineStr">
        <is>
          <t>meuble</t>
        </is>
      </c>
      <c r="I975" s="30" t="inlineStr">
        <is>
          <t>maison</t>
        </is>
      </c>
    </row>
    <row r="976">
      <c r="A976" s="30" t="inlineStr">
        <is>
          <t>tissu</t>
        </is>
      </c>
      <c r="B976" s="26">
        <f>IFERROR(INDEX(Mots!$B:$B,MATCH($A976,Mots!$A:$A,0)),"introuvable")</f>
        <v/>
      </c>
      <c r="C976" s="30" t="inlineStr">
        <is>
          <t>vetement</t>
        </is>
      </c>
      <c r="N976" s="30" t="inlineStr">
        <is>
          <t>s_habiller</t>
        </is>
      </c>
    </row>
    <row r="977">
      <c r="A977" s="30" t="inlineStr">
        <is>
          <t>tonneaux</t>
        </is>
      </c>
      <c r="B977" s="26">
        <f>IFERROR(INDEX(Mots!$B:$B,MATCH($A977,Mots!$A:$A,0)),"introuvable")</f>
        <v/>
      </c>
      <c r="C977" s="30" t="inlineStr">
        <is>
          <t>matiere</t>
        </is>
      </c>
    </row>
    <row r="978">
      <c r="A978" s="30" t="inlineStr">
        <is>
          <t>tournevis</t>
        </is>
      </c>
      <c r="B978" s="26">
        <f>IFERROR(INDEX(Mots!$B:$B,MATCH($A978,Mots!$A:$A,0)),"introuvable")</f>
        <v/>
      </c>
      <c r="C978" s="30" t="inlineStr">
        <is>
          <t>outil</t>
        </is>
      </c>
      <c r="N978" s="30" t="inlineStr">
        <is>
          <t>bricoler</t>
        </is>
      </c>
    </row>
    <row r="979">
      <c r="A979" s="30" t="inlineStr">
        <is>
          <t>travail</t>
        </is>
      </c>
      <c r="B979" s="26">
        <f>IFERROR(INDEX(Mots!$B:$B,MATCH($A979,Mots!$A:$A,0)),"introuvable")</f>
        <v/>
      </c>
      <c r="I979" s="30" t="inlineStr">
        <is>
          <t>travail</t>
        </is>
      </c>
    </row>
    <row r="980">
      <c r="A980" s="30" t="inlineStr">
        <is>
          <t>tronc</t>
        </is>
      </c>
      <c r="B980" s="26">
        <f>IFERROR(INDEX(Mots!$B:$B,MATCH($A980,Mots!$A:$A,0)),"introuvable")</f>
        <v/>
      </c>
      <c r="C980" s="30" t="inlineStr">
        <is>
          <t>plante</t>
        </is>
      </c>
      <c r="E980" s="30" t="inlineStr">
        <is>
          <t>plante</t>
        </is>
      </c>
      <c r="I980" s="30" t="inlineStr">
        <is>
          <t>maison</t>
        </is>
      </c>
      <c r="J980" s="30" t="inlineStr">
        <is>
          <t>dehors</t>
        </is>
      </c>
    </row>
    <row r="981">
      <c r="A981" s="30" t="inlineStr">
        <is>
          <t>trottoir</t>
        </is>
      </c>
      <c r="B981" s="26">
        <f>IFERROR(INDEX(Mots!$B:$B,MATCH($A981,Mots!$A:$A,0)),"introuvable")</f>
        <v/>
      </c>
      <c r="I981" s="30" t="inlineStr">
        <is>
          <t>ville</t>
        </is>
      </c>
      <c r="N981" s="30" t="inlineStr">
        <is>
          <t>se_promener</t>
        </is>
      </c>
    </row>
    <row r="982">
      <c r="A982" s="30" t="inlineStr">
        <is>
          <t>tube</t>
        </is>
      </c>
      <c r="B982" s="26">
        <f>IFERROR(INDEX(Mots!$B:$B,MATCH($A982,Mots!$A:$A,0)),"introuvable")</f>
        <v/>
      </c>
      <c r="C982" s="30" t="inlineStr">
        <is>
          <t>objet</t>
        </is>
      </c>
      <c r="I982" s="30" t="inlineStr">
        <is>
          <t>salle_de_bain</t>
        </is>
      </c>
    </row>
    <row r="983">
      <c r="A983" s="30" t="inlineStr">
        <is>
          <t>vaccin</t>
        </is>
      </c>
      <c r="B983" s="26">
        <f>IFERROR(INDEX(Mots!$B:$B,MATCH($A983,Mots!$A:$A,0)),"introuvable")</f>
        <v/>
      </c>
      <c r="I983" s="30" t="inlineStr">
        <is>
          <t>sante</t>
        </is>
      </c>
    </row>
    <row r="984">
      <c r="A984" s="30" t="inlineStr">
        <is>
          <t>velours</t>
        </is>
      </c>
      <c r="B984" s="26">
        <f>IFERROR(INDEX(Mots!$B:$B,MATCH($A984,Mots!$A:$A,0)),"introuvable")</f>
        <v/>
      </c>
      <c r="C984" s="30" t="inlineStr">
        <is>
          <t>matiere</t>
        </is>
      </c>
      <c r="I984" s="30" t="inlineStr">
        <is>
          <t>voiture</t>
        </is>
      </c>
      <c r="N984" s="30" t="inlineStr">
        <is>
          <t>s_habiller</t>
        </is>
      </c>
    </row>
    <row r="985">
      <c r="A985" s="30" t="inlineStr">
        <is>
          <t>vent</t>
        </is>
      </c>
      <c r="B985" s="26">
        <f>IFERROR(INDEX(Mots!$B:$B,MATCH($A985,Mots!$A:$A,0)),"introuvable")</f>
        <v/>
      </c>
      <c r="I985" s="30" t="inlineStr">
        <is>
          <t>dehors</t>
        </is>
      </c>
    </row>
    <row r="986">
      <c r="A986" s="30" t="inlineStr">
        <is>
          <t>verbe</t>
        </is>
      </c>
      <c r="B986" s="26">
        <f>IFERROR(INDEX(Mots!$B:$B,MATCH($A986,Mots!$A:$A,0)),"introuvable")</f>
        <v/>
      </c>
      <c r="N986" s="30" t="inlineStr">
        <is>
          <t>communiquer</t>
        </is>
      </c>
    </row>
    <row r="987">
      <c r="A987" s="30" t="inlineStr">
        <is>
          <t>vetement</t>
        </is>
      </c>
      <c r="B987" s="26">
        <f>IFERROR(INDEX(Mots!$B:$B,MATCH($A987,Mots!$A:$A,0)),"introuvable")</f>
        <v/>
      </c>
      <c r="C987" s="30" t="inlineStr">
        <is>
          <t>vetement</t>
        </is>
      </c>
      <c r="I987" s="30" t="inlineStr">
        <is>
          <t>maison</t>
        </is>
      </c>
      <c r="N987" s="30" t="inlineStr">
        <is>
          <t>manger_boire</t>
        </is>
      </c>
      <c r="O987" s="30" t="inlineStr">
        <is>
          <t>s_habiller</t>
        </is>
      </c>
      <c r="P987" s="30" t="inlineStr">
        <is>
          <t>aider</t>
        </is>
      </c>
    </row>
    <row r="988">
      <c r="A988" s="30" t="inlineStr">
        <is>
          <t>village</t>
        </is>
      </c>
      <c r="B988" s="26">
        <f>IFERROR(INDEX(Mots!$B:$B,MATCH($A988,Mots!$A:$A,0)),"introuvable")</f>
        <v/>
      </c>
      <c r="I988" s="30" t="inlineStr">
        <is>
          <t>maison</t>
        </is>
      </c>
      <c r="J988" s="30" t="inlineStr">
        <is>
          <t>dehors</t>
        </is>
      </c>
      <c r="K988" s="30" t="inlineStr">
        <is>
          <t>ville</t>
        </is>
      </c>
    </row>
    <row r="989">
      <c r="A989" s="30" t="inlineStr">
        <is>
          <t>visage</t>
        </is>
      </c>
      <c r="B989" s="26">
        <f>IFERROR(INDEX(Mots!$B:$B,MATCH($A989,Mots!$A:$A,0)),"introuvable")</f>
        <v/>
      </c>
      <c r="Z989" s="30" t="inlineStr">
        <is>
          <t>agreable</t>
        </is>
      </c>
      <c r="AA989" s="30" t="inlineStr">
        <is>
          <t>desagreable</t>
        </is>
      </c>
    </row>
    <row r="990">
      <c r="A990" s="30" t="inlineStr">
        <is>
          <t>voisin</t>
        </is>
      </c>
      <c r="B990" s="26">
        <f>IFERROR(INDEX(Mots!$B:$B,MATCH($A990,Mots!$A:$A,0)),"introuvable")</f>
        <v/>
      </c>
      <c r="W990" s="30" t="inlineStr">
        <is>
          <t>connaissance</t>
        </is>
      </c>
    </row>
    <row r="991">
      <c r="A991" s="30" t="inlineStr">
        <is>
          <t>vol</t>
        </is>
      </c>
      <c r="B991" s="26">
        <f>IFERROR(INDEX(Mots!$B:$B,MATCH($A991,Mots!$A:$A,0)),"introuvable")</f>
        <v/>
      </c>
      <c r="N991" s="30" t="inlineStr">
        <is>
          <t>donner_recevoir</t>
        </is>
      </c>
    </row>
    <row r="992">
      <c r="A992" s="30" t="inlineStr">
        <is>
          <t>volume</t>
        </is>
      </c>
      <c r="B992" s="26">
        <f>IFERROR(INDEX(Mots!$B:$B,MATCH($A992,Mots!$A:$A,0)),"introuvable")</f>
        <v/>
      </c>
      <c r="I992" s="30" t="inlineStr">
        <is>
          <t>dehors</t>
        </is>
      </c>
    </row>
    <row r="993">
      <c r="A993" s="30" t="inlineStr">
        <is>
          <t>echelle</t>
        </is>
      </c>
      <c r="B993" s="26">
        <f>IFERROR(INDEX(Mots!$B:$B,MATCH($A993,Mots!$A:$A,0)),"introuvable")</f>
        <v/>
      </c>
      <c r="C993" s="30" t="inlineStr">
        <is>
          <t>objet</t>
        </is>
      </c>
    </row>
    <row r="994">
      <c r="A994" s="30" t="inlineStr">
        <is>
          <t>eclair</t>
        </is>
      </c>
      <c r="B994" s="26">
        <f>IFERROR(INDEX(Mots!$B:$B,MATCH($A994,Mots!$A:$A,0)),"introuvable")</f>
        <v/>
      </c>
      <c r="I994" s="30" t="inlineStr">
        <is>
          <t>dehors</t>
        </is>
      </c>
    </row>
    <row r="995">
      <c r="A995" s="30" t="inlineStr">
        <is>
          <t>ecole</t>
        </is>
      </c>
      <c r="B995" s="26">
        <f>IFERROR(INDEX(Mots!$B:$B,MATCH($A995,Mots!$A:$A,0)),"introuvable")</f>
        <v/>
      </c>
      <c r="I995" s="30" t="inlineStr">
        <is>
          <t>ville</t>
        </is>
      </c>
    </row>
    <row r="996">
      <c r="A996" s="30" t="inlineStr">
        <is>
          <t>economie</t>
        </is>
      </c>
      <c r="B996" s="26">
        <f>IFERROR(INDEX(Mots!$B:$B,MATCH($A996,Mots!$A:$A,0)),"introuvable")</f>
        <v/>
      </c>
      <c r="I996" s="30" t="inlineStr">
        <is>
          <t>travail</t>
        </is>
      </c>
    </row>
    <row r="997">
      <c r="A997" s="30" t="inlineStr">
        <is>
          <t>ecorce</t>
        </is>
      </c>
      <c r="B997" s="26">
        <f>IFERROR(INDEX(Mots!$B:$B,MATCH($A997,Mots!$A:$A,0)),"introuvable")</f>
        <v/>
      </c>
      <c r="C997" s="30" t="inlineStr">
        <is>
          <t>plante</t>
        </is>
      </c>
      <c r="E997" s="30" t="inlineStr">
        <is>
          <t>plante</t>
        </is>
      </c>
      <c r="I997" s="30" t="inlineStr">
        <is>
          <t>dehors</t>
        </is>
      </c>
    </row>
    <row r="998">
      <c r="A998" s="30" t="inlineStr">
        <is>
          <t>eleve</t>
        </is>
      </c>
      <c r="B998" s="26">
        <f>IFERROR(INDEX(Mots!$B:$B,MATCH($A998,Mots!$A:$A,0)),"introuvable")</f>
        <v/>
      </c>
      <c r="I998" s="30" t="inlineStr">
        <is>
          <t>ville</t>
        </is>
      </c>
      <c r="N998" s="30" t="inlineStr">
        <is>
          <t>penser</t>
        </is>
      </c>
      <c r="O998" s="30" t="inlineStr">
        <is>
          <t>donner_recevoir</t>
        </is>
      </c>
    </row>
    <row r="999">
      <c r="A999" s="30" t="inlineStr">
        <is>
          <t>engin</t>
        </is>
      </c>
      <c r="B999" s="26">
        <f>IFERROR(INDEX(Mots!$B:$B,MATCH($A999,Mots!$A:$A,0)),"introuvable")</f>
        <v/>
      </c>
      <c r="C999" s="30" t="inlineStr">
        <is>
          <t>outil</t>
        </is>
      </c>
      <c r="I999" s="30" t="inlineStr">
        <is>
          <t>travail</t>
        </is>
      </c>
    </row>
    <row r="1000">
      <c r="A1000" s="30" t="inlineStr">
        <is>
          <t>ennui</t>
        </is>
      </c>
      <c r="B1000" s="26">
        <f>IFERROR(INDEX(Mots!$B:$B,MATCH($A1000,Mots!$A:$A,0)),"introuvable")</f>
        <v/>
      </c>
      <c r="Z1000" s="30" t="inlineStr">
        <is>
          <t>desagreable</t>
        </is>
      </c>
    </row>
    <row r="1001">
      <c r="A1001" s="30" t="inlineStr">
        <is>
          <t>entraide</t>
        </is>
      </c>
      <c r="B1001" s="26">
        <f>IFERROR(INDEX(Mots!$B:$B,MATCH($A1001,Mots!$A:$A,0)),"introuvable")</f>
        <v/>
      </c>
      <c r="N1001" s="30" t="inlineStr">
        <is>
          <t>aider</t>
        </is>
      </c>
    </row>
    <row r="1002">
      <c r="A1002" s="30" t="inlineStr">
        <is>
          <t>entretien</t>
        </is>
      </c>
      <c r="B1002" s="26">
        <f>IFERROR(INDEX(Mots!$B:$B,MATCH($A1002,Mots!$A:$A,0)),"introuvable")</f>
        <v/>
      </c>
      <c r="N1002" s="30" t="inlineStr">
        <is>
          <t>donner_recevoir</t>
        </is>
      </c>
    </row>
    <row r="1003">
      <c r="A1003" s="30" t="inlineStr">
        <is>
          <t>enveloppe</t>
        </is>
      </c>
      <c r="B1003" s="26">
        <f>IFERROR(INDEX(Mots!$B:$B,MATCH($A1003,Mots!$A:$A,0)),"introuvable")</f>
        <v/>
      </c>
      <c r="I1003" s="30" t="inlineStr">
        <is>
          <t>voiture</t>
        </is>
      </c>
    </row>
    <row r="1004">
      <c r="A1004" s="30" t="inlineStr">
        <is>
          <t>environnement</t>
        </is>
      </c>
      <c r="B1004" s="26">
        <f>IFERROR(INDEX(Mots!$B:$B,MATCH($A1004,Mots!$A:$A,0)),"introuvable")</f>
        <v/>
      </c>
      <c r="I1004" s="30" t="inlineStr">
        <is>
          <t>dehors</t>
        </is>
      </c>
    </row>
    <row r="1005">
      <c r="A1005" s="30" t="inlineStr">
        <is>
          <t>epice</t>
        </is>
      </c>
      <c r="B1005" s="26">
        <f>IFERROR(INDEX(Mots!$B:$B,MATCH($A1005,Mots!$A:$A,0)),"introuvable")</f>
        <v/>
      </c>
      <c r="N1005" s="30" t="inlineStr">
        <is>
          <t>manger_boire</t>
        </is>
      </c>
    </row>
    <row r="1006">
      <c r="A1006" s="30" t="inlineStr">
        <is>
          <t>ciseaux</t>
        </is>
      </c>
      <c r="B1006" s="26">
        <f>IFERROR(INDEX(Mots!$B:$B,MATCH($A1006,Mots!$A:$A,0)),"introuvable")</f>
        <v/>
      </c>
      <c r="C1006" s="30" t="inlineStr">
        <is>
          <t>outil</t>
        </is>
      </c>
      <c r="I1006" s="30" t="inlineStr">
        <is>
          <t>cuisine</t>
        </is>
      </c>
      <c r="N1006" s="30" t="inlineStr">
        <is>
          <t>cuisiner</t>
        </is>
      </c>
    </row>
    <row r="1007">
      <c r="A1007" s="30" t="inlineStr">
        <is>
          <t>o_jumelles</t>
        </is>
      </c>
      <c r="B1007" s="26">
        <f>IFERROR(INDEX(Mots!$B:$B,MATCH($A1007,Mots!$A:$A,0)),"introuvable")</f>
        <v/>
      </c>
      <c r="C1007" s="30" t="inlineStr">
        <is>
          <t>objet</t>
        </is>
      </c>
      <c r="I1007" s="30" t="inlineStr">
        <is>
          <t>cuisine</t>
        </is>
      </c>
    </row>
    <row r="1008">
      <c r="A1008" s="30" t="inlineStr">
        <is>
          <t>lunettes</t>
        </is>
      </c>
      <c r="B1008" s="26">
        <f>IFERROR(INDEX(Mots!$B:$B,MATCH($A1008,Mots!$A:$A,0)),"introuvable")</f>
        <v/>
      </c>
      <c r="I1008" s="30" t="inlineStr">
        <is>
          <t>cuisine</t>
        </is>
      </c>
      <c r="J1008" s="30" t="inlineStr">
        <is>
          <t>maison</t>
        </is>
      </c>
    </row>
    <row r="1009">
      <c r="A1009" s="30" t="inlineStr">
        <is>
          <t>vacances</t>
        </is>
      </c>
      <c r="B1009" s="26">
        <f>IFERROR(INDEX(Mots!$B:$B,MATCH($A1009,Mots!$A:$A,0)),"introuvable")</f>
        <v/>
      </c>
      <c r="C1009" s="30" t="inlineStr">
        <is>
          <t>partie_corps</t>
        </is>
      </c>
      <c r="I1009" s="30" t="inlineStr">
        <is>
          <t>ville</t>
        </is>
      </c>
      <c r="J1009" s="30" t="inlineStr">
        <is>
          <t>travail</t>
        </is>
      </c>
      <c r="N1009" s="30" t="inlineStr">
        <is>
          <t>se_reposer</t>
        </is>
      </c>
    </row>
    <row r="1010">
      <c r="A1010" s="30" t="inlineStr">
        <is>
          <t>etagere</t>
        </is>
      </c>
      <c r="B1010" s="26">
        <f>IFERROR(INDEX(Mots!$B:$B,MATCH($A1010,Mots!$A:$A,0)),"introuvable")</f>
        <v/>
      </c>
      <c r="C1010" s="30" t="inlineStr">
        <is>
          <t>objet</t>
        </is>
      </c>
      <c r="I1010" s="30" t="inlineStr">
        <is>
          <t>maison</t>
        </is>
      </c>
    </row>
    <row r="1011">
      <c r="A1011" s="30" t="inlineStr">
        <is>
          <t>etoile</t>
        </is>
      </c>
      <c r="B1011" s="26">
        <f>IFERROR(INDEX(Mots!$B:$B,MATCH($A1011,Mots!$A:$A,0)),"introuvable")</f>
        <v/>
      </c>
      <c r="I1011" s="30" t="inlineStr">
        <is>
          <t>dehors</t>
        </is>
      </c>
    </row>
    <row r="1012">
      <c r="A1012" s="30" t="inlineStr">
        <is>
          <t>v_lever</t>
        </is>
      </c>
      <c r="B1012" s="26">
        <f>IFERROR(INDEX(Mots!$B:$B,MATCH($A1012,Mots!$A:$A,0)),"introuvable")</f>
        <v/>
      </c>
      <c r="I1012" s="30" t="inlineStr">
        <is>
          <t>dehors</t>
        </is>
      </c>
      <c r="N1012" s="30" t="inlineStr">
        <is>
          <t>donner_recevoir</t>
        </is>
      </c>
    </row>
    <row r="1013">
      <c r="A1013" s="30" t="inlineStr">
        <is>
          <t>exemple</t>
        </is>
      </c>
      <c r="B1013" s="26">
        <f>IFERROR(INDEX(Mots!$B:$B,MATCH($A1013,Mots!$A:$A,0)),"introuvable")</f>
        <v/>
      </c>
      <c r="N1013" s="30" t="inlineStr">
        <is>
          <t>penser</t>
        </is>
      </c>
      <c r="O1013" s="30" t="inlineStr">
        <is>
          <t>donner_recevoir</t>
        </is>
      </c>
      <c r="P1013" s="30" t="inlineStr">
        <is>
          <t>aider</t>
        </is>
      </c>
    </row>
    <row r="1014">
      <c r="A1014" s="30" t="inlineStr">
        <is>
          <t>histoire</t>
        </is>
      </c>
      <c r="B1014" s="26">
        <f>IFERROR(INDEX(Mots!$B:$B,MATCH($A1014,Mots!$A:$A,0)),"introuvable")</f>
        <v/>
      </c>
      <c r="I1014" s="30" t="inlineStr">
        <is>
          <t>dehors</t>
        </is>
      </c>
    </row>
    <row r="1015">
      <c r="A1015" s="30" t="inlineStr">
        <is>
          <t>horizon</t>
        </is>
      </c>
      <c r="B1015" s="26">
        <f>IFERROR(INDEX(Mots!$B:$B,MATCH($A1015,Mots!$A:$A,0)),"introuvable")</f>
        <v/>
      </c>
      <c r="I1015" s="30" t="inlineStr">
        <is>
          <t>dehors</t>
        </is>
      </c>
    </row>
    <row r="1016">
      <c r="A1016" s="30" t="inlineStr">
        <is>
          <t>idee</t>
        </is>
      </c>
      <c r="B1016" s="26">
        <f>IFERROR(INDEX(Mots!$B:$B,MATCH($A1016,Mots!$A:$A,0)),"introuvable")</f>
        <v/>
      </c>
      <c r="N1016" s="30" t="inlineStr">
        <is>
          <t>penser</t>
        </is>
      </c>
    </row>
    <row r="1017">
      <c r="A1017" s="30" t="inlineStr">
        <is>
          <t>ile</t>
        </is>
      </c>
      <c r="B1017" s="26">
        <f>IFERROR(INDEX(Mots!$B:$B,MATCH($A1017,Mots!$A:$A,0)),"introuvable")</f>
        <v/>
      </c>
      <c r="I1017" s="30" t="inlineStr">
        <is>
          <t>dehors</t>
        </is>
      </c>
    </row>
    <row r="1018">
      <c r="A1018" s="30" t="inlineStr">
        <is>
          <t>immeuble</t>
        </is>
      </c>
      <c r="B1018" s="26">
        <f>IFERROR(INDEX(Mots!$B:$B,MATCH($A1018,Mots!$A:$A,0)),"introuvable")</f>
        <v/>
      </c>
      <c r="I1018" s="30" t="inlineStr">
        <is>
          <t>maison</t>
        </is>
      </c>
      <c r="J1018" s="30" t="inlineStr">
        <is>
          <t>ville</t>
        </is>
      </c>
    </row>
    <row r="1019">
      <c r="A1019" s="30" t="inlineStr">
        <is>
          <t>information</t>
        </is>
      </c>
      <c r="B1019" s="26">
        <f>IFERROR(INDEX(Mots!$B:$B,MATCH($A1019,Mots!$A:$A,0)),"introuvable")</f>
        <v/>
      </c>
      <c r="N1019" s="30" t="inlineStr">
        <is>
          <t>penser</t>
        </is>
      </c>
    </row>
    <row r="1020">
      <c r="A1020" s="30" t="inlineStr">
        <is>
          <t>inquietude</t>
        </is>
      </c>
      <c r="B1020" s="26">
        <f>IFERROR(INDEX(Mots!$B:$B,MATCH($A1020,Mots!$A:$A,0)),"introuvable")</f>
        <v/>
      </c>
      <c r="Z1020" s="30" t="inlineStr">
        <is>
          <t>desagreable</t>
        </is>
      </c>
    </row>
    <row r="1021">
      <c r="A1021" s="30" t="inlineStr">
        <is>
          <t>instant</t>
        </is>
      </c>
      <c r="B1021" s="26">
        <f>IFERROR(INDEX(Mots!$B:$B,MATCH($A1021,Mots!$A:$A,0)),"introuvable")</f>
        <v/>
      </c>
      <c r="G1021" s="30" t="inlineStr">
        <is>
          <t>temps</t>
        </is>
      </c>
    </row>
    <row r="1022">
      <c r="A1022" s="30" t="inlineStr">
        <is>
          <t>invitation</t>
        </is>
      </c>
      <c r="B1022" s="26">
        <f>IFERROR(INDEX(Mots!$B:$B,MATCH($A1022,Mots!$A:$A,0)),"introuvable")</f>
        <v/>
      </c>
      <c r="N1022" s="30" t="inlineStr">
        <is>
          <t>communiquer</t>
        </is>
      </c>
    </row>
    <row r="1023">
      <c r="A1023" s="30" t="inlineStr">
        <is>
          <t>invite</t>
        </is>
      </c>
      <c r="B1023" s="26">
        <f>IFERROR(INDEX(Mots!$B:$B,MATCH($A1023,Mots!$A:$A,0)),"introuvable")</f>
        <v/>
      </c>
      <c r="I1023" s="30" t="inlineStr">
        <is>
          <t>cuisine</t>
        </is>
      </c>
      <c r="N1023" s="30" t="inlineStr">
        <is>
          <t>manger_boire</t>
        </is>
      </c>
    </row>
    <row r="1024">
      <c r="A1024" s="30" t="inlineStr">
        <is>
          <t>v_lire</t>
        </is>
      </c>
      <c r="B1024" s="26">
        <f>IFERROR(INDEX(Mots!$B:$B,MATCH($A1024,Mots!$A:$A,0)),"introuvable")</f>
        <v/>
      </c>
      <c r="N1024" s="30" t="inlineStr">
        <is>
          <t>communiquer</t>
        </is>
      </c>
      <c r="O1024" s="30" t="inlineStr">
        <is>
          <t>penser</t>
        </is>
      </c>
      <c r="P1024" s="30" t="inlineStr">
        <is>
          <t>donner_recevoir</t>
        </is>
      </c>
    </row>
    <row r="1025">
      <c r="A1025" s="30" t="inlineStr">
        <is>
          <t>objet</t>
        </is>
      </c>
      <c r="B1025" s="26">
        <f>IFERROR(INDEX(Mots!$B:$B,MATCH($A1025,Mots!$A:$A,0)),"introuvable")</f>
        <v/>
      </c>
      <c r="C1025" s="30" t="inlineStr">
        <is>
          <t>objet</t>
        </is>
      </c>
      <c r="N1025" s="30" t="inlineStr">
        <is>
          <t>communiquer</t>
        </is>
      </c>
      <c r="O1025" s="30" t="inlineStr">
        <is>
          <t>donner_recevoir</t>
        </is>
      </c>
    </row>
    <row r="1026">
      <c r="A1026" s="30" t="inlineStr">
        <is>
          <t>oeuvre</t>
        </is>
      </c>
      <c r="B1026" s="26">
        <f>IFERROR(INDEX(Mots!$B:$B,MATCH($A1026,Mots!$A:$A,0)),"introuvable")</f>
        <v/>
      </c>
      <c r="I1026" s="30" t="inlineStr">
        <is>
          <t>cuisine</t>
        </is>
      </c>
    </row>
    <row r="1027">
      <c r="A1027" s="30" t="inlineStr">
        <is>
          <t>loin</t>
        </is>
      </c>
      <c r="B1027" s="26">
        <f>IFERROR(INDEX(Mots!$B:$B,MATCH($A1027,Mots!$A:$A,0)),"introuvable")</f>
        <v/>
      </c>
      <c r="G1027" s="30" t="inlineStr">
        <is>
          <t>distance</t>
        </is>
      </c>
    </row>
    <row r="1028">
      <c r="A1028" s="30" t="inlineStr">
        <is>
          <t>oiseau</t>
        </is>
      </c>
      <c r="B1028" s="26">
        <f>IFERROR(INDEX(Mots!$B:$B,MATCH($A1028,Mots!$A:$A,0)),"introuvable")</f>
        <v/>
      </c>
      <c r="C1028" s="30" t="inlineStr">
        <is>
          <t>animal</t>
        </is>
      </c>
      <c r="I1028" s="30" t="inlineStr">
        <is>
          <t>dehors</t>
        </is>
      </c>
    </row>
    <row r="1029">
      <c r="A1029" s="30" t="inlineStr">
        <is>
          <t>ombre</t>
        </is>
      </c>
      <c r="B1029" s="26">
        <f>IFERROR(INDEX(Mots!$B:$B,MATCH($A1029,Mots!$A:$A,0)),"introuvable")</f>
        <v/>
      </c>
      <c r="I1029" s="30" t="inlineStr">
        <is>
          <t>dehors</t>
        </is>
      </c>
    </row>
    <row r="1030">
      <c r="A1030" s="30" t="inlineStr">
        <is>
          <t>longtemps</t>
        </is>
      </c>
      <c r="B1030" s="26">
        <f>IFERROR(INDEX(Mots!$B:$B,MATCH($A1030,Mots!$A:$A,0)),"introuvable")</f>
        <v/>
      </c>
      <c r="G1030" s="30" t="inlineStr">
        <is>
          <t>temps</t>
        </is>
      </c>
    </row>
    <row r="1031">
      <c r="A1031" s="30" t="inlineStr">
        <is>
          <t>ordonnance</t>
        </is>
      </c>
      <c r="B1031" s="26">
        <f>IFERROR(INDEX(Mots!$B:$B,MATCH($A1031,Mots!$A:$A,0)),"introuvable")</f>
        <v/>
      </c>
      <c r="I1031" s="30" t="inlineStr">
        <is>
          <t>sante</t>
        </is>
      </c>
      <c r="N1031" s="30" t="inlineStr">
        <is>
          <t>se_soigner</t>
        </is>
      </c>
      <c r="O1031" s="30" t="inlineStr">
        <is>
          <t>donner_recevoir</t>
        </is>
      </c>
    </row>
    <row r="1032">
      <c r="A1032" s="30" t="inlineStr">
        <is>
          <t>outil</t>
        </is>
      </c>
      <c r="B1032" s="26">
        <f>IFERROR(INDEX(Mots!$B:$B,MATCH($A1032,Mots!$A:$A,0)),"introuvable")</f>
        <v/>
      </c>
      <c r="C1032" s="30" t="inlineStr">
        <is>
          <t>outil</t>
        </is>
      </c>
      <c r="I1032" s="30" t="inlineStr">
        <is>
          <t>maison</t>
        </is>
      </c>
    </row>
    <row r="1033">
      <c r="A1033" s="30" t="inlineStr">
        <is>
          <t>usine</t>
        </is>
      </c>
      <c r="B1033" s="26">
        <f>IFERROR(INDEX(Mots!$B:$B,MATCH($A1033,Mots!$A:$A,0)),"introuvable")</f>
        <v/>
      </c>
      <c r="I1033" s="30" t="inlineStr">
        <is>
          <t>ville</t>
        </is>
      </c>
    </row>
    <row r="1034">
      <c r="A1034" s="30" t="inlineStr">
        <is>
          <t>mal</t>
        </is>
      </c>
      <c r="B1034" s="26">
        <f>IFERROR(INDEX(Mots!$B:$B,MATCH($A1034,Mots!$A:$A,0)),"introuvable")</f>
        <v/>
      </c>
      <c r="G1034" s="30" t="inlineStr">
        <is>
          <t>liaison</t>
        </is>
      </c>
    </row>
    <row r="1035">
      <c r="A1035" s="30" t="inlineStr">
        <is>
          <t>a_malin</t>
        </is>
      </c>
      <c r="B1035" s="26">
        <f>IFERROR(INDEX(Mots!$B:$B,MATCH($A1035,Mots!$A:$A,0)),"introuvable")</f>
        <v/>
      </c>
      <c r="S1035" s="30" t="inlineStr">
        <is>
          <t>etat</t>
        </is>
      </c>
    </row>
    <row r="1036">
      <c r="A1036" s="30" t="inlineStr">
        <is>
          <t>v_manger</t>
        </is>
      </c>
      <c r="B1036" s="26">
        <f>IFERROR(INDEX(Mots!$B:$B,MATCH($A1036,Mots!$A:$A,0)),"introuvable")</f>
        <v/>
      </c>
      <c r="I1036" s="30" t="inlineStr">
        <is>
          <t>cuisine</t>
        </is>
      </c>
      <c r="N1036" s="30" t="inlineStr">
        <is>
          <t>manger_boire</t>
        </is>
      </c>
    </row>
    <row r="1037">
      <c r="A1037" s="30" t="inlineStr">
        <is>
          <t>v_marcher</t>
        </is>
      </c>
      <c r="B1037" s="26">
        <f>IFERROR(INDEX(Mots!$B:$B,MATCH($A1037,Mots!$A:$A,0)),"introuvable")</f>
        <v/>
      </c>
      <c r="I1037" s="30" t="inlineStr">
        <is>
          <t>ville</t>
        </is>
      </c>
      <c r="N1037" s="30" t="inlineStr">
        <is>
          <t>se_deplacer</t>
        </is>
      </c>
      <c r="O1037" s="30" t="inlineStr">
        <is>
          <t>se_promener</t>
        </is>
      </c>
    </row>
    <row r="1038">
      <c r="A1038" s="30" t="inlineStr">
        <is>
          <t>v_mentir</t>
        </is>
      </c>
      <c r="B1038" s="26">
        <f>IFERROR(INDEX(Mots!$B:$B,MATCH($A1038,Mots!$A:$A,0)),"introuvable")</f>
        <v/>
      </c>
      <c r="N1038" s="30" t="inlineStr">
        <is>
          <t>communiquer</t>
        </is>
      </c>
    </row>
    <row r="1039">
      <c r="A1039" s="30" t="inlineStr">
        <is>
          <t>merveilleux</t>
        </is>
      </c>
      <c r="B1039" s="26">
        <f>IFERROR(INDEX(Mots!$B:$B,MATCH($A1039,Mots!$A:$A,0)),"introuvable")</f>
        <v/>
      </c>
      <c r="S1039" s="30" t="inlineStr">
        <is>
          <t>apparence</t>
        </is>
      </c>
    </row>
    <row r="1040">
      <c r="A1040" s="30" t="inlineStr">
        <is>
          <t>v_nager</t>
        </is>
      </c>
      <c r="B1040" s="26">
        <f>IFERROR(INDEX(Mots!$B:$B,MATCH($A1040,Mots!$A:$A,0)),"introuvable")</f>
        <v/>
      </c>
      <c r="I1040" s="30" t="inlineStr">
        <is>
          <t>dehors</t>
        </is>
      </c>
      <c r="N1040" s="30" t="inlineStr">
        <is>
          <t>se_deplacer</t>
        </is>
      </c>
    </row>
    <row r="1041">
      <c r="A1041" s="30" t="inlineStr">
        <is>
          <t>v_nettoyer</t>
        </is>
      </c>
      <c r="B1041" s="26">
        <f>IFERROR(INDEX(Mots!$B:$B,MATCH($A1041,Mots!$A:$A,0)),"introuvable")</f>
        <v/>
      </c>
      <c r="N1041" s="30" t="inlineStr">
        <is>
          <t>nettoyer</t>
        </is>
      </c>
      <c r="O1041" s="30" t="inlineStr">
        <is>
          <t>donner_recevoir</t>
        </is>
      </c>
    </row>
    <row r="1042">
      <c r="A1042" s="30" t="inlineStr">
        <is>
          <t>a_nombreux</t>
        </is>
      </c>
      <c r="B1042" s="26">
        <f>IFERROR(INDEX(Mots!$B:$B,MATCH($A1042,Mots!$A:$A,0)),"introuvable")</f>
        <v/>
      </c>
      <c r="S1042" s="30" t="inlineStr">
        <is>
          <t>taille</t>
        </is>
      </c>
    </row>
    <row r="1043">
      <c r="A1043" s="30" t="inlineStr">
        <is>
          <t>v_ordonner</t>
        </is>
      </c>
      <c r="B1043" s="26">
        <f>IFERROR(INDEX(Mots!$B:$B,MATCH($A1043,Mots!$A:$A,0)),"introuvable")</f>
        <v/>
      </c>
      <c r="N1043" s="30" t="inlineStr">
        <is>
          <t>communiquer</t>
        </is>
      </c>
      <c r="O1043" s="30" t="inlineStr">
        <is>
          <t>donner_recevoir</t>
        </is>
      </c>
    </row>
    <row r="1044">
      <c r="A1044" s="30" t="inlineStr">
        <is>
          <t>v_oublier</t>
        </is>
      </c>
      <c r="B1044" s="26">
        <f>IFERROR(INDEX(Mots!$B:$B,MATCH($A1044,Mots!$A:$A,0)),"introuvable")</f>
        <v/>
      </c>
      <c r="N1044" s="30" t="inlineStr">
        <is>
          <t>penser</t>
        </is>
      </c>
    </row>
    <row r="1045">
      <c r="A1045" s="30" t="inlineStr">
        <is>
          <t>v_ouvrir</t>
        </is>
      </c>
      <c r="B1045" s="26">
        <f>IFERROR(INDEX(Mots!$B:$B,MATCH($A1045,Mots!$A:$A,0)),"introuvable")</f>
        <v/>
      </c>
      <c r="I1045" s="30" t="inlineStr">
        <is>
          <t>maison</t>
        </is>
      </c>
    </row>
    <row r="1046">
      <c r="A1046" s="30" t="inlineStr">
        <is>
          <t>v_parler</t>
        </is>
      </c>
      <c r="B1046" s="26">
        <f>IFERROR(INDEX(Mots!$B:$B,MATCH($A1046,Mots!$A:$A,0)),"introuvable")</f>
        <v/>
      </c>
      <c r="N1046" s="30" t="inlineStr">
        <is>
          <t>communiquer</t>
        </is>
      </c>
    </row>
    <row r="1047">
      <c r="A1047" s="30" t="inlineStr">
        <is>
          <t>v_partir</t>
        </is>
      </c>
      <c r="B1047" s="26">
        <f>IFERROR(INDEX(Mots!$B:$B,MATCH($A1047,Mots!$A:$A,0)),"introuvable")</f>
        <v/>
      </c>
      <c r="N1047" s="30" t="inlineStr">
        <is>
          <t>se_deplacer</t>
        </is>
      </c>
    </row>
    <row r="1048">
      <c r="A1048" s="30" t="inlineStr">
        <is>
          <t>adv_partout</t>
        </is>
      </c>
      <c r="B1048" s="26">
        <f>IFERROR(INDEX(Mots!$B:$B,MATCH($A1048,Mots!$A:$A,0)),"introuvable")</f>
        <v/>
      </c>
      <c r="S1048" s="30" t="inlineStr">
        <is>
          <t>forme</t>
        </is>
      </c>
    </row>
    <row r="1049">
      <c r="A1049" s="30" t="inlineStr">
        <is>
          <t>v_payer</t>
        </is>
      </c>
      <c r="B1049" s="26">
        <f>IFERROR(INDEX(Mots!$B:$B,MATCH($A1049,Mots!$A:$A,0)),"introuvable")</f>
        <v/>
      </c>
      <c r="I1049" s="30" t="inlineStr">
        <is>
          <t>travail</t>
        </is>
      </c>
      <c r="N1049" s="30" t="inlineStr">
        <is>
          <t>travailler</t>
        </is>
      </c>
      <c r="O1049" s="30" t="inlineStr">
        <is>
          <t>donner_recevoir</t>
        </is>
      </c>
    </row>
    <row r="1050">
      <c r="A1050" s="30" t="inlineStr">
        <is>
          <t>v_penser</t>
        </is>
      </c>
      <c r="B1050" s="26">
        <f>IFERROR(INDEX(Mots!$B:$B,MATCH($A1050,Mots!$A:$A,0)),"introuvable")</f>
        <v/>
      </c>
      <c r="N1050" s="30" t="inlineStr">
        <is>
          <t>penser</t>
        </is>
      </c>
    </row>
    <row r="1051">
      <c r="A1051" s="30" t="inlineStr">
        <is>
          <t>v_perdre</t>
        </is>
      </c>
      <c r="B1051" s="26">
        <f>IFERROR(INDEX(Mots!$B:$B,MATCH($A1051,Mots!$A:$A,0)),"introuvable")</f>
        <v/>
      </c>
      <c r="N1051" s="30" t="inlineStr">
        <is>
          <t>penser</t>
        </is>
      </c>
    </row>
    <row r="1052">
      <c r="A1052" s="30" t="inlineStr">
        <is>
          <t>peu</t>
        </is>
      </c>
      <c r="B1052" s="26">
        <f>IFERROR(INDEX(Mots!$B:$B,MATCH($A1052,Mots!$A:$A,0)),"introuvable")</f>
        <v/>
      </c>
      <c r="G1052" s="30" t="inlineStr">
        <is>
          <t>quantite</t>
        </is>
      </c>
    </row>
    <row r="1053">
      <c r="A1053" s="30" t="inlineStr">
        <is>
          <t>philippe_g</t>
        </is>
      </c>
      <c r="B1053" s="26">
        <f>IFERROR(INDEX(Mots!$B:$B,MATCH($A1053,Mots!$A:$A,0)),"introuvable")</f>
        <v/>
      </c>
      <c r="W1053" s="30" t="inlineStr">
        <is>
          <t>metier</t>
        </is>
      </c>
    </row>
    <row r="1054">
      <c r="A1054" s="30" t="inlineStr">
        <is>
          <t>piquant</t>
        </is>
      </c>
      <c r="B1054" s="26">
        <f>IFERROR(INDEX(Mots!$B:$B,MATCH($A1054,Mots!$A:$A,0)),"introuvable")</f>
        <v/>
      </c>
      <c r="S1054" s="30" t="inlineStr">
        <is>
          <t>toucher</t>
        </is>
      </c>
      <c r="T1054" s="30" t="inlineStr">
        <is>
          <t>gout</t>
        </is>
      </c>
    </row>
    <row r="1055">
      <c r="A1055" s="30" t="inlineStr">
        <is>
          <t>v_plaindre</t>
        </is>
      </c>
      <c r="B1055" s="26">
        <f>IFERROR(INDEX(Mots!$B:$B,MATCH($A1055,Mots!$A:$A,0)),"introuvable")</f>
        <v/>
      </c>
      <c r="N1055" s="30" t="inlineStr">
        <is>
          <t>communiquer</t>
        </is>
      </c>
    </row>
    <row r="1056">
      <c r="A1056" s="30" t="inlineStr">
        <is>
          <t>plutôt</t>
        </is>
      </c>
      <c r="B1056" s="26">
        <f>IFERROR(INDEX(Mots!$B:$B,MATCH($A1056,Mots!$A:$A,0)),"introuvable")</f>
        <v/>
      </c>
      <c r="G1056" s="30" t="inlineStr">
        <is>
          <t>temps</t>
        </is>
      </c>
    </row>
    <row r="1057">
      <c r="A1057" s="30" t="inlineStr">
        <is>
          <t>v_porter</t>
        </is>
      </c>
      <c r="B1057" s="26">
        <f>IFERROR(INDEX(Mots!$B:$B,MATCH($A1057,Mots!$A:$A,0)),"introuvable")</f>
        <v/>
      </c>
      <c r="I1057" s="30" t="inlineStr">
        <is>
          <t>maison</t>
        </is>
      </c>
      <c r="N1057" s="30" t="inlineStr">
        <is>
          <t>se_deplacer</t>
        </is>
      </c>
    </row>
    <row r="1058">
      <c r="A1058" s="30" t="inlineStr">
        <is>
          <t>pourtant</t>
        </is>
      </c>
      <c r="B1058" s="26">
        <f>IFERROR(INDEX(Mots!$B:$B,MATCH($A1058,Mots!$A:$A,0)),"introuvable")</f>
        <v/>
      </c>
      <c r="G1058" s="30" t="inlineStr">
        <is>
          <t>liaison</t>
        </is>
      </c>
    </row>
    <row r="1059">
      <c r="A1059" s="30" t="inlineStr">
        <is>
          <t>v_pousser</t>
        </is>
      </c>
      <c r="B1059" s="26">
        <f>IFERROR(INDEX(Mots!$B:$B,MATCH($A1059,Mots!$A:$A,0)),"introuvable")</f>
        <v/>
      </c>
      <c r="N1059" s="30" t="inlineStr">
        <is>
          <t>se_deplacer</t>
        </is>
      </c>
    </row>
    <row r="1060">
      <c r="A1060" s="30" t="inlineStr">
        <is>
          <t>a_pratique</t>
        </is>
      </c>
      <c r="B1060" s="26">
        <f>IFERROR(INDEX(Mots!$B:$B,MATCH($A1060,Mots!$A:$A,0)),"introuvable")</f>
        <v/>
      </c>
      <c r="S1060" s="30" t="inlineStr">
        <is>
          <t>difficulte</t>
        </is>
      </c>
    </row>
    <row r="1061">
      <c r="A1061" s="30" t="inlineStr">
        <is>
          <t>v_prendre</t>
        </is>
      </c>
      <c r="B1061" s="26">
        <f>IFERROR(INDEX(Mots!$B:$B,MATCH($A1061,Mots!$A:$A,0)),"introuvable")</f>
        <v/>
      </c>
      <c r="I1061" s="30" t="inlineStr">
        <is>
          <t>cuisine</t>
        </is>
      </c>
      <c r="N1061" s="30" t="inlineStr">
        <is>
          <t>manger_boire</t>
        </is>
      </c>
      <c r="O1061" s="30" t="inlineStr">
        <is>
          <t>donner_recevoir</t>
        </is>
      </c>
    </row>
    <row r="1062">
      <c r="A1062" s="30" t="inlineStr">
        <is>
          <t>v_preparer</t>
        </is>
      </c>
      <c r="B1062" s="26">
        <f>IFERROR(INDEX(Mots!$B:$B,MATCH($A1062,Mots!$A:$A,0)),"introuvable")</f>
        <v/>
      </c>
      <c r="I1062" s="30" t="inlineStr">
        <is>
          <t>cuisine</t>
        </is>
      </c>
      <c r="N1062" s="30" t="inlineStr">
        <is>
          <t>manger_boire</t>
        </is>
      </c>
      <c r="O1062" s="30" t="inlineStr">
        <is>
          <t>bricoler</t>
        </is>
      </c>
    </row>
    <row r="1063">
      <c r="A1063" s="30" t="inlineStr">
        <is>
          <t>pres</t>
        </is>
      </c>
      <c r="B1063" s="26">
        <f>IFERROR(INDEX(Mots!$B:$B,MATCH($A1063,Mots!$A:$A,0)),"introuvable")</f>
        <v/>
      </c>
      <c r="G1063" s="30" t="inlineStr">
        <is>
          <t>distance</t>
        </is>
      </c>
    </row>
    <row r="1064">
      <c r="A1064" s="30" t="inlineStr">
        <is>
          <t>presque</t>
        </is>
      </c>
      <c r="B1064" s="26">
        <f>IFERROR(INDEX(Mots!$B:$B,MATCH($A1064,Mots!$A:$A,0)),"introuvable")</f>
        <v/>
      </c>
      <c r="G1064" s="30" t="inlineStr">
        <is>
          <t>distance</t>
        </is>
      </c>
    </row>
    <row r="1065">
      <c r="A1065" s="30" t="inlineStr">
        <is>
          <t>pret</t>
        </is>
      </c>
      <c r="B1065" s="26">
        <f>IFERROR(INDEX(Mots!$B:$B,MATCH($A1065,Mots!$A:$A,0)),"introuvable")</f>
        <v/>
      </c>
      <c r="S1065" s="30" t="inlineStr">
        <is>
          <t>etat</t>
        </is>
      </c>
    </row>
    <row r="1066">
      <c r="A1066" s="30" t="inlineStr">
        <is>
          <t>v_prevenir</t>
        </is>
      </c>
      <c r="B1066" s="26">
        <f>IFERROR(INDEX(Mots!$B:$B,MATCH($A1066,Mots!$A:$A,0)),"introuvable")</f>
        <v/>
      </c>
      <c r="N1066" s="30" t="inlineStr">
        <is>
          <t>communiquer</t>
        </is>
      </c>
    </row>
    <row r="1067">
      <c r="A1067" s="30" t="inlineStr">
        <is>
          <t>a_profond</t>
        </is>
      </c>
      <c r="B1067" s="26">
        <f>IFERROR(INDEX(Mots!$B:$B,MATCH($A1067,Mots!$A:$A,0)),"introuvable")</f>
        <v/>
      </c>
      <c r="S1067" s="30" t="inlineStr">
        <is>
          <t>taille</t>
        </is>
      </c>
      <c r="T1067" s="30" t="inlineStr">
        <is>
          <t>position</t>
        </is>
      </c>
    </row>
    <row r="1068">
      <c r="A1068" s="30" t="inlineStr">
        <is>
          <t>v_promettre</t>
        </is>
      </c>
      <c r="B1068" s="26">
        <f>IFERROR(INDEX(Mots!$B:$B,MATCH($A1068,Mots!$A:$A,0)),"introuvable")</f>
        <v/>
      </c>
      <c r="N1068" s="30" t="inlineStr">
        <is>
          <t>communiquer</t>
        </is>
      </c>
    </row>
    <row r="1069">
      <c r="A1069" s="30" t="inlineStr">
        <is>
          <t>v_raconter</t>
        </is>
      </c>
      <c r="B1069" s="26">
        <f>IFERROR(INDEX(Mots!$B:$B,MATCH($A1069,Mots!$A:$A,0)),"introuvable")</f>
        <v/>
      </c>
      <c r="N1069" s="30" t="inlineStr">
        <is>
          <t>communiquer</t>
        </is>
      </c>
    </row>
    <row r="1070">
      <c r="A1070" s="30" t="inlineStr">
        <is>
          <t>v_ramasser</t>
        </is>
      </c>
      <c r="B1070" s="26">
        <f>IFERROR(INDEX(Mots!$B:$B,MATCH($A1070,Mots!$A:$A,0)),"introuvable")</f>
        <v/>
      </c>
      <c r="I1070" s="30" t="inlineStr">
        <is>
          <t>dehors</t>
        </is>
      </c>
      <c r="N1070" s="30" t="inlineStr">
        <is>
          <t>donner_recevoir</t>
        </is>
      </c>
    </row>
    <row r="1071">
      <c r="A1071" s="30" t="inlineStr">
        <is>
          <t>v_ranger</t>
        </is>
      </c>
      <c r="B1071" s="26">
        <f>IFERROR(INDEX(Mots!$B:$B,MATCH($A1071,Mots!$A:$A,0)),"introuvable")</f>
        <v/>
      </c>
      <c r="I1071" s="30" t="inlineStr">
        <is>
          <t>dehors</t>
        </is>
      </c>
    </row>
    <row r="1072">
      <c r="A1072" s="30" t="inlineStr">
        <is>
          <t>v_rappeler</t>
        </is>
      </c>
      <c r="B1072" s="26">
        <f>IFERROR(INDEX(Mots!$B:$B,MATCH($A1072,Mots!$A:$A,0)),"introuvable")</f>
        <v/>
      </c>
      <c r="N1072" s="30" t="inlineStr">
        <is>
          <t>communiquer</t>
        </is>
      </c>
    </row>
    <row r="1073">
      <c r="A1073" s="30" t="inlineStr">
        <is>
          <t>v_reflechir</t>
        </is>
      </c>
      <c r="B1073" s="26">
        <f>IFERROR(INDEX(Mots!$B:$B,MATCH($A1073,Mots!$A:$A,0)),"introuvable")</f>
        <v/>
      </c>
      <c r="N1073" s="30" t="inlineStr">
        <is>
          <t>penser</t>
        </is>
      </c>
    </row>
    <row r="1074">
      <c r="A1074" s="30" t="inlineStr">
        <is>
          <t>v_refuser</t>
        </is>
      </c>
      <c r="B1074" s="26">
        <f>IFERROR(INDEX(Mots!$B:$B,MATCH($A1074,Mots!$A:$A,0)),"introuvable")</f>
        <v/>
      </c>
      <c r="N1074" s="30" t="inlineStr">
        <is>
          <t>communiquer</t>
        </is>
      </c>
    </row>
    <row r="1075">
      <c r="A1075" s="30" t="inlineStr">
        <is>
          <t>v_regarder</t>
        </is>
      </c>
      <c r="B1075" s="26">
        <f>IFERROR(INDEX(Mots!$B:$B,MATCH($A1075,Mots!$A:$A,0)),"introuvable")</f>
        <v/>
      </c>
      <c r="N1075" s="30" t="inlineStr">
        <is>
          <t>donner_recevoir</t>
        </is>
      </c>
    </row>
    <row r="1076">
      <c r="A1076" s="30" t="inlineStr">
        <is>
          <t>régis_e</t>
        </is>
      </c>
      <c r="B1076" s="26">
        <f>IFERROR(INDEX(Mots!$B:$B,MATCH($A1076,Mots!$A:$A,0)),"introuvable")</f>
        <v/>
      </c>
      <c r="W1076" s="30" t="inlineStr">
        <is>
          <t>metier</t>
        </is>
      </c>
    </row>
    <row r="1077">
      <c r="A1077" s="30" t="inlineStr">
        <is>
          <t>v_remercier</t>
        </is>
      </c>
      <c r="B1077" s="26">
        <f>IFERROR(INDEX(Mots!$B:$B,MATCH($A1077,Mots!$A:$A,0)),"introuvable")</f>
        <v/>
      </c>
      <c r="N1077" s="30" t="inlineStr">
        <is>
          <t>communiquer</t>
        </is>
      </c>
    </row>
    <row r="1078">
      <c r="A1078" s="30" t="inlineStr">
        <is>
          <t>v_reparer</t>
        </is>
      </c>
      <c r="B1078" s="26">
        <f>IFERROR(INDEX(Mots!$B:$B,MATCH($A1078,Mots!$A:$A,0)),"introuvable")</f>
        <v/>
      </c>
      <c r="I1078" s="30" t="inlineStr">
        <is>
          <t>ville</t>
        </is>
      </c>
      <c r="J1078" s="30" t="inlineStr">
        <is>
          <t>voiture</t>
        </is>
      </c>
      <c r="N1078" s="30" t="inlineStr">
        <is>
          <t>se_promener</t>
        </is>
      </c>
      <c r="O1078" s="30" t="inlineStr">
        <is>
          <t>bricoler</t>
        </is>
      </c>
    </row>
    <row r="1079">
      <c r="A1079" s="30" t="inlineStr">
        <is>
          <t>v_repeter</t>
        </is>
      </c>
      <c r="B1079" s="26">
        <f>IFERROR(INDEX(Mots!$B:$B,MATCH($A1079,Mots!$A:$A,0)),"introuvable")</f>
        <v/>
      </c>
      <c r="N1079" s="30" t="inlineStr">
        <is>
          <t>communiquer</t>
        </is>
      </c>
    </row>
    <row r="1080">
      <c r="A1080" s="30" t="inlineStr">
        <is>
          <t>v_repondre</t>
        </is>
      </c>
      <c r="B1080" s="26">
        <f>IFERROR(INDEX(Mots!$B:$B,MATCH($A1080,Mots!$A:$A,0)),"introuvable")</f>
        <v/>
      </c>
      <c r="I1080" s="30" t="inlineStr">
        <is>
          <t>dehors</t>
        </is>
      </c>
      <c r="N1080" s="30" t="inlineStr">
        <is>
          <t>communiquer</t>
        </is>
      </c>
    </row>
    <row r="1081">
      <c r="A1081" s="30" t="inlineStr">
        <is>
          <t>a_resistant</t>
        </is>
      </c>
      <c r="B1081" s="26">
        <f>IFERROR(INDEX(Mots!$B:$B,MATCH($A1081,Mots!$A:$A,0)),"introuvable")</f>
        <v/>
      </c>
      <c r="S1081" s="30" t="inlineStr">
        <is>
          <t>etat</t>
        </is>
      </c>
    </row>
    <row r="1082">
      <c r="A1082" s="30" t="inlineStr">
        <is>
          <t>c_roux</t>
        </is>
      </c>
      <c r="B1082" s="26">
        <f>IFERROR(INDEX(Mots!$B:$B,MATCH($A1082,Mots!$A:$A,0)),"introuvable")</f>
        <v/>
      </c>
      <c r="S1082" s="30" t="inlineStr">
        <is>
          <t>couleur</t>
        </is>
      </c>
    </row>
    <row r="1083">
      <c r="A1083" s="30" t="inlineStr">
        <is>
          <t>a_rude</t>
        </is>
      </c>
      <c r="B1083" s="26">
        <f>IFERROR(INDEX(Mots!$B:$B,MATCH($A1083,Mots!$A:$A,0)),"introuvable")</f>
        <v/>
      </c>
      <c r="S1083" s="30" t="inlineStr">
        <is>
          <t>toucher</t>
        </is>
      </c>
      <c r="T1083" s="30" t="inlineStr">
        <is>
          <t>prix</t>
        </is>
      </c>
    </row>
    <row r="1084">
      <c r="A1084" s="30" t="inlineStr">
        <is>
          <t>a_ruse</t>
        </is>
      </c>
      <c r="B1084" s="26">
        <f>IFERROR(INDEX(Mots!$B:$B,MATCH($A1084,Mots!$A:$A,0)),"introuvable")</f>
        <v/>
      </c>
      <c r="S1084" s="30" t="inlineStr">
        <is>
          <t>etat</t>
        </is>
      </c>
    </row>
    <row r="1085">
      <c r="A1085" s="30" t="inlineStr">
        <is>
          <t>v_saluer</t>
        </is>
      </c>
      <c r="B1085" s="26">
        <f>IFERROR(INDEX(Mots!$B:$B,MATCH($A1085,Mots!$A:$A,0)),"introuvable")</f>
        <v/>
      </c>
      <c r="N1085" s="30" t="inlineStr">
        <is>
          <t>communiquer</t>
        </is>
      </c>
    </row>
    <row r="1086">
      <c r="A1086" s="30" t="inlineStr">
        <is>
          <t>v_s_asseoir</t>
        </is>
      </c>
      <c r="B1086" s="26">
        <f>IFERROR(INDEX(Mots!$B:$B,MATCH($A1086,Mots!$A:$A,0)),"introuvable")</f>
        <v/>
      </c>
      <c r="N1086" s="30" t="inlineStr">
        <is>
          <t>se_reposer</t>
        </is>
      </c>
    </row>
    <row r="1087">
      <c r="A1087" s="30" t="inlineStr">
        <is>
          <t>sauvage</t>
        </is>
      </c>
      <c r="B1087" s="26">
        <f>IFERROR(INDEX(Mots!$B:$B,MATCH($A1087,Mots!$A:$A,0)),"introuvable")</f>
        <v/>
      </c>
      <c r="S1087" s="30" t="inlineStr">
        <is>
          <t>position</t>
        </is>
      </c>
    </row>
    <row r="1088">
      <c r="A1088" s="30" t="inlineStr">
        <is>
          <t>v_savoir</t>
        </is>
      </c>
      <c r="B1088" s="26">
        <f>IFERROR(INDEX(Mots!$B:$B,MATCH($A1088,Mots!$A:$A,0)),"introuvable")</f>
        <v/>
      </c>
      <c r="N1088" s="30" t="inlineStr">
        <is>
          <t>penser</t>
        </is>
      </c>
    </row>
    <row r="1089">
      <c r="A1089" s="30" t="inlineStr">
        <is>
          <t>v_se_souvenir</t>
        </is>
      </c>
      <c r="B1089" s="26">
        <f>IFERROR(INDEX(Mots!$B:$B,MATCH($A1089,Mots!$A:$A,0)),"introuvable")</f>
        <v/>
      </c>
      <c r="N1089" s="30" t="inlineStr">
        <is>
          <t>penser</t>
        </is>
      </c>
      <c r="O1089" s="30" t="inlineStr">
        <is>
          <t>donner_recevoir</t>
        </is>
      </c>
    </row>
    <row r="1090">
      <c r="A1090" s="30" t="inlineStr">
        <is>
          <t>v_sentir</t>
        </is>
      </c>
      <c r="B1090" s="26">
        <f>IFERROR(INDEX(Mots!$B:$B,MATCH($A1090,Mots!$A:$A,0)),"introuvable")</f>
        <v/>
      </c>
      <c r="N1090" s="30" t="inlineStr">
        <is>
          <t>aimer_ressentir</t>
        </is>
      </c>
    </row>
    <row r="1091">
      <c r="A1091" s="30" t="inlineStr">
        <is>
          <t>v_sortir</t>
        </is>
      </c>
      <c r="B1091" s="26">
        <f>IFERROR(INDEX(Mots!$B:$B,MATCH($A1091,Mots!$A:$A,0)),"introuvable")</f>
        <v/>
      </c>
      <c r="N1091" s="30" t="inlineStr">
        <is>
          <t>se_deplacer</t>
        </is>
      </c>
    </row>
    <row r="1092">
      <c r="A1092" s="30" t="inlineStr">
        <is>
          <t>souple</t>
        </is>
      </c>
      <c r="B1092" s="26">
        <f>IFERROR(INDEX(Mots!$B:$B,MATCH($A1092,Mots!$A:$A,0)),"introuvable")</f>
        <v/>
      </c>
      <c r="S1092" s="30" t="inlineStr">
        <is>
          <t>toucher</t>
        </is>
      </c>
      <c r="T1092" s="30" t="inlineStr">
        <is>
          <t>etat</t>
        </is>
      </c>
      <c r="U1092" s="30" t="inlineStr">
        <is>
          <t>difficulte</t>
        </is>
      </c>
    </row>
    <row r="1093">
      <c r="A1093" s="30" t="inlineStr">
        <is>
          <t>stéphanie_g</t>
        </is>
      </c>
      <c r="B1093" s="26">
        <f>IFERROR(INDEX(Mots!$B:$B,MATCH($A1093,Mots!$A:$A,0)),"introuvable")</f>
        <v/>
      </c>
      <c r="W1093" s="30" t="inlineStr">
        <is>
          <t>metier</t>
        </is>
      </c>
    </row>
    <row r="1094">
      <c r="A1094" s="30" t="inlineStr">
        <is>
          <t>v_supplier</t>
        </is>
      </c>
      <c r="B1094" s="26">
        <f>IFERROR(INDEX(Mots!$B:$B,MATCH($A1094,Mots!$A:$A,0)),"introuvable")</f>
        <v/>
      </c>
      <c r="N1094" s="30" t="inlineStr">
        <is>
          <t>communiquer</t>
        </is>
      </c>
    </row>
    <row r="1095">
      <c r="A1095" s="30" t="inlineStr">
        <is>
          <t>surtout</t>
        </is>
      </c>
      <c r="B1095" s="26">
        <f>IFERROR(INDEX(Mots!$B:$B,MATCH($A1095,Mots!$A:$A,0)),"introuvable")</f>
        <v/>
      </c>
      <c r="G1095" s="30" t="inlineStr">
        <is>
          <t>liaison</t>
        </is>
      </c>
    </row>
    <row r="1096">
      <c r="A1096" s="30" t="inlineStr">
        <is>
          <t>v_tenir</t>
        </is>
      </c>
      <c r="B1096" s="26">
        <f>IFERROR(INDEX(Mots!$B:$B,MATCH($A1096,Mots!$A:$A,0)),"introuvable")</f>
        <v/>
      </c>
      <c r="N1096" s="30" t="inlineStr">
        <is>
          <t>donner_recevoir</t>
        </is>
      </c>
    </row>
    <row r="1097">
      <c r="A1097" s="30" t="inlineStr">
        <is>
          <t>tiede</t>
        </is>
      </c>
      <c r="B1097" s="26">
        <f>IFERROR(INDEX(Mots!$B:$B,MATCH($A1097,Mots!$A:$A,0)),"introuvable")</f>
        <v/>
      </c>
      <c r="G1097" s="30" t="inlineStr">
        <is>
          <t>liaison</t>
        </is>
      </c>
    </row>
    <row r="1098">
      <c r="A1098" s="30" t="inlineStr">
        <is>
          <t>v_tirer</t>
        </is>
      </c>
      <c r="B1098" s="26">
        <f>IFERROR(INDEX(Mots!$B:$B,MATCH($A1098,Mots!$A:$A,0)),"introuvable")</f>
        <v/>
      </c>
      <c r="I1098" s="30" t="inlineStr">
        <is>
          <t>dehors</t>
        </is>
      </c>
      <c r="N1098" s="30" t="inlineStr">
        <is>
          <t>communiquer</t>
        </is>
      </c>
    </row>
    <row r="1099">
      <c r="A1099" s="30" t="inlineStr">
        <is>
          <t>a_touffu</t>
        </is>
      </c>
      <c r="B1099" s="26">
        <f>IFERROR(INDEX(Mots!$B:$B,MATCH($A1099,Mots!$A:$A,0)),"introuvable")</f>
        <v/>
      </c>
      <c r="S1099" s="30" t="inlineStr">
        <is>
          <t>apparence</t>
        </is>
      </c>
    </row>
    <row r="1100">
      <c r="A1100" s="30" t="inlineStr">
        <is>
          <t>tranquille</t>
        </is>
      </c>
      <c r="B1100" s="26">
        <f>IFERROR(INDEX(Mots!$B:$B,MATCH($A1100,Mots!$A:$A,0)),"introuvable")</f>
        <v/>
      </c>
      <c r="S1100" s="30" t="inlineStr">
        <is>
          <t>humeur</t>
        </is>
      </c>
    </row>
    <row r="1101">
      <c r="A1101" s="30" t="inlineStr">
        <is>
          <t>v_travailler</t>
        </is>
      </c>
      <c r="B1101" s="26">
        <f>IFERROR(INDEX(Mots!$B:$B,MATCH($A1101,Mots!$A:$A,0)),"introuvable")</f>
        <v/>
      </c>
      <c r="I1101" s="30" t="inlineStr">
        <is>
          <t>travail</t>
        </is>
      </c>
      <c r="N1101" s="30" t="inlineStr">
        <is>
          <t>travailler</t>
        </is>
      </c>
    </row>
    <row r="1102">
      <c r="A1102" s="30" t="inlineStr">
        <is>
          <t>tres</t>
        </is>
      </c>
      <c r="B1102" s="26">
        <f>IFERROR(INDEX(Mots!$B:$B,MATCH($A1102,Mots!$A:$A,0)),"introuvable")</f>
        <v/>
      </c>
      <c r="G1102" s="30" t="inlineStr">
        <is>
          <t>temperature</t>
        </is>
      </c>
    </row>
    <row r="1103">
      <c r="A1103" s="30" t="inlineStr">
        <is>
          <t>trop</t>
        </is>
      </c>
      <c r="B1103" s="26">
        <f>IFERROR(INDEX(Mots!$B:$B,MATCH($A1103,Mots!$A:$A,0)),"introuvable")</f>
        <v/>
      </c>
      <c r="G1103" s="30" t="inlineStr">
        <is>
          <t>quantite</t>
        </is>
      </c>
    </row>
    <row r="1104">
      <c r="A1104" s="30" t="inlineStr">
        <is>
          <t>veloute</t>
        </is>
      </c>
      <c r="B1104" s="26">
        <f>IFERROR(INDEX(Mots!$B:$B,MATCH($A1104,Mots!$A:$A,0)),"introuvable")</f>
        <v/>
      </c>
      <c r="S1104" s="30" t="inlineStr">
        <is>
          <t>toucher</t>
        </is>
      </c>
      <c r="T1104" s="30" t="inlineStr">
        <is>
          <t>prix</t>
        </is>
      </c>
    </row>
    <row r="1105">
      <c r="A1105" s="30" t="inlineStr">
        <is>
          <t>v_vendre</t>
        </is>
      </c>
      <c r="B1105" s="26">
        <f>IFERROR(INDEX(Mots!$B:$B,MATCH($A1105,Mots!$A:$A,0)),"introuvable")</f>
        <v/>
      </c>
      <c r="I1105" s="30" t="inlineStr">
        <is>
          <t>travail</t>
        </is>
      </c>
      <c r="N1105" s="30" t="inlineStr">
        <is>
          <t>travailler</t>
        </is>
      </c>
      <c r="O1105" s="30" t="inlineStr">
        <is>
          <t>donner_recevoir</t>
        </is>
      </c>
    </row>
    <row r="1106">
      <c r="A1106" s="30" t="inlineStr">
        <is>
          <t>v_venir</t>
        </is>
      </c>
      <c r="B1106" s="26">
        <f>IFERROR(INDEX(Mots!$B:$B,MATCH($A1106,Mots!$A:$A,0)),"introuvable")</f>
        <v/>
      </c>
      <c r="I1106" s="30" t="inlineStr">
        <is>
          <t>dehors</t>
        </is>
      </c>
      <c r="N1106" s="30" t="inlineStr">
        <is>
          <t>communiquer</t>
        </is>
      </c>
    </row>
    <row r="1107">
      <c r="A1107" s="30" t="inlineStr">
        <is>
          <t>a_vif</t>
        </is>
      </c>
      <c r="B1107" s="26">
        <f>IFERROR(INDEX(Mots!$B:$B,MATCH($A1107,Mots!$A:$A,0)),"introuvable")</f>
        <v/>
      </c>
      <c r="S1107" s="30" t="inlineStr">
        <is>
          <t>etat</t>
        </is>
      </c>
      <c r="T1107" s="30" t="inlineStr">
        <is>
          <t>vitesse</t>
        </is>
      </c>
    </row>
    <row r="1108">
      <c r="A1108" s="30" t="inlineStr">
        <is>
          <t>vite</t>
        </is>
      </c>
      <c r="B1108" s="26">
        <f>IFERROR(INDEX(Mots!$B:$B,MATCH($A1108,Mots!$A:$A,0)),"introuvable")</f>
        <v/>
      </c>
      <c r="G1108" s="30" t="inlineStr">
        <is>
          <t>vitesse</t>
        </is>
      </c>
    </row>
    <row r="1109">
      <c r="A1109" s="30" t="inlineStr">
        <is>
          <t>v_voler</t>
        </is>
      </c>
      <c r="B1109" s="26">
        <f>IFERROR(INDEX(Mots!$B:$B,MATCH($A1109,Mots!$A:$A,0)),"introuvable")</f>
        <v/>
      </c>
      <c r="I1109" s="30" t="inlineStr">
        <is>
          <t>dehors</t>
        </is>
      </c>
      <c r="N1109" s="30" t="inlineStr">
        <is>
          <t>se_deplacer</t>
        </is>
      </c>
    </row>
    <row r="1110">
      <c r="A1110" s="30" t="inlineStr">
        <is>
          <t>v_vouloir</t>
        </is>
      </c>
      <c r="B1110" s="26">
        <f>IFERROR(INDEX(Mots!$B:$B,MATCH($A1110,Mots!$A:$A,0)),"introuvable")</f>
        <v/>
      </c>
      <c r="N1110" s="30" t="inlineStr">
        <is>
          <t>aimer_ressentir</t>
        </is>
      </c>
    </row>
    <row r="1111">
      <c r="A1111" s="30" t="inlineStr">
        <is>
          <t>zero</t>
        </is>
      </c>
      <c r="B1111" s="26">
        <f>IFERROR(INDEX(Mots!$B:$B,MATCH($A1111,Mots!$A:$A,0)),"introuvable")</f>
        <v/>
      </c>
      <c r="G1111" s="30" t="inlineStr">
        <is>
          <t>nombre</t>
        </is>
      </c>
    </row>
    <row r="1112">
      <c r="A1112" s="30" t="inlineStr">
        <is>
          <t>yogurt</t>
        </is>
      </c>
      <c r="B1112" s="26">
        <f>IFERROR(INDEX(Mots!$B:$B,MATCH($A1112,Mots!$A:$A,0)),"introuvable")</f>
        <v/>
      </c>
      <c r="C1112" s="30" t="inlineStr">
        <is>
          <t>aliment</t>
        </is>
      </c>
      <c r="I1112" s="30" t="inlineStr">
        <is>
          <t>cuisine</t>
        </is>
      </c>
      <c r="N1112" s="30" t="inlineStr">
        <is>
          <t>manger_boire</t>
        </is>
      </c>
    </row>
    <row r="1113">
      <c r="A1113" s="30" t="inlineStr">
        <is>
          <t>vinaigre</t>
        </is>
      </c>
      <c r="B1113" s="26">
        <f>IFERROR(INDEX(Mots!$B:$B,MATCH($A1113,Mots!$A:$A,0)),"introuvable")</f>
        <v/>
      </c>
      <c r="C1113" s="30" t="inlineStr">
        <is>
          <t>aliment</t>
        </is>
      </c>
      <c r="I1113" s="30" t="inlineStr">
        <is>
          <t>cuisine</t>
        </is>
      </c>
      <c r="N1113" s="30" t="inlineStr">
        <is>
          <t>manger_boire</t>
        </is>
      </c>
    </row>
    <row r="1114">
      <c r="A1114" s="30" t="inlineStr">
        <is>
          <t>accompagnements</t>
        </is>
      </c>
      <c r="B1114" s="26">
        <f>IFERROR(INDEX(Mots!$B:$B,MATCH($A1114,Mots!$A:$A,0)),"introuvable")</f>
        <v/>
      </c>
      <c r="C1114" s="30" t="inlineStr">
        <is>
          <t>aliment</t>
        </is>
      </c>
      <c r="I1114" s="30" t="inlineStr">
        <is>
          <t>cuisine</t>
        </is>
      </c>
      <c r="N1114" s="30" t="inlineStr">
        <is>
          <t>manger_boire</t>
        </is>
      </c>
    </row>
    <row r="1115">
      <c r="A1115" s="30" t="inlineStr">
        <is>
          <t>tiramisu</t>
        </is>
      </c>
      <c r="B1115" s="26">
        <f>IFERROR(INDEX(Mots!$B:$B,MATCH($A1115,Mots!$A:$A,0)),"introuvable")</f>
        <v/>
      </c>
      <c r="I1115" s="30" t="inlineStr">
        <is>
          <t>cuisine</t>
        </is>
      </c>
      <c r="N1115" s="30" t="inlineStr">
        <is>
          <t>manger_boire</t>
        </is>
      </c>
    </row>
    <row r="1116">
      <c r="A1116" s="30" t="inlineStr">
        <is>
          <t>coupe_fraises</t>
        </is>
      </c>
      <c r="B1116" s="26">
        <f>IFERROR(INDEX(Mots!$B:$B,MATCH($A1116,Mots!$A:$A,0)),"introuvable")</f>
        <v/>
      </c>
      <c r="C1116" s="30" t="inlineStr">
        <is>
          <t>aliment</t>
        </is>
      </c>
      <c r="I1116" s="30" t="inlineStr">
        <is>
          <t>cuisine</t>
        </is>
      </c>
      <c r="N1116" s="30" t="inlineStr">
        <is>
          <t>manger_boire</t>
        </is>
      </c>
    </row>
    <row r="1117">
      <c r="A1117" s="30" t="inlineStr">
        <is>
          <t>big_mac</t>
        </is>
      </c>
      <c r="B1117" s="26">
        <f>IFERROR(INDEX(Mots!$B:$B,MATCH($A1117,Mots!$A:$A,0)),"introuvable")</f>
        <v/>
      </c>
      <c r="I1117" s="30" t="inlineStr">
        <is>
          <t>cuisine</t>
        </is>
      </c>
      <c r="N1117" s="30" t="inlineStr">
        <is>
          <t>manger_boire</t>
        </is>
      </c>
    </row>
    <row r="1118">
      <c r="A1118" s="30" t="inlineStr">
        <is>
          <t>carrelage</t>
        </is>
      </c>
      <c r="B1118" s="26">
        <f>IFERROR(INDEX(Mots!$B:$B,MATCH($A1118,Mots!$A:$A,0)),"introuvable")</f>
        <v/>
      </c>
      <c r="I1118" s="30" t="inlineStr">
        <is>
          <t>maison</t>
        </is>
      </c>
    </row>
    <row r="1119">
      <c r="A1119" s="30" t="inlineStr">
        <is>
          <t>poignee</t>
        </is>
      </c>
      <c r="B1119" s="26">
        <f>IFERROR(INDEX(Mots!$B:$B,MATCH($A1119,Mots!$A:$A,0)),"introuvable")</f>
        <v/>
      </c>
      <c r="I1119" s="30" t="inlineStr">
        <is>
          <t>maison</t>
        </is>
      </c>
    </row>
    <row r="1120">
      <c r="A1120" s="30" t="inlineStr">
        <is>
          <t>m_note</t>
        </is>
      </c>
      <c r="B1120" s="26">
        <f>IFERROR(INDEX(Mots!$B:$B,MATCH($A1120,Mots!$A:$A,0)),"introuvable")</f>
        <v/>
      </c>
      <c r="I1120" s="30" t="inlineStr">
        <is>
          <t>musique</t>
        </is>
      </c>
      <c r="N1120" s="30" t="inlineStr">
        <is>
          <t>jouer_musique</t>
        </is>
      </c>
    </row>
    <row r="1121">
      <c r="A1121" s="30" t="inlineStr">
        <is>
          <t>gamme</t>
        </is>
      </c>
      <c r="B1121" s="26">
        <f>IFERROR(INDEX(Mots!$B:$B,MATCH($A1121,Mots!$A:$A,0)),"introuvable")</f>
        <v/>
      </c>
      <c r="I1121" s="30" t="inlineStr">
        <is>
          <t>musique</t>
        </is>
      </c>
      <c r="N1121" s="30" t="inlineStr">
        <is>
          <t>jouer_musique</t>
        </is>
      </c>
    </row>
    <row r="1122">
      <c r="A1122" s="30" t="inlineStr">
        <is>
          <t>metronome</t>
        </is>
      </c>
      <c r="B1122" s="26">
        <f>IFERROR(INDEX(Mots!$B:$B,MATCH($A1122,Mots!$A:$A,0)),"introuvable")</f>
        <v/>
      </c>
      <c r="C1122" s="30" t="inlineStr">
        <is>
          <t>appareil</t>
        </is>
      </c>
      <c r="I1122" s="30" t="inlineStr">
        <is>
          <t>musique</t>
        </is>
      </c>
      <c r="N1122" s="30" t="inlineStr">
        <is>
          <t>jouer_musique</t>
        </is>
      </c>
    </row>
    <row r="1123">
      <c r="A1123" s="30" t="inlineStr">
        <is>
          <t>levier_vitesse</t>
        </is>
      </c>
      <c r="B1123" s="26">
        <f>IFERROR(INDEX(Mots!$B:$B,MATCH($A1123,Mots!$A:$A,0)),"introuvable")</f>
        <v/>
      </c>
      <c r="E1123" s="30" t="inlineStr">
        <is>
          <t>voiture</t>
        </is>
      </c>
      <c r="I1123" s="30" t="inlineStr">
        <is>
          <t>voiture</t>
        </is>
      </c>
      <c r="N1123" s="30" t="inlineStr">
        <is>
          <t>se_deplacer</t>
        </is>
      </c>
    </row>
    <row r="1124">
      <c r="A1124" s="30" t="inlineStr">
        <is>
          <t>v_recurrer</t>
        </is>
      </c>
      <c r="B1124" s="26">
        <f>IFERROR(INDEX(Mots!$B:$B,MATCH($A1124,Mots!$A:$A,0)),"introuvable")</f>
        <v/>
      </c>
      <c r="I1124" s="30" t="inlineStr">
        <is>
          <t>maison</t>
        </is>
      </c>
      <c r="N1124" s="30" t="inlineStr">
        <is>
          <t>nettoyer</t>
        </is>
      </c>
    </row>
    <row r="1125">
      <c r="A1125" s="30" t="inlineStr">
        <is>
          <t>appareil_photo</t>
        </is>
      </c>
      <c r="B1125" s="26">
        <f>IFERROR(INDEX(Mots!$B:$B,MATCH($A1125,Mots!$A:$A,0)),"introuvable")</f>
        <v/>
      </c>
      <c r="C1125" s="30" t="inlineStr">
        <is>
          <t>appareil</t>
        </is>
      </c>
    </row>
    <row r="1126">
      <c r="A1126" s="30" t="inlineStr">
        <is>
          <t>leopard</t>
        </is>
      </c>
      <c r="B1126" s="26">
        <f>IFERROR(INDEX(Mots!$B:$B,MATCH($A1126,Mots!$A:$A,0)),"introuvable")</f>
        <v/>
      </c>
      <c r="C1126" s="30" t="inlineStr">
        <is>
          <t>plante</t>
        </is>
      </c>
      <c r="I1126" s="30" t="inlineStr">
        <is>
          <t>dehors</t>
        </is>
      </c>
    </row>
    <row r="1127">
      <c r="A1127" s="30" t="inlineStr">
        <is>
          <t>moustique</t>
        </is>
      </c>
      <c r="B1127" s="26">
        <f>IFERROR(INDEX(Mots!$B:$B,MATCH($A1127,Mots!$A:$A,0)),"introuvable")</f>
        <v/>
      </c>
      <c r="C1127" s="30" t="inlineStr">
        <is>
          <t>animal</t>
        </is>
      </c>
      <c r="I1127" s="30" t="inlineStr">
        <is>
          <t>dehors</t>
        </is>
      </c>
    </row>
    <row r="1128">
      <c r="A1128" s="30" t="inlineStr">
        <is>
          <t>p_mais</t>
        </is>
      </c>
      <c r="B1128" s="26">
        <f>IFERROR(INDEX(Mots!$B:$B,MATCH($A1128,Mots!$A:$A,0)),"introuvable")</f>
        <v/>
      </c>
      <c r="C1128" s="30" t="inlineStr">
        <is>
          <t>aliment</t>
        </is>
      </c>
      <c r="I1128" s="30" t="inlineStr">
        <is>
          <t>cuisine</t>
        </is>
      </c>
      <c r="J1128" s="30" t="inlineStr">
        <is>
          <t>dehors</t>
        </is>
      </c>
      <c r="N1128" s="30" t="inlineStr">
        <is>
          <t>manger_boire</t>
        </is>
      </c>
    </row>
    <row r="1129">
      <c r="A1129" s="30" t="inlineStr">
        <is>
          <t>v_tousser</t>
        </is>
      </c>
      <c r="B1129" s="26">
        <f>IFERROR(INDEX(Mots!$B:$B,MATCH($A1129,Mots!$A:$A,0)),"introuvable")</f>
        <v/>
      </c>
      <c r="I1129" s="30" t="inlineStr">
        <is>
          <t>sante</t>
        </is>
      </c>
      <c r="N1129" s="30" t="inlineStr">
        <is>
          <t>se_soigner</t>
        </is>
      </c>
    </row>
    <row r="1130">
      <c r="A1130" s="30" t="inlineStr">
        <is>
          <t>jambon</t>
        </is>
      </c>
      <c r="B1130" s="26">
        <f>IFERROR(INDEX(Mots!$B:$B,MATCH($A1130,Mots!$A:$A,0)),"introuvable")</f>
        <v/>
      </c>
      <c r="C1130" s="30" t="inlineStr">
        <is>
          <t>aliment</t>
        </is>
      </c>
      <c r="I1130" s="30" t="inlineStr">
        <is>
          <t>cuisine</t>
        </is>
      </c>
      <c r="N1130" s="30" t="inlineStr">
        <is>
          <t>manger_boire</t>
        </is>
      </c>
    </row>
    <row r="1131">
      <c r="A1131" s="30" t="inlineStr">
        <is>
          <t>grand_maman_emma</t>
        </is>
      </c>
      <c r="B1131" s="26">
        <f>IFERROR(INDEX(Mots!$B:$B,MATCH($A1131,Mots!$A:$A,0)),"introuvable")</f>
        <v/>
      </c>
      <c r="W1131" s="30" t="inlineStr">
        <is>
          <t>famille</t>
        </is>
      </c>
    </row>
    <row r="1132">
      <c r="A1132" s="30" t="inlineStr">
        <is>
          <t>grand_papa_maurice</t>
        </is>
      </c>
      <c r="B1132" s="26">
        <f>IFERROR(INDEX(Mots!$B:$B,MATCH($A1132,Mots!$A:$A,0)),"introuvable")</f>
        <v/>
      </c>
      <c r="W1132" s="30" t="inlineStr">
        <is>
          <t>famille</t>
        </is>
      </c>
    </row>
    <row r="1133">
      <c r="A1133" s="30" t="inlineStr">
        <is>
          <t>oncle_bernard</t>
        </is>
      </c>
      <c r="B1133" s="26">
        <f>IFERROR(INDEX(Mots!$B:$B,MATCH($A1133,Mots!$A:$A,0)),"introuvable")</f>
        <v/>
      </c>
      <c r="W1133" s="30" t="inlineStr">
        <is>
          <t>famille</t>
        </is>
      </c>
    </row>
    <row r="1134">
      <c r="A1134" s="30" t="inlineStr">
        <is>
          <t>oncle_marcel</t>
        </is>
      </c>
      <c r="B1134" s="26">
        <f>IFERROR(INDEX(Mots!$B:$B,MATCH($A1134,Mots!$A:$A,0)),"introuvable")</f>
        <v/>
      </c>
      <c r="W1134" s="30" t="inlineStr">
        <is>
          <t>famille</t>
        </is>
      </c>
    </row>
    <row r="1135">
      <c r="A1135" s="30" t="inlineStr">
        <is>
          <t>tante_lucienne</t>
        </is>
      </c>
      <c r="B1135" s="26">
        <f>IFERROR(INDEX(Mots!$B:$B,MATCH($A1135,Mots!$A:$A,0)),"introuvable")</f>
        <v/>
      </c>
      <c r="W1135" s="30" t="inlineStr">
        <is>
          <t>famille</t>
        </is>
      </c>
    </row>
    <row r="1136">
      <c r="A1136" s="30" t="inlineStr">
        <is>
          <t>tante_edith</t>
        </is>
      </c>
      <c r="B1136" s="26">
        <f>IFERROR(INDEX(Mots!$B:$B,MATCH($A1136,Mots!$A:$A,0)),"introuvable")</f>
        <v/>
      </c>
      <c r="W1136" s="30" t="inlineStr">
        <is>
          <t>famille</t>
        </is>
      </c>
    </row>
    <row r="1137">
      <c r="A1137" s="30" t="inlineStr">
        <is>
          <t>v_interdire</t>
        </is>
      </c>
      <c r="B1137" s="26">
        <f>IFERROR(INDEX(Mots!$B:$B,MATCH($A1137,Mots!$A:$A,0)),"introuvable")</f>
        <v/>
      </c>
      <c r="N1137" s="30" t="inlineStr">
        <is>
          <t>communiquer</t>
        </is>
      </c>
    </row>
    <row r="1138">
      <c r="A1138" s="30" t="inlineStr">
        <is>
          <t>capsule_nespresso</t>
        </is>
      </c>
      <c r="B1138" s="26">
        <f>IFERROR(INDEX(Mots!$B:$B,MATCH($A1138,Mots!$A:$A,0)),"introuvable")</f>
        <v/>
      </c>
      <c r="C1138" s="30" t="inlineStr">
        <is>
          <t>appareil</t>
        </is>
      </c>
    </row>
    <row r="1139">
      <c r="A1139" s="30" t="inlineStr">
        <is>
          <t>p_terre</t>
        </is>
      </c>
      <c r="B1139" s="26">
        <f>IFERROR(INDEX(Mots!$B:$B,MATCH($A1139,Mots!$A:$A,0)),"introuvable")</f>
        <v/>
      </c>
      <c r="I1139" s="30" t="inlineStr">
        <is>
          <t>dehors</t>
        </is>
      </c>
    </row>
    <row r="1140">
      <c r="A1140" s="30" t="inlineStr">
        <is>
          <t>numero</t>
        </is>
      </c>
      <c r="B1140" s="26">
        <f>IFERROR(INDEX(Mots!$B:$B,MATCH($A1140,Mots!$A:$A,0)),"introuvable")</f>
        <v/>
      </c>
      <c r="I1140" s="30" t="inlineStr">
        <is>
          <t>ville</t>
        </is>
      </c>
    </row>
    <row r="1141">
      <c r="A1141" s="30" t="inlineStr">
        <is>
          <t>panneau</t>
        </is>
      </c>
      <c r="B1141" s="26">
        <f>IFERROR(INDEX(Mots!$B:$B,MATCH($A1141,Mots!$A:$A,0)),"introuvable")</f>
        <v/>
      </c>
      <c r="I1141" s="30" t="inlineStr">
        <is>
          <t>ville</t>
        </is>
      </c>
    </row>
    <row r="1142">
      <c r="A1142" s="30" t="inlineStr">
        <is>
          <t>nourriture</t>
        </is>
      </c>
      <c r="B1142" s="26">
        <f>IFERROR(INDEX(Mots!$B:$B,MATCH($A1142,Mots!$A:$A,0)),"introuvable")</f>
        <v/>
      </c>
      <c r="C1142" s="30" t="inlineStr">
        <is>
          <t>aliment</t>
        </is>
      </c>
      <c r="N1142" s="30" t="inlineStr">
        <is>
          <t>manger_boire</t>
        </is>
      </c>
    </row>
    <row r="1143">
      <c r="A1143" s="30" t="inlineStr">
        <is>
          <t>v_habiter</t>
        </is>
      </c>
      <c r="B1143" s="26">
        <f>IFERROR(INDEX(Mots!$B:$B,MATCH($A1143,Mots!$A:$A,0)),"introuvable")</f>
        <v/>
      </c>
      <c r="I1143" s="30" t="inlineStr">
        <is>
          <t>maison</t>
        </is>
      </c>
      <c r="J1143" s="30" t="inlineStr">
        <is>
          <t>ville</t>
        </is>
      </c>
    </row>
    <row r="1144">
      <c r="A1144" s="30" t="inlineStr">
        <is>
          <t>v_eclairer</t>
        </is>
      </c>
      <c r="B1144" s="26">
        <f>IFERROR(INDEX(Mots!$B:$B,MATCH($A1144,Mots!$A:$A,0)),"introuvable")</f>
        <v/>
      </c>
      <c r="I1144" s="30" t="inlineStr">
        <is>
          <t>cuisine</t>
        </is>
      </c>
      <c r="J1144" s="30" t="inlineStr">
        <is>
          <t>salon</t>
        </is>
      </c>
      <c r="K1144" s="30" t="inlineStr">
        <is>
          <t>travail</t>
        </is>
      </c>
      <c r="N1144" s="30" t="inlineStr">
        <is>
          <t>donner_recevoir</t>
        </is>
      </c>
    </row>
    <row r="1145">
      <c r="A1145" s="30" t="inlineStr">
        <is>
          <t>souper</t>
        </is>
      </c>
      <c r="B1145" s="26">
        <f>IFERROR(INDEX(Mots!$B:$B,MATCH($A1145,Mots!$A:$A,0)),"introuvable")</f>
        <v/>
      </c>
      <c r="I1145" s="30" t="inlineStr">
        <is>
          <t>cuisine</t>
        </is>
      </c>
      <c r="N1145" s="30" t="inlineStr">
        <is>
          <t>manger_boire</t>
        </is>
      </c>
    </row>
    <row r="1146">
      <c r="A1146" s="30" t="inlineStr">
        <is>
          <t>pommier</t>
        </is>
      </c>
      <c r="B1146" s="26">
        <f>IFERROR(INDEX(Mots!$B:$B,MATCH($A1146,Mots!$A:$A,0)),"introuvable")</f>
        <v/>
      </c>
      <c r="C1146" s="30" t="inlineStr">
        <is>
          <t>plante</t>
        </is>
      </c>
      <c r="I1146" s="30" t="inlineStr">
        <is>
          <t>dehors</t>
        </is>
      </c>
    </row>
    <row r="1147">
      <c r="A1147" s="30" t="inlineStr">
        <is>
          <t>v_griller</t>
        </is>
      </c>
      <c r="B1147" s="26">
        <f>IFERROR(INDEX(Mots!$B:$B,MATCH($A1147,Mots!$A:$A,0)),"introuvable")</f>
        <v/>
      </c>
      <c r="I1147" s="30" t="inlineStr">
        <is>
          <t>cuisine</t>
        </is>
      </c>
      <c r="N1147" s="30" t="inlineStr">
        <is>
          <t>manger_boire</t>
        </is>
      </c>
      <c r="O1147" s="30" t="inlineStr">
        <is>
          <t>cuisiner</t>
        </is>
      </c>
    </row>
    <row r="1148">
      <c r="A1148" s="30" t="inlineStr">
        <is>
          <t>animal</t>
        </is>
      </c>
      <c r="B1148" s="26">
        <f>IFERROR(INDEX(Mots!$B:$B,MATCH($A1148,Mots!$A:$A,0)),"introuvable")</f>
        <v/>
      </c>
      <c r="C1148" s="30" t="inlineStr">
        <is>
          <t>animal</t>
        </is>
      </c>
      <c r="I1148" s="30" t="inlineStr">
        <is>
          <t>dehors</t>
        </is>
      </c>
    </row>
    <row r="1149">
      <c r="A1149" s="30" t="inlineStr">
        <is>
          <t>assaisonnement</t>
        </is>
      </c>
      <c r="B1149" s="26">
        <f>IFERROR(INDEX(Mots!$B:$B,MATCH($A1149,Mots!$A:$A,0)),"introuvable")</f>
        <v/>
      </c>
      <c r="I1149" s="30" t="inlineStr">
        <is>
          <t>cuisine</t>
        </is>
      </c>
      <c r="N1149" s="30" t="inlineStr">
        <is>
          <t>manger_boire</t>
        </is>
      </c>
    </row>
    <row r="1150">
      <c r="A1150" s="30" t="inlineStr">
        <is>
          <t>v_conduire</t>
        </is>
      </c>
      <c r="B1150" s="26">
        <f>IFERROR(INDEX(Mots!$B:$B,MATCH($A1150,Mots!$A:$A,0)),"introuvable")</f>
        <v/>
      </c>
      <c r="I1150" s="30" t="inlineStr">
        <is>
          <t>voiture</t>
        </is>
      </c>
      <c r="N1150" s="30" t="inlineStr">
        <is>
          <t>se_deplacer</t>
        </is>
      </c>
    </row>
    <row r="1151">
      <c r="A1151" s="30" t="inlineStr">
        <is>
          <t>habit</t>
        </is>
      </c>
      <c r="B1151" s="26">
        <f>IFERROR(INDEX(Mots!$B:$B,MATCH($A1151,Mots!$A:$A,0)),"introuvable")</f>
        <v/>
      </c>
      <c r="C1151" s="30" t="inlineStr">
        <is>
          <t>vetement</t>
        </is>
      </c>
      <c r="I1151" s="30" t="inlineStr">
        <is>
          <t>maison</t>
        </is>
      </c>
      <c r="N1151" s="30" t="inlineStr">
        <is>
          <t>s_habiller</t>
        </is>
      </c>
    </row>
    <row r="1152">
      <c r="A1152" s="30" t="inlineStr">
        <is>
          <t>v_traverser</t>
        </is>
      </c>
      <c r="B1152" s="26">
        <f>IFERROR(INDEX(Mots!$B:$B,MATCH($A1152,Mots!$A:$A,0)),"introuvable")</f>
        <v/>
      </c>
      <c r="I1152" s="30" t="inlineStr">
        <is>
          <t>dehors</t>
        </is>
      </c>
      <c r="J1152" s="30" t="inlineStr">
        <is>
          <t>ville</t>
        </is>
      </c>
    </row>
    <row r="1153">
      <c r="A1153" s="30" t="inlineStr">
        <is>
          <t>v_avaler</t>
        </is>
      </c>
      <c r="B1153" s="26">
        <f>IFERROR(INDEX(Mots!$B:$B,MATCH($A1153,Mots!$A:$A,0)),"introuvable")</f>
        <v/>
      </c>
      <c r="N1153" s="30" t="inlineStr">
        <is>
          <t>manger_boire</t>
        </is>
      </c>
    </row>
    <row r="1154">
      <c r="A1154" s="30" t="inlineStr">
        <is>
          <t>e_verre</t>
        </is>
      </c>
      <c r="B1154" s="26">
        <f>IFERROR(INDEX(Mots!$B:$B,MATCH($A1154,Mots!$A:$A,0)),"introuvable")</f>
        <v/>
      </c>
      <c r="C1154" s="30" t="inlineStr">
        <is>
          <t>matiere</t>
        </is>
      </c>
      <c r="I1154" s="30" t="inlineStr">
        <is>
          <t>cuisine</t>
        </is>
      </c>
      <c r="N1154" s="30" t="inlineStr">
        <is>
          <t>manger_boire</t>
        </is>
      </c>
    </row>
    <row r="1155">
      <c r="A1155" s="30" t="inlineStr">
        <is>
          <t>produit_de_douche</t>
        </is>
      </c>
      <c r="B1155" s="26">
        <f>IFERROR(INDEX(Mots!$B:$B,MATCH($A1155,Mots!$A:$A,0)),"introuvable")</f>
        <v/>
      </c>
      <c r="I1155" s="30" t="inlineStr">
        <is>
          <t>salle_de_bain</t>
        </is>
      </c>
      <c r="N1155" s="30" t="inlineStr">
        <is>
          <t>nettoyer</t>
        </is>
      </c>
    </row>
    <row r="1156">
      <c r="A1156" s="30" t="inlineStr">
        <is>
          <t>aile_animal</t>
        </is>
      </c>
      <c r="B1156" s="26">
        <f>IFERROR(INDEX(Mots!$B:$B,MATCH($A1156,Mots!$A:$A,0)),"introuvable")</f>
        <v/>
      </c>
      <c r="E1156" s="30" t="inlineStr">
        <is>
          <t>animal</t>
        </is>
      </c>
    </row>
    <row r="1157">
      <c r="A1157" s="30" t="inlineStr">
        <is>
          <t>aile_avion</t>
        </is>
      </c>
      <c r="B1157" s="26">
        <f>IFERROR(INDEX(Mots!$B:$B,MATCH($A1157,Mots!$A:$A,0)),"introuvable")</f>
        <v/>
      </c>
      <c r="E1157" s="30" t="inlineStr">
        <is>
          <t>vehicule</t>
        </is>
      </c>
    </row>
    <row r="1158">
      <c r="A1158" s="30" t="inlineStr">
        <is>
          <t>virage</t>
        </is>
      </c>
      <c r="B1158" s="26">
        <f>IFERROR(INDEX(Mots!$B:$B,MATCH($A1158,Mots!$A:$A,0)),"introuvable")</f>
        <v/>
      </c>
      <c r="I1158" s="30"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30" t="inlineStr">
        <is>
          <t>vetement</t>
        </is>
      </c>
      <c r="B2" s="26">
        <f>IFERROR(INDEX(Mots!$B:$B,MATCH($A2,Mots!$A:$A,0)),"introuvable")</f>
        <v/>
      </c>
      <c r="C2" s="30" t="inlineStr">
        <is>
          <t>un habit</t>
        </is>
      </c>
    </row>
    <row r="3">
      <c r="A3" s="30" t="inlineStr">
        <is>
          <t>habit</t>
        </is>
      </c>
      <c r="B3" s="26">
        <f>IFERROR(INDEX(Mots!$B:$B,MATCH($A3,Mots!$A:$A,0)),"introuvable")</f>
        <v/>
      </c>
      <c r="C3" s="30" t="inlineStr">
        <is>
          <t>le vêtement</t>
        </is>
      </c>
    </row>
    <row r="4">
      <c r="A4" s="30" t="inlineStr">
        <is>
          <t>pelouse</t>
        </is>
      </c>
      <c r="B4" s="26">
        <f>IFERROR(INDEX(Mots!$B:$B,MATCH($A4,Mots!$A:$A,0)),"introuvable")</f>
        <v/>
      </c>
      <c r="C4" s="30" t="inlineStr">
        <is>
          <t>le gazon</t>
        </is>
      </c>
    </row>
    <row r="5">
      <c r="A5" s="30" t="inlineStr">
        <is>
          <t>frigo</t>
        </is>
      </c>
      <c r="B5" s="26">
        <f>IFERROR(INDEX(Mots!$B:$B,MATCH($A5,Mots!$A:$A,0)),"introuvable")</f>
        <v/>
      </c>
      <c r="C5" s="30" t="inlineStr">
        <is>
          <t>le réfrigérateur</t>
        </is>
      </c>
    </row>
    <row r="6">
      <c r="A6" s="30" t="inlineStr">
        <is>
          <t>canape</t>
        </is>
      </c>
      <c r="B6" s="26">
        <f>IFERROR(INDEX(Mots!$B:$B,MATCH($A6,Mots!$A:$A,0)),"introuvable")</f>
        <v/>
      </c>
      <c r="C6" s="30" t="inlineStr">
        <is>
          <t>le divan</t>
        </is>
      </c>
      <c r="D6" s="30" t="inlineStr">
        <is>
          <t>le sofa</t>
        </is>
      </c>
    </row>
    <row r="7">
      <c r="A7" s="30" t="inlineStr">
        <is>
          <t>rapport</t>
        </is>
      </c>
      <c r="B7" s="26">
        <f>IFERROR(INDEX(Mots!$B:$B,MATCH($A7,Mots!$A:$A,0)),"introuvable")</f>
        <v/>
      </c>
      <c r="C7" s="30" t="inlineStr">
        <is>
          <t>le compte-rendu</t>
        </is>
      </c>
    </row>
    <row r="8">
      <c r="A8" s="30" t="inlineStr">
        <is>
          <t>salaire</t>
        </is>
      </c>
      <c r="B8" s="26">
        <f>IFERROR(INDEX(Mots!$B:$B,MATCH($A8,Mots!$A:$A,0)),"introuvable")</f>
        <v/>
      </c>
      <c r="C8" s="30" t="inlineStr">
        <is>
          <t>la paie</t>
        </is>
      </c>
    </row>
    <row r="9">
      <c r="A9" s="30" t="inlineStr">
        <is>
          <t>prix</t>
        </is>
      </c>
      <c r="B9" s="26">
        <f>IFERROR(INDEX(Mots!$B:$B,MATCH($A9,Mots!$A:$A,0)),"introuvable")</f>
        <v/>
      </c>
      <c r="C9" s="30" t="inlineStr">
        <is>
          <t>le tarif</t>
        </is>
      </c>
      <c r="D9" s="30" t="inlineStr">
        <is>
          <t>le coût</t>
        </is>
      </c>
    </row>
    <row r="10">
      <c r="A10" s="30" t="inlineStr">
        <is>
          <t>voiture</t>
        </is>
      </c>
      <c r="B10" s="26">
        <f>IFERROR(INDEX(Mots!$B:$B,MATCH($A10,Mots!$A:$A,0)),"introuvable")</f>
        <v/>
      </c>
      <c r="C10" s="30" t="inlineStr">
        <is>
          <t>l'auto</t>
        </is>
      </c>
      <c r="D10" s="30" t="inlineStr">
        <is>
          <t>l'automobile</t>
        </is>
      </c>
    </row>
    <row r="11">
      <c r="A11" s="30" t="inlineStr">
        <is>
          <t>velo</t>
        </is>
      </c>
      <c r="B11" s="26">
        <f>IFERROR(INDEX(Mots!$B:$B,MATCH($A11,Mots!$A:$A,0)),"introuvable")</f>
        <v/>
      </c>
      <c r="C11" s="30" t="inlineStr">
        <is>
          <t>la bicyclette</t>
        </is>
      </c>
    </row>
    <row r="12">
      <c r="A12" s="30" t="inlineStr">
        <is>
          <t>medecin</t>
        </is>
      </c>
      <c r="B12" s="26">
        <f>IFERROR(INDEX(Mots!$B:$B,MATCH($A12,Mots!$A:$A,0)),"introuvable")</f>
        <v/>
      </c>
      <c r="C12" s="30" t="inlineStr">
        <is>
          <t>le docteur</t>
        </is>
      </c>
    </row>
    <row r="13">
      <c r="A13" s="30" t="inlineStr">
        <is>
          <t>travail</t>
        </is>
      </c>
      <c r="B13" s="26">
        <f>IFERROR(INDEX(Mots!$B:$B,MATCH($A13,Mots!$A:$A,0)),"introuvable")</f>
        <v/>
      </c>
      <c r="C13" s="30" t="inlineStr">
        <is>
          <t>l'emploi</t>
        </is>
      </c>
    </row>
    <row r="14">
      <c r="A14" s="30" t="inlineStr">
        <is>
          <t>gout</t>
        </is>
      </c>
      <c r="B14" s="26">
        <f>IFERROR(INDEX(Mots!$B:$B,MATCH($A14,Mots!$A:$A,0)),"introuvable")</f>
        <v/>
      </c>
      <c r="C14" s="30" t="inlineStr">
        <is>
          <t>la saveur</t>
        </is>
      </c>
    </row>
    <row r="15">
      <c r="A15" s="30" t="inlineStr">
        <is>
          <t>cadeau</t>
        </is>
      </c>
      <c r="B15" s="26">
        <f>IFERROR(INDEX(Mots!$B:$B,MATCH($A15,Mots!$A:$A,0)),"introuvable")</f>
        <v/>
      </c>
      <c r="C15" s="30" t="inlineStr">
        <is>
          <t>le présent</t>
        </is>
      </c>
    </row>
    <row r="16">
      <c r="A16" s="30" t="inlineStr">
        <is>
          <t>smartphone</t>
        </is>
      </c>
      <c r="B16" s="26">
        <f>IFERROR(INDEX(Mots!$B:$B,MATCH($A16,Mots!$A:$A,0)),"introuvable")</f>
        <v/>
      </c>
      <c r="C16" s="30" t="inlineStr">
        <is>
          <t>le portable</t>
        </is>
      </c>
    </row>
    <row r="17">
      <c r="A17" s="30" t="inlineStr">
        <is>
          <t>probleme</t>
        </is>
      </c>
      <c r="B17" s="26">
        <f>IFERROR(INDEX(Mots!$B:$B,MATCH($A17,Mots!$A:$A,0)),"introuvable")</f>
        <v/>
      </c>
      <c r="C17" s="30" t="inlineStr">
        <is>
          <t>la difficulté</t>
        </is>
      </c>
    </row>
    <row r="18">
      <c r="A18" s="30" t="inlineStr">
        <is>
          <t>entreprise</t>
        </is>
      </c>
      <c r="B18" s="26">
        <f>IFERROR(INDEX(Mots!$B:$B,MATCH($A18,Mots!$A:$A,0)),"introuvable")</f>
        <v/>
      </c>
      <c r="C18" s="30" t="inlineStr">
        <is>
          <t>la firme</t>
        </is>
      </c>
    </row>
    <row r="19">
      <c r="A19" s="30" t="inlineStr">
        <is>
          <t>public</t>
        </is>
      </c>
      <c r="B19" s="26">
        <f>IFERROR(INDEX(Mots!$B:$B,MATCH($A19,Mots!$A:$A,0)),"introuvable")</f>
        <v/>
      </c>
      <c r="C19" s="30" t="inlineStr">
        <is>
          <t>l'assistance</t>
        </is>
      </c>
      <c r="D19" s="30" t="inlineStr">
        <is>
          <t>l'auditoire</t>
        </is>
      </c>
    </row>
    <row r="20">
      <c r="A20" s="30" t="inlineStr">
        <is>
          <t>meuble</t>
        </is>
      </c>
      <c r="B20" s="26">
        <f>IFERROR(INDEX(Mots!$B:$B,MATCH($A20,Mots!$A:$A,0)),"introuvable")</f>
        <v/>
      </c>
      <c r="C20" s="30" t="inlineStr">
        <is>
          <t>le mobilier</t>
        </is>
      </c>
      <c r="D20" s="30" t="n"/>
    </row>
    <row r="21">
      <c r="A21" s="30" t="inlineStr">
        <is>
          <t>uniforme</t>
        </is>
      </c>
      <c r="B21" s="26">
        <f>IFERROR(INDEX(Mots!$B:$B,MATCH($A21,Mots!$A:$A,0)),"introuvable")</f>
        <v/>
      </c>
      <c r="C21" s="30" t="inlineStr">
        <is>
          <t>la tenue</t>
        </is>
      </c>
    </row>
    <row r="22">
      <c r="A22" s="30" t="inlineStr">
        <is>
          <t>concert</t>
        </is>
      </c>
      <c r="B22" s="26">
        <f>IFERROR(INDEX(Mots!$B:$B,MATCH($A22,Mots!$A:$A,0)),"introuvable")</f>
        <v/>
      </c>
      <c r="C22" s="30" t="inlineStr">
        <is>
          <t>le récital</t>
        </is>
      </c>
    </row>
    <row r="23">
      <c r="A23" s="30" t="inlineStr">
        <is>
          <t>pansement</t>
        </is>
      </c>
      <c r="B23" s="26">
        <f>IFERROR(INDEX(Mots!$B:$B,MATCH($A23,Mots!$A:$A,0)),"introuvable")</f>
        <v/>
      </c>
      <c r="C23" s="30" t="inlineStr">
        <is>
          <t>le sparadrap</t>
        </is>
      </c>
    </row>
    <row r="24">
      <c r="A24" s="30" t="inlineStr">
        <is>
          <t>poubelle</t>
        </is>
      </c>
      <c r="B24" s="26">
        <f>IFERROR(INDEX(Mots!$B:$B,MATCH($A24,Mots!$A:$A,0)),"introuvable")</f>
        <v/>
      </c>
      <c r="C24" s="30" t="inlineStr">
        <is>
          <t>la corbeille</t>
        </is>
      </c>
    </row>
    <row r="25">
      <c r="A25" s="30" t="inlineStr">
        <is>
          <t>ordinateur</t>
        </is>
      </c>
      <c r="B25" s="26">
        <f>IFERROR(INDEX(Mots!$B:$B,MATCH($A25,Mots!$A:$A,0)),"introuvable")</f>
        <v/>
      </c>
      <c r="C25" s="30" t="inlineStr">
        <is>
          <t>le PC</t>
        </is>
      </c>
    </row>
    <row r="26">
      <c r="A26" s="30" t="inlineStr">
        <is>
          <t>pret_hypothecaire</t>
        </is>
      </c>
      <c r="B26" s="26">
        <f>IFERROR(INDEX(Mots!$B:$B,MATCH($A26,Mots!$A:$A,0)),"introuvable")</f>
        <v/>
      </c>
      <c r="C26" s="30" t="inlineStr">
        <is>
          <t>l'emprunt</t>
        </is>
      </c>
    </row>
    <row r="27">
      <c r="A27" s="30" t="inlineStr">
        <is>
          <t>v_attendre</t>
        </is>
      </c>
      <c r="B27" s="26">
        <f>IFERROR(INDEX(Mots!$B:$B,MATCH($A27,Mots!$A:$A,0)),"introuvable")</f>
        <v/>
      </c>
      <c r="C27" s="30" t="inlineStr">
        <is>
          <t>patienter</t>
        </is>
      </c>
    </row>
    <row r="28">
      <c r="A28" s="30" t="inlineStr">
        <is>
          <t>v_avoir</t>
        </is>
      </c>
      <c r="B28" s="26">
        <f>IFERROR(INDEX(Mots!$B:$B,MATCH($A28,Mots!$A:$A,0)),"introuvable")</f>
        <v/>
      </c>
      <c r="C28" s="30" t="inlineStr">
        <is>
          <t>posséder</t>
        </is>
      </c>
    </row>
    <row r="29">
      <c r="A29" s="30" t="inlineStr">
        <is>
          <t>v_casser</t>
        </is>
      </c>
      <c r="B29" s="26">
        <f>IFERROR(INDEX(Mots!$B:$B,MATCH($A29,Mots!$A:$A,0)),"introuvable")</f>
        <v/>
      </c>
      <c r="C29" s="30" t="inlineStr">
        <is>
          <t>briser</t>
        </is>
      </c>
    </row>
    <row r="30">
      <c r="A30" s="30" t="inlineStr">
        <is>
          <t>v_commencer</t>
        </is>
      </c>
      <c r="B30" s="26">
        <f>IFERROR(INDEX(Mots!$B:$B,MATCH($A30,Mots!$A:$A,0)),"introuvable")</f>
        <v/>
      </c>
      <c r="C30" s="30" t="inlineStr">
        <is>
          <t>débuter</t>
        </is>
      </c>
    </row>
    <row r="31">
      <c r="A31" s="30" t="inlineStr">
        <is>
          <t>v_crier</t>
        </is>
      </c>
      <c r="B31" s="26">
        <f>IFERROR(INDEX(Mots!$B:$B,MATCH($A31,Mots!$A:$A,0)),"introuvable")</f>
        <v/>
      </c>
      <c r="C31" s="30" t="inlineStr">
        <is>
          <t>hurler</t>
        </is>
      </c>
    </row>
    <row r="32">
      <c r="A32" s="30" t="inlineStr">
        <is>
          <t>v_essayer</t>
        </is>
      </c>
      <c r="B32" s="26">
        <f>IFERROR(INDEX(Mots!$B:$B,MATCH($A32,Mots!$A:$A,0)),"introuvable")</f>
        <v/>
      </c>
      <c r="C32" s="30" t="inlineStr">
        <is>
          <t>tenter</t>
        </is>
      </c>
    </row>
    <row r="33">
      <c r="A33" s="30" t="inlineStr">
        <is>
          <t>v_finir</t>
        </is>
      </c>
      <c r="B33" s="26">
        <f>IFERROR(INDEX(Mots!$B:$B,MATCH($A33,Mots!$A:$A,0)),"introuvable")</f>
        <v/>
      </c>
      <c r="C33" s="30" t="inlineStr">
        <is>
          <t>terminer</t>
        </is>
      </c>
      <c r="D33" s="30" t="inlineStr">
        <is>
          <t>achever</t>
        </is>
      </c>
    </row>
    <row r="34">
      <c r="A34" s="30" t="inlineStr">
        <is>
          <t>v_parler</t>
        </is>
      </c>
      <c r="B34" s="26">
        <f>IFERROR(INDEX(Mots!$B:$B,MATCH($A34,Mots!$A:$A,0)),"introuvable")</f>
        <v/>
      </c>
      <c r="C34" s="30" t="inlineStr">
        <is>
          <t>discuter</t>
        </is>
      </c>
    </row>
    <row r="35">
      <c r="A35" s="30" t="inlineStr">
        <is>
          <t>v_payer</t>
        </is>
      </c>
      <c r="B35" s="26">
        <f>IFERROR(INDEX(Mots!$B:$B,MATCH($A35,Mots!$A:$A,0)),"introuvable")</f>
        <v/>
      </c>
      <c r="C35" s="30" t="inlineStr">
        <is>
          <t>régler</t>
        </is>
      </c>
      <c r="D35" s="30" t="n"/>
    </row>
    <row r="36">
      <c r="A36" s="30" t="inlineStr">
        <is>
          <t>v_perdre</t>
        </is>
      </c>
      <c r="B36" s="26">
        <f>IFERROR(INDEX(Mots!$B:$B,MATCH($A36,Mots!$A:$A,0)),"introuvable")</f>
        <v/>
      </c>
      <c r="C36" s="30" t="inlineStr">
        <is>
          <t>égarer</t>
        </is>
      </c>
    </row>
    <row r="37">
      <c r="A37" s="30" t="inlineStr">
        <is>
          <t>v_rester</t>
        </is>
      </c>
      <c r="B37" s="26">
        <f>IFERROR(INDEX(Mots!$B:$B,MATCH($A37,Mots!$A:$A,0)),"introuvable")</f>
        <v/>
      </c>
      <c r="C37" s="30" t="inlineStr">
        <is>
          <t>demeurer</t>
        </is>
      </c>
    </row>
    <row r="38">
      <c r="A38" s="30" t="inlineStr">
        <is>
          <t>v_tomber</t>
        </is>
      </c>
      <c r="B38" s="26">
        <f>IFERROR(INDEX(Mots!$B:$B,MATCH($A38,Mots!$A:$A,0)),"introuvable")</f>
        <v/>
      </c>
      <c r="C38" s="30" t="inlineStr">
        <is>
          <t>chuter</t>
        </is>
      </c>
    </row>
    <row r="39">
      <c r="A39" s="30" t="inlineStr">
        <is>
          <t>v_vouloir</t>
        </is>
      </c>
      <c r="B39" s="26">
        <f>IFERROR(INDEX(Mots!$B:$B,MATCH($A39,Mots!$A:$A,0)),"introuvable")</f>
        <v/>
      </c>
      <c r="C39" s="30" t="inlineStr">
        <is>
          <t>désirer</t>
        </is>
      </c>
      <c r="D39" s="30" t="inlineStr">
        <is>
          <t>souhaiter</t>
        </is>
      </c>
    </row>
    <row r="40">
      <c r="A40" s="30" t="inlineStr">
        <is>
          <t>v_habiter</t>
        </is>
      </c>
      <c r="B40" s="26">
        <f>IFERROR(INDEX(Mots!$B:$B,MATCH($A40,Mots!$A:$A,0)),"introuvable")</f>
        <v/>
      </c>
      <c r="C40" s="30" t="inlineStr">
        <is>
          <t>loger</t>
        </is>
      </c>
    </row>
    <row r="41">
      <c r="A41" s="30" t="inlineStr">
        <is>
          <t>v_montrer</t>
        </is>
      </c>
      <c r="B41" s="26">
        <f>IFERROR(INDEX(Mots!$B:$B,MATCH($A41,Mots!$A:$A,0)),"introuvable")</f>
        <v/>
      </c>
      <c r="C41" s="30" t="inlineStr">
        <is>
          <t>indiquer</t>
        </is>
      </c>
      <c r="D41" s="30" t="n"/>
    </row>
    <row r="42">
      <c r="A42" s="30" t="inlineStr">
        <is>
          <t>v_reparer</t>
        </is>
      </c>
      <c r="B42" s="26">
        <f>IFERROR(INDEX(Mots!$B:$B,MATCH($A42,Mots!$A:$A,0)),"introuvable")</f>
        <v/>
      </c>
      <c r="C42" s="30" t="inlineStr">
        <is>
          <t>dépanner</t>
        </is>
      </c>
    </row>
    <row r="43">
      <c r="A43" s="30" t="inlineStr">
        <is>
          <t>v_se_souvenir</t>
        </is>
      </c>
      <c r="B43" s="26">
        <f>IFERROR(INDEX(Mots!$B:$B,MATCH($A43,Mots!$A:$A,0)),"introuvable")</f>
        <v/>
      </c>
      <c r="C43" s="30" t="inlineStr">
        <is>
          <t>se rappeler</t>
        </is>
      </c>
    </row>
    <row r="44">
      <c r="A44" s="30" t="inlineStr">
        <is>
          <t>v_interdire</t>
        </is>
      </c>
      <c r="B44" s="26">
        <f>IFERROR(INDEX(Mots!$B:$B,MATCH($A44,Mots!$A:$A,0)),"introuvable")</f>
        <v/>
      </c>
      <c r="C44" s="30" t="inlineStr">
        <is>
          <t>défendre</t>
        </is>
      </c>
    </row>
    <row r="45">
      <c r="A45" s="30" t="inlineStr">
        <is>
          <t>v_griller</t>
        </is>
      </c>
      <c r="B45" s="26">
        <f>IFERROR(INDEX(Mots!$B:$B,MATCH($A45,Mots!$A:$A,0)),"introuvable")</f>
        <v/>
      </c>
      <c r="C45" s="30" t="inlineStr">
        <is>
          <t>rôtir</t>
        </is>
      </c>
    </row>
    <row r="46">
      <c r="A46" s="30" t="inlineStr">
        <is>
          <t>joyeux</t>
        </is>
      </c>
      <c r="B46" s="26">
        <f>IFERROR(INDEX(Mots!$B:$B,MATCH($A46,Mots!$A:$A,0)),"introuvable")</f>
        <v/>
      </c>
      <c r="C46" s="30" t="inlineStr">
        <is>
          <t>gai</t>
        </is>
      </c>
    </row>
    <row r="47">
      <c r="A47" s="30" t="inlineStr">
        <is>
          <t>merveilleux</t>
        </is>
      </c>
      <c r="B47" s="26">
        <f>IFERROR(INDEX(Mots!$B:$B,MATCH($A47,Mots!$A:$A,0)),"introuvable")</f>
        <v/>
      </c>
      <c r="C47" s="30" t="inlineStr">
        <is>
          <t>magnifique</t>
        </is>
      </c>
    </row>
    <row r="48">
      <c r="A48" s="30" t="inlineStr">
        <is>
          <t>pareil</t>
        </is>
      </c>
      <c r="B48" s="26">
        <f>IFERROR(INDEX(Mots!$B:$B,MATCH($A48,Mots!$A:$A,0)),"introuvable")</f>
        <v/>
      </c>
      <c r="C48" s="30" t="inlineStr">
        <is>
          <t>identique</t>
        </is>
      </c>
      <c r="D48" s="30" t="inlineStr">
        <is>
          <t>semblable</t>
        </is>
      </c>
    </row>
    <row r="49">
      <c r="A49" s="30" t="inlineStr">
        <is>
          <t>a_urgent</t>
        </is>
      </c>
      <c r="B49" s="26">
        <f>IFERROR(INDEX(Mots!$B:$B,MATCH($A49,Mots!$A:$A,0)),"introuvable")</f>
        <v/>
      </c>
      <c r="C49" s="30" t="inlineStr">
        <is>
          <t>pressé</t>
        </is>
      </c>
    </row>
    <row r="50">
      <c r="A50" s="30" t="inlineStr">
        <is>
          <t>aimable</t>
        </is>
      </c>
      <c r="B50" s="26">
        <f>IFERROR(INDEX(Mots!$B:$B,MATCH($A50,Mots!$A:$A,0)),"introuvable")</f>
        <v/>
      </c>
      <c r="C50" s="30" t="inlineStr">
        <is>
          <t>accueillant</t>
        </is>
      </c>
      <c r="D50" s="30" t="n"/>
    </row>
    <row r="51">
      <c r="A51" s="30" t="inlineStr">
        <is>
          <t>confortable</t>
        </is>
      </c>
      <c r="B51" s="26">
        <f>IFERROR(INDEX(Mots!$B:$B,MATCH($A51,Mots!$A:$A,0)),"introuvable")</f>
        <v/>
      </c>
      <c r="C51" s="30" t="inlineStr">
        <is>
          <t>agréable</t>
        </is>
      </c>
    </row>
    <row r="52">
      <c r="A52" s="30" t="inlineStr">
        <is>
          <t>a_important</t>
        </is>
      </c>
      <c r="B52" s="26">
        <f>IFERROR(INDEX(Mots!$B:$B,MATCH($A52,Mots!$A:$A,0)),"introuvable")</f>
        <v/>
      </c>
      <c r="C52" s="30" t="inlineStr">
        <is>
          <t>essentiel</t>
        </is>
      </c>
    </row>
    <row r="53">
      <c r="A53" s="30" t="inlineStr">
        <is>
          <t>a_habituel</t>
        </is>
      </c>
      <c r="B53" s="26">
        <f>IFERROR(INDEX(Mots!$B:$B,MATCH($A53,Mots!$A:$A,0)),"introuvable")</f>
        <v/>
      </c>
      <c r="C53" s="30" t="inlineStr">
        <is>
          <t>ordinaire</t>
        </is>
      </c>
    </row>
    <row r="54">
      <c r="A54" s="30" t="inlineStr">
        <is>
          <t>a_malin</t>
        </is>
      </c>
      <c r="B54" s="26">
        <f>IFERROR(INDEX(Mots!$B:$B,MATCH($A54,Mots!$A:$A,0)),"introuvable")</f>
        <v/>
      </c>
      <c r="C54" s="30" t="inlineStr">
        <is>
          <t>astucieux</t>
        </is>
      </c>
    </row>
    <row r="55">
      <c r="A55" s="30" t="inlineStr">
        <is>
          <t>a_ruse</t>
        </is>
      </c>
      <c r="B55" s="26">
        <f>IFERROR(INDEX(Mots!$B:$B,MATCH($A55,Mots!$A:$A,0)),"introuvable")</f>
        <v/>
      </c>
      <c r="C55" s="30" t="inlineStr">
        <is>
          <t>astucieux</t>
        </is>
      </c>
    </row>
    <row r="56">
      <c r="A56" s="30" t="inlineStr">
        <is>
          <t>souple</t>
        </is>
      </c>
      <c r="B56" s="26">
        <f>IFERROR(INDEX(Mots!$B:$B,MATCH($A56,Mots!$A:$A,0)),"introuvable")</f>
        <v/>
      </c>
      <c r="C56" s="30" t="inlineStr">
        <is>
          <t>flexible</t>
        </is>
      </c>
    </row>
    <row r="57">
      <c r="A57" s="30" t="inlineStr">
        <is>
          <t>tranquille</t>
        </is>
      </c>
      <c r="B57" s="26">
        <f>IFERROR(INDEX(Mots!$B:$B,MATCH($A57,Mots!$A:$A,0)),"introuvable")</f>
        <v/>
      </c>
      <c r="C57" s="30" t="inlineStr">
        <is>
          <t>paisible</t>
        </is>
      </c>
    </row>
    <row r="58">
      <c r="A58" s="30" t="inlineStr">
        <is>
          <t>adv_vraiment</t>
        </is>
      </c>
      <c r="B58" s="26">
        <f>IFERROR(INDEX(Mots!$B:$B,MATCH($A58,Mots!$A:$A,0)),"introuvable")</f>
        <v/>
      </c>
      <c r="C58" s="30" t="inlineStr">
        <is>
          <t>réellement</t>
        </is>
      </c>
    </row>
    <row r="59">
      <c r="A59" s="30" t="inlineStr">
        <is>
          <t>peur</t>
        </is>
      </c>
      <c r="B59" s="26">
        <f>IFERROR(INDEX(Mots!$B:$B,MATCH($A59,Mots!$A:$A,0)),"introuvable")</f>
        <v/>
      </c>
      <c r="C59" s="30" t="inlineStr">
        <is>
          <t>la crainte</t>
        </is>
      </c>
    </row>
    <row r="60">
      <c r="A60" s="30" t="inlineStr">
        <is>
          <t>gratitude</t>
        </is>
      </c>
      <c r="B60" s="26">
        <f>IFERROR(INDEX(Mots!$B:$B,MATCH($A60,Mots!$A:$A,0)),"introuvable")</f>
        <v/>
      </c>
      <c r="C60" s="30" t="inlineStr">
        <is>
          <t>la reconnaissance</t>
        </is>
      </c>
    </row>
    <row r="61">
      <c r="A61" s="30" t="inlineStr">
        <is>
          <t>surprise</t>
        </is>
      </c>
      <c r="B61" s="26">
        <f>IFERROR(INDEX(Mots!$B:$B,MATCH($A61,Mots!$A:$A,0)),"introuvable")</f>
        <v/>
      </c>
      <c r="C61" s="30" t="inlineStr">
        <is>
          <t>l'étonnement</t>
        </is>
      </c>
    </row>
    <row r="62">
      <c r="A62" s="30" t="inlineStr">
        <is>
          <t>inquietude</t>
        </is>
      </c>
      <c r="B62" s="26">
        <f>IFERROR(INDEX(Mots!$B:$B,MATCH($A62,Mots!$A:$A,0)),"introuvable")</f>
        <v/>
      </c>
      <c r="C62" s="30" t="inlineStr">
        <is>
          <t>le souci</t>
        </is>
      </c>
    </row>
    <row r="63">
      <c r="A63" s="30" t="inlineStr">
        <is>
          <t>mefiance</t>
        </is>
      </c>
      <c r="B63" s="26">
        <f>IFERROR(INDEX(Mots!$B:$B,MATCH($A63,Mots!$A:$A,0)),"introuvable")</f>
        <v/>
      </c>
      <c r="C63" s="30" t="inlineStr">
        <is>
          <t>la défiance</t>
        </is>
      </c>
    </row>
    <row r="64">
      <c r="A64" s="30" t="inlineStr">
        <is>
          <t>dispute</t>
        </is>
      </c>
      <c r="B64" s="26">
        <f>IFERROR(INDEX(Mots!$B:$B,MATCH($A64,Mots!$A:$A,0)),"introuvable")</f>
        <v/>
      </c>
      <c r="C64" s="30" t="inlineStr">
        <is>
          <t>la querelle</t>
        </is>
      </c>
    </row>
    <row r="65">
      <c r="A65" s="30" t="inlineStr">
        <is>
          <t>maintenant</t>
        </is>
      </c>
      <c r="B65" s="26">
        <f>IFERROR(INDEX(Mots!$B:$B,MATCH($A65,Mots!$A:$A,0)),"introuvable")</f>
        <v/>
      </c>
      <c r="C65" s="30" t="inlineStr">
        <is>
          <t>actuellement</t>
        </is>
      </c>
    </row>
    <row r="66">
      <c r="A66" s="30" t="inlineStr">
        <is>
          <t>parfois</t>
        </is>
      </c>
      <c r="B66" s="26">
        <f>IFERROR(INDEX(Mots!$B:$B,MATCH($A66,Mots!$A:$A,0)),"introuvable")</f>
        <v/>
      </c>
      <c r="C66" s="30" t="inlineStr">
        <is>
          <t>quelquefois</t>
        </is>
      </c>
    </row>
    <row r="67">
      <c r="A67" s="30" t="inlineStr">
        <is>
          <t>souvent</t>
        </is>
      </c>
      <c r="B67" s="26">
        <f>IFERROR(INDEX(Mots!$B:$B,MATCH($A67,Mots!$A:$A,0)),"introuvable")</f>
        <v/>
      </c>
      <c r="C67" s="30" t="inlineStr">
        <is>
          <t>fréquemment</t>
        </is>
      </c>
    </row>
    <row r="68">
      <c r="A68" s="30" t="inlineStr">
        <is>
          <t>presque</t>
        </is>
      </c>
      <c r="B68" s="26">
        <f>IFERROR(INDEX(Mots!$B:$B,MATCH($A68,Mots!$A:$A,0)),"introuvable")</f>
        <v/>
      </c>
      <c r="C68" s="30" t="inlineStr">
        <is>
          <t>quasiment</t>
        </is>
      </c>
    </row>
    <row r="69">
      <c r="A69" s="30" t="inlineStr">
        <is>
          <t>environ</t>
        </is>
      </c>
      <c r="B69" s="26">
        <f>IFERROR(INDEX(Mots!$B:$B,MATCH($A69,Mots!$A:$A,0)),"introuvable")</f>
        <v/>
      </c>
      <c r="C69" s="30" t="inlineStr">
        <is>
          <t>à peu près</t>
        </is>
      </c>
    </row>
    <row r="70">
      <c r="A70" s="30" t="inlineStr">
        <is>
          <t>expres</t>
        </is>
      </c>
      <c r="B70" s="26">
        <f>IFERROR(INDEX(Mots!$B:$B,MATCH($A70,Mots!$A:$A,0)),"introuvable")</f>
        <v/>
      </c>
      <c r="C70" s="30" t="inlineStr">
        <is>
          <t>volontairement</t>
        </is>
      </c>
    </row>
    <row r="71">
      <c r="A71" s="30" t="inlineStr">
        <is>
          <t>adv_seulement</t>
        </is>
      </c>
      <c r="B71" s="26">
        <f>IFERROR(INDEX(Mots!$B:$B,MATCH($A71,Mots!$A:$A,0)),"introuvable")</f>
        <v/>
      </c>
      <c r="C71" s="30" t="inlineStr">
        <is>
          <t>uniquement</t>
        </is>
      </c>
    </row>
    <row r="72">
      <c r="A72" s="30" t="inlineStr">
        <is>
          <t>assez</t>
        </is>
      </c>
      <c r="B72" s="26">
        <f>IFERROR(INDEX(Mots!$B:$B,MATCH($A72,Mots!$A:$A,0)),"introuvable")</f>
        <v/>
      </c>
      <c r="C72" s="30" t="inlineStr">
        <is>
          <t>suffisamment</t>
        </is>
      </c>
    </row>
    <row r="73">
      <c r="A73" s="30" t="inlineStr">
        <is>
          <t>ensuite</t>
        </is>
      </c>
      <c r="B73" s="26">
        <f>IFERROR(INDEX(Mots!$B:$B,MATCH($A73,Mots!$A:$A,0)),"introuvable")</f>
        <v/>
      </c>
      <c r="C73" s="30" t="inlineStr">
        <is>
          <t>puis</t>
        </is>
      </c>
    </row>
    <row r="74">
      <c r="A74" s="30" t="inlineStr">
        <is>
          <t>enfin</t>
        </is>
      </c>
      <c r="B74" s="26">
        <f>IFERROR(INDEX(Mots!$B:$B,MATCH($A74,Mots!$A:$A,0)),"introuvable")</f>
        <v/>
      </c>
      <c r="C74" s="30" t="inlineStr">
        <is>
          <t>finalement</t>
        </is>
      </c>
    </row>
    <row r="75">
      <c r="A75" s="30" t="inlineStr">
        <is>
          <t>brusquement</t>
        </is>
      </c>
      <c r="B75" s="26">
        <f>IFERROR(INDEX(Mots!$B:$B,MATCH($A75,Mots!$A:$A,0)),"introuvable")</f>
        <v/>
      </c>
      <c r="C75" s="30" t="inlineStr">
        <is>
          <t>soudainement</t>
        </is>
      </c>
    </row>
    <row r="76">
      <c r="A76" s="30" t="n"/>
      <c r="B76" s="26" t="n"/>
      <c r="C76" s="30" t="n"/>
    </row>
    <row r="77">
      <c r="A77" s="30" t="n"/>
      <c r="B77" s="26" t="n"/>
      <c r="C77" s="30"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30" t="inlineStr">
        <is>
          <t>sandwich</t>
        </is>
      </c>
      <c r="B2" s="26">
        <f>IFERROR(INDEX(Mots!$B:$B,MATCH($A2,Mots!$A:$A,0)),"introuvable")</f>
        <v/>
      </c>
      <c r="C2" s="30" t="inlineStr">
        <is>
          <t>Un sandwich au jamon, un sandwich poulet curry, un sandwich au salami</t>
        </is>
      </c>
    </row>
    <row r="3">
      <c r="A3" s="30" t="inlineStr">
        <is>
          <t>lettre</t>
        </is>
      </c>
      <c r="B3" s="26">
        <f>IFERROR(INDEX(Mots!$B:$B,MATCH($A3,Mots!$A:$A,0)),"introuvable")</f>
        <v/>
      </c>
      <c r="C3" s="30" t="inlineStr">
        <is>
          <t>Il envoie une lettre à ses parents.</t>
        </is>
      </c>
    </row>
    <row r="4">
      <c r="A4" s="30" t="inlineStr">
        <is>
          <t>reunion</t>
        </is>
      </c>
      <c r="B4" s="26">
        <f>IFERROR(INDEX(Mots!$B:$B,MATCH($A4,Mots!$A:$A,0)),"introuvable")</f>
        <v/>
      </c>
      <c r="C4" s="30" t="inlineStr">
        <is>
          <t>La réunion commence à 9 heures.</t>
        </is>
      </c>
    </row>
    <row r="5">
      <c r="A5" s="30" t="inlineStr">
        <is>
          <t>m_bureau</t>
        </is>
      </c>
      <c r="B5" s="26">
        <f>IFERROR(INDEX(Mots!$B:$B,MATCH($A5,Mots!$A:$A,0)),"introuvable")</f>
        <v/>
      </c>
      <c r="C5" s="30" t="inlineStr">
        <is>
          <t>Son bureau est très bien rangé.</t>
        </is>
      </c>
    </row>
    <row r="6">
      <c r="A6" s="30" t="inlineStr">
        <is>
          <t>entreprise</t>
        </is>
      </c>
      <c r="B6" s="26">
        <f>IFERROR(INDEX(Mots!$B:$B,MATCH($A6,Mots!$A:$A,0)),"introuvable")</f>
        <v/>
      </c>
      <c r="C6" s="30" t="inlineStr">
        <is>
          <t>Il dirige une entreprise de 50 personnes.</t>
        </is>
      </c>
    </row>
    <row r="7">
      <c r="A7" s="30" t="inlineStr">
        <is>
          <t>equipe</t>
        </is>
      </c>
      <c r="B7" s="26">
        <f>IFERROR(INDEX(Mots!$B:$B,MATCH($A7,Mots!$A:$A,0)),"introuvable")</f>
        <v/>
      </c>
      <c r="C7" s="30" t="inlineStr">
        <is>
          <t>Notre équipe a gagné le match.</t>
        </is>
      </c>
    </row>
    <row r="8">
      <c r="A8" s="30" t="inlineStr">
        <is>
          <t>famille</t>
        </is>
      </c>
      <c r="B8" s="26">
        <f>IFERROR(INDEX(Mots!$B:$B,MATCH($A8,Mots!$A:$A,0)),"introuvable")</f>
        <v/>
      </c>
      <c r="C8" s="30" t="inlineStr">
        <is>
          <t>Nous passons Noël en famille.</t>
        </is>
      </c>
    </row>
    <row r="9">
      <c r="A9" s="30" t="inlineStr">
        <is>
          <t>mari_et_femme</t>
        </is>
      </c>
      <c r="B9" s="26">
        <f>IFERROR(INDEX(Mots!$B:$B,MATCH($A9,Mots!$A:$A,0)),"introuvable")</f>
        <v/>
      </c>
      <c r="C9" s="30" t="inlineStr">
        <is>
          <t>Son mari est médecin.</t>
        </is>
      </c>
    </row>
    <row r="10">
      <c r="A10" s="30" t="inlineStr">
        <is>
          <t>mere</t>
        </is>
      </c>
      <c r="B10" s="26">
        <f>IFERROR(INDEX(Mots!$B:$B,MATCH($A10,Mots!$A:$A,0)),"introuvable")</f>
        <v/>
      </c>
      <c r="C10" s="30" t="inlineStr">
        <is>
          <t>ma maman s'appelle Germaine.</t>
        </is>
      </c>
    </row>
    <row r="11">
      <c r="A11" s="30" t="inlineStr">
        <is>
          <t>pere</t>
        </is>
      </c>
      <c r="B11" s="26">
        <f>IFERROR(INDEX(Mots!$B:$B,MATCH($A11,Mots!$A:$A,0)),"introuvable")</f>
        <v/>
      </c>
      <c r="C11" s="30" t="inlineStr">
        <is>
          <t>Mon papa s'appelait Noël.</t>
        </is>
      </c>
    </row>
    <row r="12">
      <c r="A12" s="30" t="inlineStr">
        <is>
          <t>enfants</t>
        </is>
      </c>
      <c r="B12" s="26">
        <f>IFERROR(INDEX(Mots!$B:$B,MATCH($A12,Mots!$A:$A,0)),"introuvable")</f>
        <v/>
      </c>
      <c r="C12" s="30" t="inlineStr">
        <is>
          <t>J'ai 4 enfants. Ils s'appellent Mathilde, Julien, Emma et Loïc</t>
        </is>
      </c>
    </row>
    <row r="13">
      <c r="A13" s="30" t="inlineStr">
        <is>
          <t>bebe</t>
        </is>
      </c>
      <c r="B13" s="26">
        <f>IFERROR(INDEX(Mots!$B:$B,MATCH($A13,Mots!$A:$A,0)),"introuvable")</f>
        <v/>
      </c>
      <c r="C13" s="30" t="inlineStr">
        <is>
          <t>Le bébé dort dans son berceau.</t>
        </is>
      </c>
    </row>
    <row r="14">
      <c r="A14" s="30" t="inlineStr">
        <is>
          <t>fille</t>
        </is>
      </c>
      <c r="B14" s="26">
        <f>IFERROR(INDEX(Mots!$B:$B,MATCH($A14,Mots!$A:$A,0)),"introuvable")</f>
        <v/>
      </c>
      <c r="C14" s="30" t="inlineStr">
        <is>
          <t>J'ai deux filles, Mathilde et Emma.</t>
        </is>
      </c>
    </row>
    <row r="15">
      <c r="A15" s="30" t="inlineStr">
        <is>
          <t>fils</t>
        </is>
      </c>
      <c r="B15" s="26">
        <f>IFERROR(INDEX(Mots!$B:$B,MATCH($A15,Mots!$A:$A,0)),"introuvable")</f>
        <v/>
      </c>
      <c r="C15" s="30" t="inlineStr">
        <is>
          <t>J'ai deux fils, Juien et Loïc.</t>
        </is>
      </c>
    </row>
    <row r="16">
      <c r="A16" s="30" t="inlineStr">
        <is>
          <t>grand_mere</t>
        </is>
      </c>
      <c r="B16" s="26">
        <f>IFERROR(INDEX(Mots!$B:$B,MATCH($A16,Mots!$A:$A,0)),"introuvable")</f>
        <v/>
      </c>
      <c r="C16" s="30" t="inlineStr">
        <is>
          <t>Grand-maman Léontine était la maman de Germaine et grand-maman Emma la maman de Noël</t>
        </is>
      </c>
    </row>
    <row r="17">
      <c r="A17" s="30" t="inlineStr">
        <is>
          <t>grand_pere</t>
        </is>
      </c>
      <c r="B17" s="26">
        <f>IFERROR(INDEX(Mots!$B:$B,MATCH($A17,Mots!$A:$A,0)),"introuvable")</f>
        <v/>
      </c>
      <c r="C17" s="30" t="inlineStr">
        <is>
          <t>Grand-papa Maurice était le papa de Germaine et grand-papa Jules le papa de Noël</t>
        </is>
      </c>
    </row>
    <row r="18">
      <c r="A18" s="30" t="inlineStr">
        <is>
          <t>soeur</t>
        </is>
      </c>
      <c r="B18" s="26">
        <f>IFERROR(INDEX(Mots!$B:$B,MATCH($A18,Mots!$A:$A,0)),"introuvable")</f>
        <v/>
      </c>
      <c r="C18" s="30" t="inlineStr">
        <is>
          <t>Mes soeurs s'appellent Claudia, Barbara et Sandrine. Emma est la soeur de Mathilde.</t>
        </is>
      </c>
    </row>
    <row r="19">
      <c r="A19" s="30" t="inlineStr">
        <is>
          <t>frere</t>
        </is>
      </c>
      <c r="B19" s="26">
        <f>IFERROR(INDEX(Mots!$B:$B,MATCH($A19,Mots!$A:$A,0)),"introuvable")</f>
        <v/>
      </c>
      <c r="C19" s="30" t="inlineStr">
        <is>
          <t>Mon frère s'appelle Olivier. Loïc est le frère de Julien</t>
        </is>
      </c>
    </row>
    <row r="20">
      <c r="A20" s="30" t="inlineStr">
        <is>
          <t>tante</t>
        </is>
      </c>
      <c r="B20" s="26">
        <f>IFERROR(INDEX(Mots!$B:$B,MATCH($A20,Mots!$A:$A,0)),"introuvable")</f>
        <v/>
      </c>
      <c r="C20" s="30" t="inlineStr">
        <is>
          <t>Tante Madeleine est la soeur de ma maman Germaine.</t>
        </is>
      </c>
    </row>
    <row r="21">
      <c r="A21" s="30" t="inlineStr">
        <is>
          <t>oncle</t>
        </is>
      </c>
      <c r="B21" s="26">
        <f>IFERROR(INDEX(Mots!$B:$B,MATCH($A21,Mots!$A:$A,0)),"introuvable")</f>
        <v/>
      </c>
      <c r="C21" s="30" t="inlineStr">
        <is>
          <t>L'oncle Bernard m'a aidé à peindre la maison.</t>
        </is>
      </c>
    </row>
    <row r="22">
      <c r="A22" s="30" t="inlineStr">
        <is>
          <t>homme</t>
        </is>
      </c>
      <c r="B22" s="26">
        <f>IFERROR(INDEX(Mots!$B:$B,MATCH($A22,Mots!$A:$A,0)),"introuvable")</f>
        <v/>
      </c>
      <c r="C22" s="30" t="inlineStr">
        <is>
          <t>cet homme est policier.</t>
        </is>
      </c>
    </row>
    <row r="23">
      <c r="A23" s="30" t="inlineStr">
        <is>
          <t>femme</t>
        </is>
      </c>
      <c r="B23" s="26">
        <f>IFERROR(INDEX(Mots!$B:$B,MATCH($A23,Mots!$A:$A,0)),"introuvable")</f>
        <v/>
      </c>
      <c r="C23" s="30" t="inlineStr">
        <is>
          <t>Mon médecin est une femme, elle s'appelle Nicole Ducrey Crettenand.</t>
        </is>
      </c>
    </row>
    <row r="24">
      <c r="A24" s="30" t="inlineStr">
        <is>
          <t>pelouse</t>
        </is>
      </c>
      <c r="B24" s="26">
        <f>IFERROR(INDEX(Mots!$B:$B,MATCH($A24,Mots!$A:$A,0)),"introuvable")</f>
        <v/>
      </c>
      <c r="C24" s="30" t="inlineStr">
        <is>
          <t>Il tond la pelouse du jardin.</t>
        </is>
      </c>
    </row>
    <row r="25">
      <c r="A25" s="30" t="inlineStr">
        <is>
          <t>table_de_jardin</t>
        </is>
      </c>
      <c r="B25" s="26">
        <f>IFERROR(INDEX(Mots!$B:$B,MATCH($A25,Mots!$A:$A,0)),"introuvable")</f>
        <v/>
      </c>
      <c r="C25" s="30" t="inlineStr">
        <is>
          <t>la table de jardin et les chaises pour manger à l'extérieur.</t>
        </is>
      </c>
    </row>
    <row r="26">
      <c r="A26" s="30" t="inlineStr">
        <is>
          <t>haie_de_thujas</t>
        </is>
      </c>
      <c r="B26" s="26">
        <f>IFERROR(INDEX(Mots!$B:$B,MATCH($A26,Mots!$A:$A,0)),"introuvable")</f>
        <v/>
      </c>
      <c r="C26" s="30" t="inlineStr">
        <is>
          <t>Tailler les thujas avec le coupe-haie.</t>
        </is>
      </c>
    </row>
    <row r="27">
      <c r="A27" s="30" t="inlineStr">
        <is>
          <t>arrosage_automatique</t>
        </is>
      </c>
      <c r="B27" s="26">
        <f>IFERROR(INDEX(Mots!$B:$B,MATCH($A27,Mots!$A:$A,0)),"introuvable")</f>
        <v/>
      </c>
      <c r="C27" s="30" t="inlineStr">
        <is>
          <t>Enclencher l'arrosage automatique pour la pelouse.</t>
        </is>
      </c>
    </row>
    <row r="28">
      <c r="A28" s="30" t="inlineStr">
        <is>
          <t>tondeuse_a_gazon</t>
        </is>
      </c>
      <c r="B28" s="26">
        <f>IFERROR(INDEX(Mots!$B:$B,MATCH($A28,Mots!$A:$A,0)),"introuvable")</f>
        <v/>
      </c>
      <c r="C28" s="30" t="inlineStr">
        <is>
          <t>Il tond la pelouse avec la tondeuse.</t>
        </is>
      </c>
    </row>
    <row r="29">
      <c r="A29" s="30" t="inlineStr">
        <is>
          <t>essence_pour_tondeuse</t>
        </is>
      </c>
      <c r="B29" s="26">
        <f>IFERROR(INDEX(Mots!$B:$B,MATCH($A29,Mots!$A:$A,0)),"introuvable")</f>
        <v/>
      </c>
      <c r="C29" s="30" t="inlineStr">
        <is>
          <t>C'est la même essence que pour un vélo moteur.</t>
        </is>
      </c>
    </row>
    <row r="30">
      <c r="A30" s="30" t="inlineStr">
        <is>
          <t>chorale</t>
        </is>
      </c>
      <c r="B30" s="26">
        <f>IFERROR(INDEX(Mots!$B:$B,MATCH($A30,Mots!$A:$A,0)),"introuvable")</f>
        <v/>
      </c>
      <c r="C30" s="30" t="inlineStr">
        <is>
          <t>La chorale de la Sainte-Famille à Erde</t>
        </is>
      </c>
      <c r="D30" s="30" t="inlineStr">
        <is>
          <t>Le Choeur d'hommes "Le Temps de vivre"</t>
        </is>
      </c>
    </row>
    <row r="31">
      <c r="A31" s="30" t="inlineStr">
        <is>
          <t>directeur</t>
        </is>
      </c>
      <c r="B31" s="26">
        <f>IFERROR(INDEX(Mots!$B:$B,MATCH($A31,Mots!$A:$A,0)),"introuvable")</f>
        <v/>
      </c>
      <c r="C31" s="30" t="inlineStr">
        <is>
          <t>Le directeur de la fanfare s'appelle Damien Lagger.</t>
        </is>
      </c>
    </row>
    <row r="32">
      <c r="A32" s="30" t="inlineStr">
        <is>
          <t>cuisine</t>
        </is>
      </c>
      <c r="B32" s="26">
        <f>IFERROR(INDEX(Mots!$B:$B,MATCH($A32,Mots!$A:$A,0)),"introuvable")</f>
        <v/>
      </c>
      <c r="C32" s="30" t="inlineStr">
        <is>
          <t>Je suis dans la cuisine et je prépare le repas.</t>
        </is>
      </c>
    </row>
    <row r="33">
      <c r="A33" s="30" t="inlineStr">
        <is>
          <t>frigo</t>
        </is>
      </c>
      <c r="B33" s="26">
        <f>IFERROR(INDEX(Mots!$B:$B,MATCH($A33,Mots!$A:$A,0)),"introuvable")</f>
        <v/>
      </c>
      <c r="C33" s="30" t="inlineStr">
        <is>
          <t>Ouvrir et fermer la porte du frigo</t>
        </is>
      </c>
    </row>
    <row r="34">
      <c r="A34" s="30" t="inlineStr">
        <is>
          <t>lave_vaisselle</t>
        </is>
      </c>
      <c r="B34" s="26">
        <f>IFERROR(INDEX(Mots!$B:$B,MATCH($A34,Mots!$A:$A,0)),"introuvable")</f>
        <v/>
      </c>
      <c r="C34" s="30" t="inlineStr">
        <is>
          <t>Mettre les assiettes et les verres dans le lave-vaisselle.</t>
        </is>
      </c>
    </row>
    <row r="35">
      <c r="A35" s="30" t="inlineStr">
        <is>
          <t>four</t>
        </is>
      </c>
      <c r="B35" s="26">
        <f>IFERROR(INDEX(Mots!$B:$B,MATCH($A35,Mots!$A:$A,0)),"introuvable")</f>
        <v/>
      </c>
      <c r="C35" s="30" t="inlineStr">
        <is>
          <t>Mettre des lasagnes dans le four.</t>
        </is>
      </c>
    </row>
    <row r="36">
      <c r="A36" s="30" t="inlineStr">
        <is>
          <t>micro_onde</t>
        </is>
      </c>
      <c r="B36" s="26">
        <f>IFERROR(INDEX(Mots!$B:$B,MATCH($A36,Mots!$A:$A,0)),"introuvable")</f>
        <v/>
      </c>
      <c r="C36" s="30" t="inlineStr">
        <is>
          <t>réchauffer un plat au micro onde.</t>
        </is>
      </c>
    </row>
    <row r="37">
      <c r="A37" s="30" t="inlineStr">
        <is>
          <t>cuisiniere_vitroceram</t>
        </is>
      </c>
      <c r="B37" s="26">
        <f>IFERROR(INDEX(Mots!$B:$B,MATCH($A37,Mots!$A:$A,0)),"introuvable")</f>
        <v/>
      </c>
      <c r="C37" s="30" t="inlineStr">
        <is>
          <t>Un vitroceram intégré dans le plan de travail.</t>
        </is>
      </c>
    </row>
    <row r="38">
      <c r="A38" s="30" t="inlineStr">
        <is>
          <t>machine_a_cafe</t>
        </is>
      </c>
      <c r="B38" s="26">
        <f>IFERROR(INDEX(Mots!$B:$B,MATCH($A38,Mots!$A:$A,0)),"introuvable")</f>
        <v/>
      </c>
      <c r="C38" s="30" t="inlineStr">
        <is>
          <t>Une capsule de café pour une tasse de café</t>
        </is>
      </c>
    </row>
    <row r="39">
      <c r="A39" s="30" t="inlineStr">
        <is>
          <t>verre</t>
        </is>
      </c>
      <c r="B39" s="26">
        <f>IFERROR(INDEX(Mots!$B:$B,MATCH($A39,Mots!$A:$A,0)),"introuvable")</f>
        <v/>
      </c>
      <c r="C39" s="30" t="inlineStr">
        <is>
          <t>boire un verre de sirop.</t>
        </is>
      </c>
    </row>
    <row r="40">
      <c r="A40" s="30" t="inlineStr">
        <is>
          <t>tasse</t>
        </is>
      </c>
      <c r="B40" s="26">
        <f>IFERROR(INDEX(Mots!$B:$B,MATCH($A40,Mots!$A:$A,0)),"introuvable")</f>
        <v/>
      </c>
      <c r="C40" s="30" t="inlineStr">
        <is>
          <t>prende une tasse de café au petit déjeûner.</t>
        </is>
      </c>
    </row>
    <row r="41">
      <c r="A41" s="30" t="inlineStr">
        <is>
          <t>pot_ou_une_mesure</t>
        </is>
      </c>
      <c r="B41" s="26">
        <f>IFERROR(INDEX(Mots!$B:$B,MATCH($A41,Mots!$A:$A,0)),"introuvable")</f>
        <v/>
      </c>
      <c r="C41" s="30" t="inlineStr">
        <is>
          <t>Germaine met un pot d'eau sur la table pour préparer un sirop.</t>
        </is>
      </c>
    </row>
    <row r="42">
      <c r="A42" s="30" t="inlineStr">
        <is>
          <t>assiette</t>
        </is>
      </c>
      <c r="B42" s="26">
        <f>IFERROR(INDEX(Mots!$B:$B,MATCH($A42,Mots!$A:$A,0)),"introuvable")</f>
        <v/>
      </c>
      <c r="C42" s="30" t="inlineStr">
        <is>
          <t>Une assiette de pâtes fraîches.</t>
        </is>
      </c>
    </row>
    <row r="43">
      <c r="A43" s="30" t="inlineStr">
        <is>
          <t>fourchette</t>
        </is>
      </c>
      <c r="B43" s="26">
        <f>IFERROR(INDEX(Mots!$B:$B,MATCH($A43,Mots!$A:$A,0)),"introuvable")</f>
        <v/>
      </c>
      <c r="C43" s="30" t="inlineStr">
        <is>
          <t>Une fourchette pour la fondue chinoise ou pour la fondue au fromage.</t>
        </is>
      </c>
    </row>
    <row r="44">
      <c r="A44" s="30" t="inlineStr">
        <is>
          <t>cuillere</t>
        </is>
      </c>
      <c r="B44" s="26">
        <f>IFERROR(INDEX(Mots!$B:$B,MATCH($A44,Mots!$A:$A,0)),"introuvable")</f>
        <v/>
      </c>
      <c r="C44" s="30" t="inlineStr">
        <is>
          <t>Remuer le café avec la cuillère à café</t>
        </is>
      </c>
    </row>
    <row r="45">
      <c r="A45" s="30" t="inlineStr">
        <is>
          <t>couteau</t>
        </is>
      </c>
      <c r="B45" s="26">
        <f>IFERROR(INDEX(Mots!$B:$B,MATCH($A45,Mots!$A:$A,0)),"introuvable")</f>
        <v/>
      </c>
      <c r="C45" s="30" t="inlineStr">
        <is>
          <t>Prendre le couteau à viande pour la couper en tranche.</t>
        </is>
      </c>
    </row>
    <row r="46">
      <c r="A46" s="30" t="inlineStr">
        <is>
          <t>casserole</t>
        </is>
      </c>
      <c r="B46" s="26">
        <f>IFERROR(INDEX(Mots!$B:$B,MATCH($A46,Mots!$A:$A,0)),"introuvable")</f>
        <v/>
      </c>
      <c r="C46" s="30" t="inlineStr">
        <is>
          <t>Faire cuire des carottes dans la casserole.</t>
        </is>
      </c>
    </row>
    <row r="47">
      <c r="A47" s="30" t="inlineStr">
        <is>
          <t>marmitte</t>
        </is>
      </c>
      <c r="B47" s="26">
        <f>IFERROR(INDEX(Mots!$B:$B,MATCH($A47,Mots!$A:$A,0)),"introuvable")</f>
        <v/>
      </c>
      <c r="C47" s="30" t="inlineStr">
        <is>
          <t>Mettre de l'eau dans la marmitte pour cuire des pâtes.</t>
        </is>
      </c>
    </row>
    <row r="48">
      <c r="A48" s="30" t="inlineStr">
        <is>
          <t>poele</t>
        </is>
      </c>
      <c r="B48" s="26">
        <f>IFERROR(INDEX(Mots!$B:$B,MATCH($A48,Mots!$A:$A,0)),"introuvable")</f>
        <v/>
      </c>
      <c r="C48" s="30" t="inlineStr">
        <is>
          <t>faire une omelette dans la poêle.</t>
        </is>
      </c>
    </row>
    <row r="49">
      <c r="A49" s="30" t="inlineStr">
        <is>
          <t>evier_ou_plonge</t>
        </is>
      </c>
      <c r="B49" s="26">
        <f>IFERROR(INDEX(Mots!$B:$B,MATCH($A49,Mots!$A:$A,0)),"introuvable")</f>
        <v/>
      </c>
      <c r="C49" s="30" t="inlineStr">
        <is>
          <t>Il y a un robinet sur l'évier qui permet de mettre de l'eau.</t>
        </is>
      </c>
    </row>
    <row r="50">
      <c r="A50" s="30" t="inlineStr">
        <is>
          <t>robinet</t>
        </is>
      </c>
      <c r="B50" s="26">
        <f>IFERROR(INDEX(Mots!$B:$B,MATCH($A50,Mots!$A:$A,0)),"introuvable")</f>
        <v/>
      </c>
      <c r="C50" s="30" t="inlineStr">
        <is>
          <t>Ouvrir le robinet.</t>
        </is>
      </c>
    </row>
    <row r="51">
      <c r="A51" s="30" t="inlineStr">
        <is>
          <t>table</t>
        </is>
      </c>
      <c r="B51" s="26">
        <f>IFERROR(INDEX(Mots!$B:$B,MATCH($A51,Mots!$A:$A,0)),"introuvable")</f>
        <v/>
      </c>
      <c r="C51" s="30" t="inlineStr">
        <is>
          <t>Le repas est servi sur la table.</t>
        </is>
      </c>
    </row>
    <row r="52">
      <c r="A52" s="30" t="inlineStr">
        <is>
          <t>chaise</t>
        </is>
      </c>
      <c r="B52" s="26">
        <f>IFERROR(INDEX(Mots!$B:$B,MATCH($A52,Mots!$A:$A,0)),"introuvable")</f>
        <v/>
      </c>
      <c r="C52" s="30" t="inlineStr">
        <is>
          <t>Assieds-toi sur cette chaise.</t>
        </is>
      </c>
    </row>
    <row r="53">
      <c r="A53" s="30" t="inlineStr">
        <is>
          <t>buffet</t>
        </is>
      </c>
      <c r="B53" s="26">
        <f>IFERROR(INDEX(Mots!$B:$B,MATCH($A53,Mots!$A:$A,0)),"introuvable")</f>
        <v/>
      </c>
      <c r="C53" s="30" t="inlineStr">
        <is>
          <t>Le buffet de la cuisine.</t>
        </is>
      </c>
    </row>
    <row r="54">
      <c r="A54" s="30" t="inlineStr">
        <is>
          <t>lave_linge</t>
        </is>
      </c>
      <c r="B54" s="26">
        <f>IFERROR(INDEX(Mots!$B:$B,MATCH($A54,Mots!$A:$A,0)),"introuvable")</f>
        <v/>
      </c>
      <c r="C54" s="30" t="inlineStr">
        <is>
          <t>Mettre une machine ou laver le linge.</t>
        </is>
      </c>
    </row>
    <row r="55">
      <c r="A55" s="30" t="inlineStr">
        <is>
          <t>seche_linge</t>
        </is>
      </c>
      <c r="B55" s="26">
        <f>IFERROR(INDEX(Mots!$B:$B,MATCH($A55,Mots!$A:$A,0)),"introuvable")</f>
        <v/>
      </c>
      <c r="C55" s="30" t="inlineStr">
        <is>
          <t>On ne peut pas mettre tous les habits au sèche-linge.</t>
        </is>
      </c>
    </row>
    <row r="56">
      <c r="A56" s="30" t="inlineStr">
        <is>
          <t>fer_a_repasser</t>
        </is>
      </c>
      <c r="B56" s="26">
        <f>IFERROR(INDEX(Mots!$B:$B,MATCH($A56,Mots!$A:$A,0)),"introuvable")</f>
        <v/>
      </c>
      <c r="C56" s="30" t="inlineStr">
        <is>
          <t>On repasse les chemises, les pantalons mais pas les bas ou les slips.</t>
        </is>
      </c>
    </row>
    <row r="57">
      <c r="A57" s="30" t="inlineStr">
        <is>
          <t>salon</t>
        </is>
      </c>
      <c r="B57" s="26">
        <f>IFERROR(INDEX(Mots!$B:$B,MATCH($A57,Mots!$A:$A,0)),"introuvable")</f>
        <v/>
      </c>
      <c r="C57" s="30" t="inlineStr">
        <is>
          <t>La famille regarde la télé dans le salon.</t>
        </is>
      </c>
    </row>
    <row r="58">
      <c r="A58" s="30" t="inlineStr">
        <is>
          <t>canape</t>
        </is>
      </c>
      <c r="B58" s="26">
        <f>IFERROR(INDEX(Mots!$B:$B,MATCH($A58,Mots!$A:$A,0)),"introuvable")</f>
        <v/>
      </c>
      <c r="C58" s="30" t="inlineStr">
        <is>
          <t>Ils regardent la télé sur le canapé.</t>
        </is>
      </c>
    </row>
    <row r="59">
      <c r="A59" s="30" t="inlineStr">
        <is>
          <t>fauteuil</t>
        </is>
      </c>
      <c r="B59" s="26">
        <f>IFERROR(INDEX(Mots!$B:$B,MATCH($A59,Mots!$A:$A,0)),"introuvable")</f>
        <v/>
      </c>
      <c r="C59" s="30" t="inlineStr">
        <is>
          <t>Grand-père lit dans son fauteuil.</t>
        </is>
      </c>
    </row>
    <row r="60">
      <c r="A60" s="30" t="inlineStr">
        <is>
          <t>meuble</t>
        </is>
      </c>
      <c r="B60" s="26">
        <f>IFERROR(INDEX(Mots!$B:$B,MATCH($A60,Mots!$A:$A,0)),"introuvable")</f>
        <v/>
      </c>
      <c r="C60" s="30" t="inlineStr">
        <is>
          <t>un meuble de télévision.</t>
        </is>
      </c>
    </row>
    <row r="61">
      <c r="A61" s="30" t="inlineStr">
        <is>
          <t>television</t>
        </is>
      </c>
      <c r="B61" s="26">
        <f>IFERROR(INDEX(Mots!$B:$B,MATCH($A61,Mots!$A:$A,0)),"introuvable")</f>
        <v/>
      </c>
      <c r="C61" s="30" t="inlineStr">
        <is>
          <t>Il regarde les informations à la télévision.</t>
        </is>
      </c>
    </row>
    <row r="62">
      <c r="A62" s="30" t="inlineStr">
        <is>
          <t>lampe</t>
        </is>
      </c>
      <c r="B62" s="26">
        <f>IFERROR(INDEX(Mots!$B:$B,MATCH($A62,Mots!$A:$A,0)),"introuvable")</f>
        <v/>
      </c>
      <c r="C62" s="30" t="inlineStr">
        <is>
          <t>Allume la lampe, il fait sombre, on aura de la lumière</t>
        </is>
      </c>
    </row>
    <row r="63">
      <c r="A63" s="30" t="inlineStr">
        <is>
          <t>seconde</t>
        </is>
      </c>
      <c r="B63" s="26">
        <f>IFERROR(INDEX(Mots!$B:$B,MATCH($A63,Mots!$A:$A,0)),"introuvable")</f>
        <v/>
      </c>
      <c r="C63" s="30" t="inlineStr">
        <is>
          <t>Je n'ai pas une seconde à perdre</t>
        </is>
      </c>
      <c r="D63" s="30" t="inlineStr">
        <is>
          <t>Une heure compte 3600 secondes</t>
        </is>
      </c>
    </row>
    <row r="64">
      <c r="A64" s="30" t="inlineStr">
        <is>
          <t>heure</t>
        </is>
      </c>
      <c r="B64" s="26">
        <f>IFERROR(INDEX(Mots!$B:$B,MATCH($A64,Mots!$A:$A,0)),"introuvable")</f>
        <v/>
      </c>
      <c r="C64" s="30" t="inlineStr">
        <is>
          <t>Il est 10 heure du matin.</t>
        </is>
      </c>
    </row>
    <row r="65">
      <c r="A65" s="30" t="inlineStr">
        <is>
          <t>jour</t>
        </is>
      </c>
      <c r="B65" s="26">
        <f>IFERROR(INDEX(Mots!$B:$B,MATCH($A65,Mots!$A:$A,0)),"introuvable")</f>
        <v/>
      </c>
      <c r="C65" s="30" t="inlineStr">
        <is>
          <t>Les jours de la semaine sont lundi, mardi, mercredi, jeudi, vendredi, samedi et dimanche.</t>
        </is>
      </c>
    </row>
    <row r="66">
      <c r="A66" s="30" t="inlineStr">
        <is>
          <t>semaine</t>
        </is>
      </c>
      <c r="B66" s="26">
        <f>IFERROR(INDEX(Mots!$B:$B,MATCH($A66,Mots!$A:$A,0)),"introuvable")</f>
        <v/>
      </c>
      <c r="C66" s="30" t="inlineStr">
        <is>
          <t>Les jours de la semaine sont lundi, mardi, mercredi, jeudi, vendredi, samedi et dimanche.</t>
        </is>
      </c>
    </row>
    <row r="67">
      <c r="A67" s="30" t="inlineStr">
        <is>
          <t>mois</t>
        </is>
      </c>
      <c r="B67" s="26">
        <f>IFERROR(INDEX(Mots!$B:$B,MATCH($A67,Mots!$A:$A,0)),"introuvable")</f>
        <v/>
      </c>
      <c r="C67" s="30" t="inlineStr">
        <is>
          <t>Les mois de l'année sont janvier, février, mars, avril, mai, juin, juillet, août, septembre, octobre, novembre et décembre.</t>
        </is>
      </c>
    </row>
    <row r="68">
      <c r="A68" s="30" t="inlineStr">
        <is>
          <t>annee</t>
        </is>
      </c>
      <c r="B68" s="26">
        <f>IFERROR(INDEX(Mots!$B:$B,MATCH($A68,Mots!$A:$A,0)),"introuvable")</f>
        <v/>
      </c>
      <c r="C68" s="30" t="inlineStr">
        <is>
          <t>On compte son âge en années.</t>
        </is>
      </c>
    </row>
    <row r="69">
      <c r="A69" s="30" t="inlineStr">
        <is>
          <t>ventre</t>
        </is>
      </c>
      <c r="B69" s="26">
        <f>IFERROR(INDEX(Mots!$B:$B,MATCH($A69,Mots!$A:$A,0)),"introuvable")</f>
        <v/>
      </c>
      <c r="C69" s="30" t="inlineStr">
        <is>
          <t>J'ai faim, mon ventre gargouille.</t>
        </is>
      </c>
    </row>
    <row r="70">
      <c r="A70" s="30" t="inlineStr">
        <is>
          <t>dos</t>
        </is>
      </c>
      <c r="B70" s="26">
        <f>IFERROR(INDEX(Mots!$B:$B,MATCH($A70,Mots!$A:$A,0)),"introuvable")</f>
        <v/>
      </c>
      <c r="C70" s="30" t="inlineStr">
        <is>
          <t>J'ai mal au dos après le déménagement.</t>
        </is>
      </c>
    </row>
    <row r="71">
      <c r="A71" s="30" t="inlineStr">
        <is>
          <t>coeur</t>
        </is>
      </c>
      <c r="B71" s="26">
        <f>IFERROR(INDEX(Mots!$B:$B,MATCH($A71,Mots!$A:$A,0)),"introuvable")</f>
        <v/>
      </c>
      <c r="C71" s="30" t="inlineStr">
        <is>
          <t>Son cœur bat très fort.</t>
        </is>
      </c>
    </row>
    <row r="72">
      <c r="A72" s="30" t="inlineStr">
        <is>
          <t>tete</t>
        </is>
      </c>
      <c r="B72" s="26">
        <f>IFERROR(INDEX(Mots!$B:$B,MATCH($A72,Mots!$A:$A,0)),"introuvable")</f>
        <v/>
      </c>
      <c r="C72" s="30" t="inlineStr">
        <is>
          <t>Elle a mal à la tête.</t>
        </is>
      </c>
    </row>
    <row r="73">
      <c r="A73" s="30" t="inlineStr">
        <is>
          <t>cheveux</t>
        </is>
      </c>
      <c r="B73" s="26">
        <f>IFERROR(INDEX(Mots!$B:$B,MATCH($A73,Mots!$A:$A,0)),"introuvable")</f>
        <v/>
      </c>
      <c r="C73" s="30" t="inlineStr">
        <is>
          <t>Elle a les cheveux longs et noirs.</t>
        </is>
      </c>
    </row>
    <row r="74">
      <c r="A74" s="30" t="inlineStr">
        <is>
          <t>oeil</t>
        </is>
      </c>
      <c r="B74" s="26">
        <f>IFERROR(INDEX(Mots!$B:$B,MATCH($A74,Mots!$A:$A,0)),"introuvable")</f>
        <v/>
      </c>
      <c r="C74" s="30" t="inlineStr">
        <is>
          <t>Elle a les yeux bleus.</t>
        </is>
      </c>
    </row>
    <row r="75">
      <c r="A75" s="30" t="inlineStr">
        <is>
          <t>nez</t>
        </is>
      </c>
      <c r="B75" s="26">
        <f>IFERROR(INDEX(Mots!$B:$B,MATCH($A75,Mots!$A:$A,0)),"introuvable")</f>
        <v/>
      </c>
      <c r="C75" s="30" t="inlineStr">
        <is>
          <t>Son nez est rouge à cause du froid.</t>
        </is>
      </c>
    </row>
    <row r="76">
      <c r="A76" s="30" t="inlineStr">
        <is>
          <t>bouche</t>
        </is>
      </c>
      <c r="B76" s="26">
        <f>IFERROR(INDEX(Mots!$B:$B,MATCH($A76,Mots!$A:$A,0)),"introuvable")</f>
        <v/>
      </c>
      <c r="C76" s="30" t="inlineStr">
        <is>
          <t>Ouvre la bouche chez le dentiste.</t>
        </is>
      </c>
    </row>
    <row r="77">
      <c r="A77" s="30" t="inlineStr">
        <is>
          <t>dent</t>
        </is>
      </c>
      <c r="B77" s="26">
        <f>IFERROR(INDEX(Mots!$B:$B,MATCH($A77,Mots!$A:$A,0)),"introuvable")</f>
        <v/>
      </c>
      <c r="C77" s="30" t="inlineStr">
        <is>
          <t>Il faut se brosser les dents deux fois par jour.</t>
        </is>
      </c>
    </row>
    <row r="78">
      <c r="A78" s="30" t="inlineStr">
        <is>
          <t>oreille</t>
        </is>
      </c>
      <c r="B78" s="26">
        <f>IFERROR(INDEX(Mots!$B:$B,MATCH($A78,Mots!$A:$A,0)),"introuvable")</f>
        <v/>
      </c>
      <c r="C78" s="30" t="inlineStr">
        <is>
          <t>Il porte une boucle d'oreille.</t>
        </is>
      </c>
    </row>
    <row r="79">
      <c r="A79" s="30" t="inlineStr">
        <is>
          <t>casquette</t>
        </is>
      </c>
      <c r="B79" s="26">
        <f>IFERROR(INDEX(Mots!$B:$B,MATCH($A79,Mots!$A:$A,0)),"introuvable")</f>
        <v/>
      </c>
      <c r="C79" s="30" t="inlineStr">
        <is>
          <t>une casquette ou un chapeau.</t>
        </is>
      </c>
    </row>
    <row r="80">
      <c r="A80" s="30" t="inlineStr">
        <is>
          <t>ceinture</t>
        </is>
      </c>
      <c r="B80" s="26">
        <f>IFERROR(INDEX(Mots!$B:$B,MATCH($A80,Mots!$A:$A,0)),"introuvable")</f>
        <v/>
      </c>
      <c r="C80" s="30" t="inlineStr">
        <is>
          <t>une ceinture en cuir.</t>
        </is>
      </c>
    </row>
    <row r="81">
      <c r="A81" s="30" t="inlineStr">
        <is>
          <t>sourdine_cup</t>
        </is>
      </c>
      <c r="B81" s="26">
        <f>IFERROR(INDEX(Mots!$B:$B,MATCH($A81,Mots!$A:$A,0)),"introuvable")</f>
        <v/>
      </c>
      <c r="C81" s="30" t="inlineStr">
        <is>
          <t>La sourdine Cup ou la Cup mute.</t>
        </is>
      </c>
    </row>
    <row r="82">
      <c r="A82" s="30" t="inlineStr">
        <is>
          <t>sourdine_straignt_ou_metal</t>
        </is>
      </c>
      <c r="B82" s="26">
        <f>IFERROR(INDEX(Mots!$B:$B,MATCH($A82,Mots!$A:$A,0)),"introuvable")</f>
        <v/>
      </c>
      <c r="C82" s="30" t="inlineStr">
        <is>
          <t>la sourdine straight ou metal / la straight mute ou metal mute .</t>
        </is>
      </c>
    </row>
    <row r="83">
      <c r="A83" s="30" t="inlineStr">
        <is>
          <t>embouchure</t>
        </is>
      </c>
      <c r="B83" s="26">
        <f>IFERROR(INDEX(Mots!$B:$B,MATCH($A83,Mots!$A:$A,0)),"introuvable")</f>
        <v/>
      </c>
      <c r="C83" s="30" t="inlineStr">
        <is>
          <t>Une embouchure Denis Wick.</t>
        </is>
      </c>
    </row>
    <row r="84">
      <c r="A84" s="30" t="inlineStr">
        <is>
          <t>pistons</t>
        </is>
      </c>
      <c r="B84" s="26">
        <f>IFERROR(INDEX(Mots!$B:$B,MATCH($A84,Mots!$A:$A,0)),"introuvable")</f>
        <v/>
      </c>
      <c r="C84" s="30" t="inlineStr">
        <is>
          <t>Il y a 3 pistons sur un cornet. Les euphoniums ou les basses en ont 4.</t>
        </is>
      </c>
    </row>
    <row r="85">
      <c r="A85" s="30" t="inlineStr">
        <is>
          <t>coulisse</t>
        </is>
      </c>
      <c r="B85" s="26">
        <f>IFERROR(INDEX(Mots!$B:$B,MATCH($A85,Mots!$A:$A,0)),"introuvable")</f>
        <v/>
      </c>
      <c r="C85" s="30" t="inlineStr">
        <is>
          <t>La coulisse d'accord permet de régler la justesse des notes.</t>
        </is>
      </c>
    </row>
    <row r="86">
      <c r="A86" s="30" t="inlineStr">
        <is>
          <t>coffre_instrument</t>
        </is>
      </c>
      <c r="B86" s="26">
        <f>IFERROR(INDEX(Mots!$B:$B,MATCH($A86,Mots!$A:$A,0)),"introuvable")</f>
        <v/>
      </c>
      <c r="C86" s="30" t="inlineStr">
        <is>
          <t>un coffre qu'on peut aussi appeler étui.</t>
        </is>
      </c>
    </row>
    <row r="87">
      <c r="A87" s="30" t="inlineStr">
        <is>
          <t>huile_instrument</t>
        </is>
      </c>
      <c r="B87" s="26">
        <f>IFERROR(INDEX(Mots!$B:$B,MATCH($A87,Mots!$A:$A,0)),"introuvable")</f>
        <v/>
      </c>
      <c r="C87" s="30" t="inlineStr">
        <is>
          <t>Mettre de l'huile sur les pistons.</t>
        </is>
      </c>
    </row>
    <row r="88">
      <c r="A88" s="30" t="inlineStr">
        <is>
          <t>graisse_instrument</t>
        </is>
      </c>
      <c r="B88" s="26">
        <f>IFERROR(INDEX(Mots!$B:$B,MATCH($A88,Mots!$A:$A,0)),"introuvable")</f>
        <v/>
      </c>
      <c r="C88" s="30" t="inlineStr">
        <is>
          <t>mettre un peu de graisse sur la coulisse d'accord.</t>
        </is>
      </c>
    </row>
    <row r="89">
      <c r="A89" s="30" t="inlineStr">
        <is>
          <t>brosses_instrument</t>
        </is>
      </c>
      <c r="B89" s="26">
        <f>IFERROR(INDEX(Mots!$B:$B,MATCH($A89,Mots!$A:$A,0)),"introuvable")</f>
        <v/>
      </c>
      <c r="C89" s="30" t="inlineStr">
        <is>
          <t>nettoyer l'embouchure avec la brosse</t>
        </is>
      </c>
    </row>
    <row r="90">
      <c r="A90" s="30" t="inlineStr">
        <is>
          <t>pupitre</t>
        </is>
      </c>
      <c r="B90" s="26">
        <f>IFERROR(INDEX(Mots!$B:$B,MATCH($A90,Mots!$A:$A,0)),"introuvable")</f>
        <v/>
      </c>
      <c r="C90" s="30" t="inlineStr">
        <is>
          <t>On dit aussi un lutrin pour le pupitre</t>
        </is>
      </c>
    </row>
    <row r="91">
      <c r="A91" s="30" t="inlineStr">
        <is>
          <t>uniforme</t>
        </is>
      </c>
      <c r="B91" s="26">
        <f>IFERROR(INDEX(Mots!$B:$B,MATCH($A91,Mots!$A:$A,0)),"introuvable")</f>
        <v/>
      </c>
      <c r="C91" s="30" t="inlineStr">
        <is>
          <t>L'uniforme avec la casquette.</t>
        </is>
      </c>
      <c r="D91" s="30" t="inlineStr">
        <is>
          <t>On ne peut pas laver le costume de la fanfare à la machine à laver.</t>
        </is>
      </c>
    </row>
    <row r="92">
      <c r="A92" s="30" t="inlineStr">
        <is>
          <t>pates</t>
        </is>
      </c>
      <c r="B92" s="26">
        <f>IFERROR(INDEX(Mots!$B:$B,MATCH($A92,Mots!$A:$A,0)),"introuvable")</f>
        <v/>
      </c>
      <c r="C92" s="30" t="inlineStr">
        <is>
          <t>spaghetti, nouilles, tagliatelles, pennes, tortellini, lasagnes, gnocchi</t>
        </is>
      </c>
    </row>
    <row r="93">
      <c r="A93" s="30" t="inlineStr">
        <is>
          <t>riz</t>
        </is>
      </c>
      <c r="B93" s="26">
        <f>IFERROR(INDEX(Mots!$B:$B,MATCH($A93,Mots!$A:$A,0)),"introuvable")</f>
        <v/>
      </c>
      <c r="C93" s="30" t="inlineStr">
        <is>
          <t>du riz aux champignons - du riz aux asperges</t>
        </is>
      </c>
    </row>
    <row r="94">
      <c r="A94" s="30" t="inlineStr">
        <is>
          <t>vache</t>
        </is>
      </c>
      <c r="B94" s="26">
        <f>IFERROR(INDEX(Mots!$B:$B,MATCH($A94,Mots!$A:$A,0)),"introuvable")</f>
        <v/>
      </c>
      <c r="C94" s="30" t="inlineStr">
        <is>
          <t>La vache broute dans le pré.</t>
        </is>
      </c>
    </row>
    <row r="95">
      <c r="A95" s="30" t="inlineStr">
        <is>
          <t>cochon</t>
        </is>
      </c>
      <c r="B95" s="26">
        <f>IFERROR(INDEX(Mots!$B:$B,MATCH($A95,Mots!$A:$A,0)),"introuvable")</f>
        <v/>
      </c>
      <c r="C95" s="30" t="inlineStr">
        <is>
          <t>Le cochon se roule dans la boue.</t>
        </is>
      </c>
    </row>
    <row r="96">
      <c r="A96" s="30" t="inlineStr">
        <is>
          <t>mouton</t>
        </is>
      </c>
      <c r="B96" s="26">
        <f>IFERROR(INDEX(Mots!$B:$B,MATCH($A96,Mots!$A:$A,0)),"introuvable")</f>
        <v/>
      </c>
      <c r="C96" s="30" t="inlineStr">
        <is>
          <t>Le mouton bêle dans la ferme.</t>
        </is>
      </c>
    </row>
    <row r="97">
      <c r="A97" s="30" t="inlineStr">
        <is>
          <t>poule</t>
        </is>
      </c>
      <c r="B97" s="26">
        <f>IFERROR(INDEX(Mots!$B:$B,MATCH($A97,Mots!$A:$A,0)),"introuvable")</f>
        <v/>
      </c>
      <c r="C97" s="30" t="inlineStr">
        <is>
          <t>La poule est la femelle du coq.</t>
        </is>
      </c>
    </row>
    <row r="98">
      <c r="A98" s="30" t="inlineStr">
        <is>
          <t>chevre</t>
        </is>
      </c>
      <c r="B98" s="26">
        <f>IFERROR(INDEX(Mots!$B:$B,MATCH($A98,Mots!$A:$A,0)),"introuvable")</f>
        <v/>
      </c>
      <c r="C98" s="30" t="inlineStr">
        <is>
          <t>La chèvre de Monsieur Seguin regarde la montagne.</t>
        </is>
      </c>
    </row>
    <row r="99">
      <c r="A99" s="30" t="inlineStr">
        <is>
          <t>cheval</t>
        </is>
      </c>
      <c r="B99" s="26">
        <f>IFERROR(INDEX(Mots!$B:$B,MATCH($A99,Mots!$A:$A,0)),"introuvable")</f>
        <v/>
      </c>
      <c r="C99" s="30" t="inlineStr">
        <is>
          <t>Elle fait du cheval chaque dimanche.</t>
        </is>
      </c>
    </row>
    <row r="100">
      <c r="A100" s="30" t="inlineStr">
        <is>
          <t>chat</t>
        </is>
      </c>
      <c r="B100" s="26">
        <f>IFERROR(INDEX(Mots!$B:$B,MATCH($A100,Mots!$A:$A,0)),"introuvable")</f>
        <v/>
      </c>
      <c r="C100" s="30" t="inlineStr">
        <is>
          <t>Emma a deux chats, Bagheera le noir et le jaune et blanc.</t>
        </is>
      </c>
    </row>
    <row r="101">
      <c r="A101" s="30" t="inlineStr">
        <is>
          <t>chien</t>
        </is>
      </c>
      <c r="B101" s="26">
        <f>IFERROR(INDEX(Mots!$B:$B,MATCH($A101,Mots!$A:$A,0)),"introuvable")</f>
        <v/>
      </c>
      <c r="C101" s="30" t="inlineStr">
        <is>
          <t>La chienne de Sandrine s'appelle Naya.</t>
        </is>
      </c>
    </row>
    <row r="102">
      <c r="A102" s="30" t="inlineStr">
        <is>
          <t>lapin</t>
        </is>
      </c>
      <c r="B102" s="26">
        <f>IFERROR(INDEX(Mots!$B:$B,MATCH($A102,Mots!$A:$A,0)),"introuvable")</f>
        <v/>
      </c>
      <c r="C102" s="30" t="inlineStr">
        <is>
          <t>Le lapin mange des carottes.</t>
        </is>
      </c>
    </row>
    <row r="103">
      <c r="A103" s="30" t="inlineStr">
        <is>
          <t>souris</t>
        </is>
      </c>
      <c r="B103" s="26">
        <f>IFERROR(INDEX(Mots!$B:$B,MATCH($A103,Mots!$A:$A,0)),"introuvable")</f>
        <v/>
      </c>
      <c r="C103" s="30" t="inlineStr">
        <is>
          <t>Le chat chasse la souris.</t>
        </is>
      </c>
    </row>
    <row r="104">
      <c r="A104" s="30" t="inlineStr">
        <is>
          <t>loup</t>
        </is>
      </c>
      <c r="B104" s="26">
        <f>IFERROR(INDEX(Mots!$B:$B,MATCH($A104,Mots!$A:$A,0)),"introuvable")</f>
        <v/>
      </c>
      <c r="C104" s="30" t="inlineStr">
        <is>
          <t>J'ai aperçu un loup en me promenant.</t>
        </is>
      </c>
    </row>
    <row r="105">
      <c r="A105" s="30" t="inlineStr">
        <is>
          <t>chevreuil</t>
        </is>
      </c>
      <c r="B105" s="26">
        <f>IFERROR(INDEX(Mots!$B:$B,MATCH($A105,Mots!$A:$A,0)),"introuvable")</f>
        <v/>
      </c>
      <c r="C105" s="30" t="inlineStr">
        <is>
          <t>J'ai vu un chevreuil en me promenant vers Zamintaz</t>
        </is>
      </c>
    </row>
    <row r="106">
      <c r="A106" s="30" t="inlineStr">
        <is>
          <t>biche</t>
        </is>
      </c>
      <c r="B106" s="26">
        <f>IFERROR(INDEX(Mots!$B:$B,MATCH($A106,Mots!$A:$A,0)),"introuvable")</f>
        <v/>
      </c>
      <c r="C106" s="30" t="inlineStr">
        <is>
          <t>En dessous du village, il y a souvent des biches qui traversent la route.</t>
        </is>
      </c>
    </row>
    <row r="107">
      <c r="A107" s="30" t="inlineStr">
        <is>
          <t>cerf</t>
        </is>
      </c>
      <c r="B107" s="26">
        <f>IFERROR(INDEX(Mots!$B:$B,MATCH($A107,Mots!$A:$A,0)),"introuvable")</f>
        <v/>
      </c>
      <c r="C107" s="30" t="inlineStr">
        <is>
          <t>Un cert a heurté ma voiture et occasionné de gros dégâts.</t>
        </is>
      </c>
    </row>
    <row r="108">
      <c r="A108" s="30" t="inlineStr">
        <is>
          <t>bouquetin</t>
        </is>
      </c>
      <c r="B108" s="26">
        <f>IFERROR(INDEX(Mots!$B:$B,MATCH($A108,Mots!$A:$A,0)),"introuvable")</f>
        <v/>
      </c>
      <c r="C108" s="30" t="inlineStr">
        <is>
          <t>En me promenant dans la région de Lodze, j'ai aperçu un magnifique bouquetin.</t>
        </is>
      </c>
    </row>
    <row r="109">
      <c r="A109" s="30" t="inlineStr">
        <is>
          <t>poisson</t>
        </is>
      </c>
      <c r="B109" s="26">
        <f>IFERROR(INDEX(Mots!$B:$B,MATCH($A109,Mots!$A:$A,0)),"introuvable")</f>
        <v/>
      </c>
      <c r="C109" s="30" t="inlineStr">
        <is>
          <t>Il y a beaucoup de poissons dans cette rivière.</t>
        </is>
      </c>
    </row>
    <row r="110">
      <c r="A110" s="30" t="inlineStr">
        <is>
          <t>serpent</t>
        </is>
      </c>
      <c r="B110" s="26">
        <f>IFERROR(INDEX(Mots!$B:$B,MATCH($A110,Mots!$A:$A,0)),"introuvable")</f>
        <v/>
      </c>
      <c r="C110" s="30" t="inlineStr">
        <is>
          <t>Le serpent glisse sur le sol.</t>
        </is>
      </c>
    </row>
    <row r="111">
      <c r="A111" s="30" t="inlineStr">
        <is>
          <t>elephant</t>
        </is>
      </c>
      <c r="B111" s="26">
        <f>IFERROR(INDEX(Mots!$B:$B,MATCH($A111,Mots!$A:$A,0)),"introuvable")</f>
        <v/>
      </c>
      <c r="C111" s="30" t="inlineStr">
        <is>
          <t>L'éléphant a une très bonne mémoire.</t>
        </is>
      </c>
    </row>
    <row r="112">
      <c r="A112" s="30" t="inlineStr">
        <is>
          <t>lion</t>
        </is>
      </c>
      <c r="B112" s="26">
        <f>IFERROR(INDEX(Mots!$B:$B,MATCH($A112,Mots!$A:$A,0)),"introuvable")</f>
        <v/>
      </c>
      <c r="C112" s="30" t="inlineStr">
        <is>
          <t>Le lion rugit dans la savane.</t>
        </is>
      </c>
    </row>
    <row r="113">
      <c r="A113" s="30" t="inlineStr">
        <is>
          <t>tigre</t>
        </is>
      </c>
      <c r="B113" s="26">
        <f>IFERROR(INDEX(Mots!$B:$B,MATCH($A113,Mots!$A:$A,0)),"introuvable")</f>
        <v/>
      </c>
      <c r="C113" s="30" t="inlineStr">
        <is>
          <t>Le tigre est un animal en danger.</t>
        </is>
      </c>
    </row>
    <row r="114">
      <c r="A114" s="30" t="inlineStr">
        <is>
          <t>sucre</t>
        </is>
      </c>
      <c r="B114" s="26">
        <f>IFERROR(INDEX(Mots!$B:$B,MATCH($A114,Mots!$A:$A,0)),"introuvable")</f>
        <v/>
      </c>
      <c r="C114" s="30" t="inlineStr">
        <is>
          <t>Un café avec deux sucres, s'il vous plaît.</t>
        </is>
      </c>
    </row>
    <row r="115">
      <c r="A115" s="30" t="inlineStr">
        <is>
          <t>sel</t>
        </is>
      </c>
      <c r="B115" s="26">
        <f>IFERROR(INDEX(Mots!$B:$B,MATCH($A115,Mots!$A:$A,0)),"introuvable")</f>
        <v/>
      </c>
      <c r="C115" s="30" t="inlineStr">
        <is>
          <t>Passe-moi le sel, s'il te plaît.</t>
        </is>
      </c>
    </row>
    <row r="116">
      <c r="A116" s="30" t="inlineStr">
        <is>
          <t>poivre</t>
        </is>
      </c>
      <c r="B116" s="26">
        <f>IFERROR(INDEX(Mots!$B:$B,MATCH($A116,Mots!$A:$A,0)),"introuvable")</f>
        <v/>
      </c>
      <c r="C116" s="30" t="inlineStr">
        <is>
          <t>On met du poivre dans la fondue.</t>
        </is>
      </c>
    </row>
    <row r="117">
      <c r="A117" s="30" t="inlineStr">
        <is>
          <t>arome_maggy</t>
        </is>
      </c>
      <c r="B117" s="26">
        <f>IFERROR(INDEX(Mots!$B:$B,MATCH($A117,Mots!$A:$A,0)),"introuvable")</f>
        <v/>
      </c>
      <c r="C117" s="30" t="inlineStr">
        <is>
          <t>Germaine met de l'arôme Maggy dans la sauce à salade.</t>
        </is>
      </c>
    </row>
    <row r="118">
      <c r="A118" s="30" t="inlineStr">
        <is>
          <t>curry</t>
        </is>
      </c>
      <c r="B118" s="26">
        <f>IFERROR(INDEX(Mots!$B:$B,MATCH($A118,Mots!$A:$A,0)),"introuvable")</f>
        <v/>
      </c>
      <c r="C118" s="30" t="inlineStr">
        <is>
          <t>Je fais du poulet au curry.</t>
        </is>
      </c>
    </row>
    <row r="119">
      <c r="A119" s="30" t="inlineStr">
        <is>
          <t>carte_débit</t>
        </is>
      </c>
      <c r="B119" s="26">
        <f>IFERROR(INDEX(Mots!$B:$B,MATCH($A119,Mots!$A:$A,0)),"introuvable")</f>
        <v/>
      </c>
      <c r="C119" s="30" t="inlineStr">
        <is>
          <t>Ma carte de débit ne marche plus.</t>
        </is>
      </c>
    </row>
    <row r="120">
      <c r="A120" s="30" t="inlineStr">
        <is>
          <t>eglise</t>
        </is>
      </c>
      <c r="B120" s="26">
        <f>IFERROR(INDEX(Mots!$B:$B,MATCH($A120,Mots!$A:$A,0)),"introuvable")</f>
        <v/>
      </c>
      <c r="C120" s="30" t="inlineStr">
        <is>
          <t>L'église du village date du XIIe siècle.</t>
        </is>
      </c>
    </row>
    <row r="121">
      <c r="A121" s="30" t="inlineStr">
        <is>
          <t>gare</t>
        </is>
      </c>
      <c r="B121" s="26">
        <f>IFERROR(INDEX(Mots!$B:$B,MATCH($A121,Mots!$A:$A,0)),"introuvable")</f>
        <v/>
      </c>
      <c r="C121" s="30" t="inlineStr">
        <is>
          <t>Le train part de la gare à 14h.</t>
        </is>
      </c>
    </row>
    <row r="122">
      <c r="A122" s="30" t="inlineStr">
        <is>
          <t>aeroport</t>
        </is>
      </c>
      <c r="B122" s="26">
        <f>IFERROR(INDEX(Mots!$B:$B,MATCH($A122,Mots!$A:$A,0)),"introuvable")</f>
        <v/>
      </c>
      <c r="C122" s="30" t="inlineStr">
        <is>
          <t>L'avion arrive à l'aéroport à 18h.</t>
        </is>
      </c>
    </row>
    <row r="123">
      <c r="A123" s="30" t="inlineStr">
        <is>
          <t>musee</t>
        </is>
      </c>
      <c r="B123" s="26">
        <f>IFERROR(INDEX(Mots!$B:$B,MATCH($A123,Mots!$A:$A,0)),"introuvable")</f>
        <v/>
      </c>
      <c r="C123" s="30" t="inlineStr">
        <is>
          <t>Le Louvre est le musée le plus visité au monde.</t>
        </is>
      </c>
    </row>
    <row r="124">
      <c r="A124" s="30" t="inlineStr">
        <is>
          <t>biere_limonade</t>
        </is>
      </c>
      <c r="B124" s="26">
        <f>IFERROR(INDEX(Mots!$B:$B,MATCH($A124,Mots!$A:$A,0)),"introuvable")</f>
        <v/>
      </c>
      <c r="C124" s="30" t="inlineStr">
        <is>
          <t>Une bière Heineken ou une bière valaisanne qu'on peut mélanger avec de la limonade ou pas.</t>
        </is>
      </c>
    </row>
    <row r="125">
      <c r="A125" s="30" t="inlineStr">
        <is>
          <t>verre_de_vin_rouge</t>
        </is>
      </c>
      <c r="B125" s="26">
        <f>IFERROR(INDEX(Mots!$B:$B,MATCH($A125,Mots!$A:$A,0)),"introuvable")</f>
        <v/>
      </c>
      <c r="C125" s="30" t="inlineStr">
        <is>
          <t>Le gamay, le pinot, le cornalin et le merlot sont des cépages de vins rouge.</t>
        </is>
      </c>
    </row>
    <row r="126">
      <c r="A126" s="30" t="inlineStr">
        <is>
          <t>verre_de_vin_blanc</t>
        </is>
      </c>
      <c r="B126" s="26">
        <f>IFERROR(INDEX(Mots!$B:$B,MATCH($A126,Mots!$A:$A,0)),"introuvable")</f>
        <v/>
      </c>
      <c r="C126" s="30" t="inlineStr">
        <is>
          <t>Le fendant, le païen, la petite arvine, le johannisberg sont des cépages de vins blancs</t>
        </is>
      </c>
    </row>
    <row r="127">
      <c r="A127" s="30" t="inlineStr">
        <is>
          <t>suze_henniez</t>
        </is>
      </c>
      <c r="B127" s="26">
        <f>IFERROR(INDEX(Mots!$B:$B,MATCH($A127,Mots!$A:$A,0)),"introuvable")</f>
        <v/>
      </c>
      <c r="C127" s="30" t="inlineStr">
        <is>
          <t>Une suze henniez à boire en fin de journée au Festival.</t>
        </is>
      </c>
    </row>
    <row r="128">
      <c r="A128" s="30" t="inlineStr">
        <is>
          <t>eau_minerale</t>
        </is>
      </c>
      <c r="B128" s="26">
        <f>IFERROR(INDEX(Mots!$B:$B,MATCH($A128,Mots!$A:$A,0)),"introuvable")</f>
        <v/>
      </c>
      <c r="C128" s="30" t="inlineStr">
        <is>
          <t>J'aimerais boire de l'eau minérale.</t>
        </is>
      </c>
    </row>
    <row r="129">
      <c r="A129" s="30" t="inlineStr">
        <is>
          <t>henniez_cassis</t>
        </is>
      </c>
      <c r="B129" s="26">
        <f>IFERROR(INDEX(Mots!$B:$B,MATCH($A129,Mots!$A:$A,0)),"introuvable")</f>
        <v/>
      </c>
      <c r="C129" s="30" t="inlineStr">
        <is>
          <t>Je prends un henniez cassis s'il te plaît.</t>
        </is>
      </c>
    </row>
    <row r="130">
      <c r="A130" s="30" t="inlineStr">
        <is>
          <t>coca_cola</t>
        </is>
      </c>
      <c r="B130" s="26">
        <f>IFERROR(INDEX(Mots!$B:$B,MATCH($A130,Mots!$A:$A,0)),"introuvable")</f>
        <v/>
      </c>
      <c r="C130" s="30" t="inlineStr">
        <is>
          <t>Un Coca Cola normal.</t>
        </is>
      </c>
    </row>
    <row r="131">
      <c r="A131" s="30" t="inlineStr">
        <is>
          <t>grapefruit</t>
        </is>
      </c>
      <c r="B131" s="26">
        <f>IFERROR(INDEX(Mots!$B:$B,MATCH($A131,Mots!$A:$A,0)),"introuvable")</f>
        <v/>
      </c>
      <c r="C131" s="30" t="inlineStr">
        <is>
          <t>La marque Pepita propose un grapefruit que l'on trouve à la Migros.</t>
        </is>
      </c>
    </row>
    <row r="132">
      <c r="A132" s="30" t="inlineStr">
        <is>
          <t>jus_de_pomme</t>
        </is>
      </c>
      <c r="B132" s="26">
        <f>IFERROR(INDEX(Mots!$B:$B,MATCH($A132,Mots!$A:$A,0)),"introuvable")</f>
        <v/>
      </c>
      <c r="C132" s="30" t="inlineStr">
        <is>
          <t>A boire dans la journée quand on a soif.</t>
        </is>
      </c>
    </row>
    <row r="133">
      <c r="A133" s="30" t="inlineStr">
        <is>
          <t>jus_dorange</t>
        </is>
      </c>
      <c r="B133" s="26">
        <f>IFERROR(INDEX(Mots!$B:$B,MATCH($A133,Mots!$A:$A,0)),"introuvable")</f>
        <v/>
      </c>
      <c r="C133" s="30" t="inlineStr">
        <is>
          <t>Je bois un jus d'orange à déjeûner.</t>
        </is>
      </c>
    </row>
    <row r="134">
      <c r="A134" s="30" t="inlineStr">
        <is>
          <t>sprite</t>
        </is>
      </c>
      <c r="B134" s="26">
        <f>IFERROR(INDEX(Mots!$B:$B,MATCH($A134,Mots!$A:$A,0)),"introuvable")</f>
        <v/>
      </c>
      <c r="C134" s="30" t="inlineStr">
        <is>
          <t>On en trouve dans un bistrot ou à la Migros ou à la Coop.</t>
        </is>
      </c>
    </row>
    <row r="135">
      <c r="A135" s="30" t="inlineStr">
        <is>
          <t>sirop</t>
        </is>
      </c>
      <c r="B135" s="26">
        <f>IFERROR(INDEX(Mots!$B:$B,MATCH($A135,Mots!$A:$A,0)),"introuvable")</f>
        <v/>
      </c>
      <c r="C135" s="30" t="inlineStr">
        <is>
          <t>Du sirop d'orange ou du sirop aux fruits exotiques</t>
        </is>
      </c>
    </row>
    <row r="136">
      <c r="A136" s="30" t="inlineStr">
        <is>
          <t>baskets</t>
        </is>
      </c>
      <c r="B136" s="26">
        <f>IFERROR(INDEX(Mots!$B:$B,MATCH($A136,Mots!$A:$A,0)),"introuvable")</f>
        <v/>
      </c>
      <c r="C136" s="30" t="inlineStr">
        <is>
          <t>On dit aussi des sneakers.</t>
        </is>
      </c>
    </row>
    <row r="137">
      <c r="A137" s="30" t="inlineStr">
        <is>
          <t>souliers</t>
        </is>
      </c>
      <c r="B137" s="26">
        <f>IFERROR(INDEX(Mots!$B:$B,MATCH($A137,Mots!$A:$A,0)),"introuvable")</f>
        <v/>
      </c>
      <c r="C137" s="30" t="inlineStr">
        <is>
          <t>des souliers avec semelle en cuir.</t>
        </is>
      </c>
    </row>
    <row r="138">
      <c r="A138" s="30" t="inlineStr">
        <is>
          <t>bottillons</t>
        </is>
      </c>
      <c r="B138" s="26">
        <f>IFERROR(INDEX(Mots!$B:$B,MATCH($A138,Mots!$A:$A,0)),"introuvable")</f>
        <v/>
      </c>
      <c r="C138" s="30" t="inlineStr">
        <is>
          <t>Je porte des botillons l'hiver pour avoir chaud aux pieds.</t>
        </is>
      </c>
    </row>
    <row r="139">
      <c r="A139" s="30" t="inlineStr">
        <is>
          <t>viande</t>
        </is>
      </c>
      <c r="B139" s="26">
        <f>IFERROR(INDEX(Mots!$B:$B,MATCH($A139,Mots!$A:$A,0)),"introuvable")</f>
        <v/>
      </c>
      <c r="C139" s="30" t="inlineStr">
        <is>
          <t>Elle ne mange pas de viande.</t>
        </is>
      </c>
    </row>
    <row r="140">
      <c r="A140" s="30" t="inlineStr">
        <is>
          <t>lait</t>
        </is>
      </c>
      <c r="B140" s="26">
        <f>IFERROR(INDEX(Mots!$B:$B,MATCH($A140,Mots!$A:$A,0)),"introuvable")</f>
        <v/>
      </c>
      <c r="C140" s="30" t="inlineStr">
        <is>
          <t>Il boit du lait chaque matin.</t>
        </is>
      </c>
    </row>
    <row r="141">
      <c r="A141" s="30" t="inlineStr">
        <is>
          <t>huile</t>
        </is>
      </c>
      <c r="B141" s="26">
        <f>IFERROR(INDEX(Mots!$B:$B,MATCH($A141,Mots!$A:$A,0)),"introuvable")</f>
        <v/>
      </c>
      <c r="C141" s="30" t="inlineStr">
        <is>
          <t>Il fait cuire les légumes dans l'huile d'olive.</t>
        </is>
      </c>
    </row>
    <row r="142">
      <c r="A142" s="30" t="inlineStr">
        <is>
          <t>oeuf</t>
        </is>
      </c>
      <c r="B142" s="26">
        <f>IFERROR(INDEX(Mots!$B:$B,MATCH($A142,Mots!$A:$A,0)),"introuvable")</f>
        <v/>
      </c>
      <c r="C142" s="30" t="inlineStr">
        <is>
          <t>Faire cuire un œuf pour obtenir un œuf cuit dur.</t>
        </is>
      </c>
    </row>
    <row r="143">
      <c r="A143" s="30" t="inlineStr">
        <is>
          <t>gateau</t>
        </is>
      </c>
      <c r="B143" s="26">
        <f>IFERROR(INDEX(Mots!$B:$B,MATCH($A143,Mots!$A:$A,0)),"introuvable")</f>
        <v/>
      </c>
      <c r="C143" s="30" t="inlineStr">
        <is>
          <t>Elle prépare un gâteau pour son anniversaire.</t>
        </is>
      </c>
    </row>
    <row r="144">
      <c r="A144" s="30" t="inlineStr">
        <is>
          <t>foret</t>
        </is>
      </c>
      <c r="B144" s="26">
        <f>IFERROR(INDEX(Mots!$B:$B,MATCH($A144,Mots!$A:$A,0)),"introuvable")</f>
        <v/>
      </c>
      <c r="C144" s="30" t="inlineStr">
        <is>
          <t>La forêt amazonienne est immense.</t>
        </is>
      </c>
    </row>
    <row r="145">
      <c r="A145" s="30" t="inlineStr">
        <is>
          <t>mer</t>
        </is>
      </c>
      <c r="B145" s="26">
        <f>IFERROR(INDEX(Mots!$B:$B,MATCH($A145,Mots!$A:$A,0)),"introuvable")</f>
        <v/>
      </c>
      <c r="C145" s="30" t="inlineStr">
        <is>
          <t>Ils passent leurs vacances à la mer.</t>
        </is>
      </c>
    </row>
    <row r="146">
      <c r="A146" s="30" t="inlineStr">
        <is>
          <t>montagne</t>
        </is>
      </c>
      <c r="B146" s="26">
        <f>IFERROR(INDEX(Mots!$B:$B,MATCH($A146,Mots!$A:$A,0)),"introuvable")</f>
        <v/>
      </c>
      <c r="C146" s="30" t="inlineStr">
        <is>
          <t>Ils font du ski à la montagne.</t>
        </is>
      </c>
    </row>
    <row r="147">
      <c r="A147" s="30" t="inlineStr">
        <is>
          <t>riviere</t>
        </is>
      </c>
      <c r="B147" s="26">
        <f>IFERROR(INDEX(Mots!$B:$B,MATCH($A147,Mots!$A:$A,0)),"introuvable")</f>
        <v/>
      </c>
      <c r="C147" s="30" t="inlineStr">
        <is>
          <t>Les enfants pêchent dans la rivière.</t>
        </is>
      </c>
    </row>
    <row r="148">
      <c r="A148" s="30" t="inlineStr">
        <is>
          <t>rocher</t>
        </is>
      </c>
      <c r="B148" s="26">
        <f>IFERROR(INDEX(Mots!$B:$B,MATCH($A148,Mots!$A:$A,0)),"introuvable")</f>
        <v/>
      </c>
      <c r="C148" s="30" t="inlineStr">
        <is>
          <t>De gros rochers sont tombés sur la route de Derborence cette année.</t>
        </is>
      </c>
    </row>
    <row r="149">
      <c r="A149" s="30" t="inlineStr">
        <is>
          <t>p_lune</t>
        </is>
      </c>
      <c r="B149" s="26">
        <f>IFERROR(INDEX(Mots!$B:$B,MATCH($A149,Mots!$A:$A,0)),"introuvable")</f>
        <v/>
      </c>
      <c r="C149" s="30" t="inlineStr">
        <is>
          <t>La pleine lune éclaire la nuit.</t>
        </is>
      </c>
    </row>
    <row r="150">
      <c r="A150" s="30" t="inlineStr">
        <is>
          <t>e_terre</t>
        </is>
      </c>
      <c r="B150" s="26">
        <f>IFERROR(INDEX(Mots!$B:$B,MATCH($A150,Mots!$A:$A,0)),"introuvable")</f>
        <v/>
      </c>
      <c r="C150" s="30" t="inlineStr">
        <is>
          <t>La graine pousse dans la terre.</t>
        </is>
      </c>
    </row>
    <row r="151">
      <c r="A151" s="30" t="inlineStr">
        <is>
          <t>ciel</t>
        </is>
      </c>
      <c r="B151" s="26">
        <f>IFERROR(INDEX(Mots!$B:$B,MATCH($A151,Mots!$A:$A,0)),"introuvable")</f>
        <v/>
      </c>
      <c r="C151" s="30" t="inlineStr">
        <is>
          <t>Le ciel est bleu aujourd'hui.</t>
        </is>
      </c>
    </row>
    <row r="152">
      <c r="A152" s="30" t="inlineStr">
        <is>
          <t>feu</t>
        </is>
      </c>
      <c r="B152" s="26">
        <f>IFERROR(INDEX(Mots!$B:$B,MATCH($A152,Mots!$A:$A,0)),"introuvable")</f>
        <v/>
      </c>
      <c r="C152" s="30" t="inlineStr">
        <is>
          <t>Il fait froid, allume le feu.</t>
        </is>
      </c>
    </row>
    <row r="153">
      <c r="A153" s="30" t="inlineStr">
        <is>
          <t>soleil</t>
        </is>
      </c>
      <c r="B153" s="26">
        <f>IFERROR(INDEX(Mots!$B:$B,MATCH($A153,Mots!$A:$A,0)),"introuvable")</f>
        <v/>
      </c>
      <c r="C153" s="30" t="inlineStr">
        <is>
          <t>Le soleil se lève à l'est et se couche à l'ouest.</t>
        </is>
      </c>
    </row>
    <row r="154">
      <c r="A154" s="30" t="inlineStr">
        <is>
          <t>eau</t>
        </is>
      </c>
      <c r="B154" s="26">
        <f>IFERROR(INDEX(Mots!$B:$B,MATCH($A154,Mots!$A:$A,0)),"introuvable")</f>
        <v/>
      </c>
      <c r="C154" s="30" t="inlineStr">
        <is>
          <t>Bois de l'eau, tu as soif. Une chute d'eau</t>
        </is>
      </c>
    </row>
    <row r="155">
      <c r="A155" s="30" t="inlineStr">
        <is>
          <t>incendie</t>
        </is>
      </c>
      <c r="B155" s="26">
        <f>IFERROR(INDEX(Mots!$B:$B,MATCH($A155,Mots!$A:$A,0)),"introuvable")</f>
        <v/>
      </c>
      <c r="C155" s="30" t="inlineStr">
        <is>
          <t>Un incendie a ravagé la forêt.</t>
        </is>
      </c>
    </row>
    <row r="156">
      <c r="A156" s="30" t="inlineStr">
        <is>
          <t>colere</t>
        </is>
      </c>
      <c r="B156" s="26">
        <f>IFERROR(INDEX(Mots!$B:$B,MATCH($A156,Mots!$A:$A,0)),"introuvable")</f>
        <v/>
      </c>
      <c r="C156" s="30" t="inlineStr">
        <is>
          <t>Elle est en colère contre son frère.</t>
        </is>
      </c>
    </row>
    <row r="157">
      <c r="A157" s="30" t="inlineStr">
        <is>
          <t>peur</t>
        </is>
      </c>
      <c r="B157" s="26">
        <f>IFERROR(INDEX(Mots!$B:$B,MATCH($A157,Mots!$A:$A,0)),"introuvable")</f>
        <v/>
      </c>
      <c r="C157" s="30" t="inlineStr">
        <is>
          <t>Il a peur du noir.</t>
        </is>
      </c>
    </row>
    <row r="158">
      <c r="A158" s="30" t="inlineStr">
        <is>
          <t>solitude</t>
        </is>
      </c>
      <c r="B158" s="26">
        <f>IFERROR(INDEX(Mots!$B:$B,MATCH($A158,Mots!$A:$A,0)),"introuvable")</f>
        <v/>
      </c>
      <c r="C158" s="30" t="inlineStr">
        <is>
          <t>Il supporte mal la solitude.</t>
        </is>
      </c>
    </row>
    <row r="159">
      <c r="A159" s="30" t="inlineStr">
        <is>
          <t>tristesse</t>
        </is>
      </c>
      <c r="B159" s="26">
        <f>IFERROR(INDEX(Mots!$B:$B,MATCH($A159,Mots!$A:$A,0)),"introuvable")</f>
        <v/>
      </c>
      <c r="C159" s="30" t="inlineStr">
        <is>
          <t>Sa tristesse est visible sur son visage.</t>
        </is>
      </c>
    </row>
    <row r="160">
      <c r="A160" s="30" t="inlineStr">
        <is>
          <t>confiance</t>
        </is>
      </c>
      <c r="B160" s="26">
        <f>IFERROR(INDEX(Mots!$B:$B,MATCH($A160,Mots!$A:$A,0)),"introuvable")</f>
        <v/>
      </c>
      <c r="C160" s="30" t="inlineStr">
        <is>
          <t>Elle a confiance en ses enfants.</t>
        </is>
      </c>
    </row>
    <row r="161">
      <c r="A161" s="30" t="inlineStr">
        <is>
          <t>fierte</t>
        </is>
      </c>
      <c r="B161" s="26">
        <f>IFERROR(INDEX(Mots!$B:$B,MATCH($A161,Mots!$A:$A,0)),"introuvable")</f>
        <v/>
      </c>
      <c r="C161" s="30" t="inlineStr">
        <is>
          <t>Elle est fière de ses enfants.</t>
        </is>
      </c>
    </row>
    <row r="162">
      <c r="A162" s="30" t="inlineStr">
        <is>
          <t>gratitude</t>
        </is>
      </c>
      <c r="B162" s="26">
        <f>IFERROR(INDEX(Mots!$B:$B,MATCH($A162,Mots!$A:$A,0)),"introuvable")</f>
        <v/>
      </c>
      <c r="C162" s="30" t="inlineStr">
        <is>
          <t>Elle exprime sa gratitude à ses amis.</t>
        </is>
      </c>
    </row>
    <row r="163">
      <c r="A163" s="30" t="inlineStr">
        <is>
          <t>joie</t>
        </is>
      </c>
      <c r="B163" s="26">
        <f>IFERROR(INDEX(Mots!$B:$B,MATCH($A163,Mots!$A:$A,0)),"introuvable")</f>
        <v/>
      </c>
      <c r="C163" s="30" t="inlineStr">
        <is>
          <t>Elle pleure de joie à la naissance de son bébé.</t>
        </is>
      </c>
    </row>
    <row r="164">
      <c r="A164" s="30" t="inlineStr">
        <is>
          <t>surprise</t>
        </is>
      </c>
      <c r="B164" s="26">
        <f>IFERROR(INDEX(Mots!$B:$B,MATCH($A164,Mots!$A:$A,0)),"introuvable")</f>
        <v/>
      </c>
      <c r="C164" s="30" t="inlineStr">
        <is>
          <t>Quelle surprise de vous voir ici !</t>
        </is>
      </c>
    </row>
    <row r="165">
      <c r="A165" s="30" t="inlineStr">
        <is>
          <t>amour</t>
        </is>
      </c>
      <c r="B165" s="26">
        <f>IFERROR(INDEX(Mots!$B:$B,MATCH($A165,Mots!$A:$A,0)),"introuvable")</f>
        <v/>
      </c>
      <c r="C165" s="30" t="inlineStr">
        <is>
          <t>L'amour rend la vie plus belle.</t>
        </is>
      </c>
    </row>
    <row r="166">
      <c r="A166" s="30" t="inlineStr">
        <is>
          <t>bonheur</t>
        </is>
      </c>
      <c r="B166" s="26">
        <f>IFERROR(INDEX(Mots!$B:$B,MATCH($A166,Mots!$A:$A,0)),"introuvable")</f>
        <v/>
      </c>
      <c r="C166" s="30" t="inlineStr">
        <is>
          <t>Le bonheur est dans les petites choses.</t>
        </is>
      </c>
    </row>
    <row r="167">
      <c r="A167" s="30" t="inlineStr">
        <is>
          <t>courage</t>
        </is>
      </c>
      <c r="B167" s="26">
        <f>IFERROR(INDEX(Mots!$B:$B,MATCH($A167,Mots!$A:$A,0)),"introuvable")</f>
        <v/>
      </c>
      <c r="C167" s="30" t="inlineStr">
        <is>
          <t>Il faut du courage pour changer de vie.</t>
        </is>
      </c>
    </row>
    <row r="168">
      <c r="A168" s="30" t="inlineStr">
        <is>
          <t>reve</t>
        </is>
      </c>
      <c r="B168" s="26">
        <f>IFERROR(INDEX(Mots!$B:$B,MATCH($A168,Mots!$A:$A,0)),"introuvable")</f>
        <v/>
      </c>
      <c r="C168" s="30" t="inlineStr">
        <is>
          <t>Je rêve de faire un solo sur la lune</t>
        </is>
      </c>
      <c r="D168" s="30" t="inlineStr">
        <is>
          <t>Je rêve de faire le tour du monde.</t>
        </is>
      </c>
    </row>
    <row r="169">
      <c r="A169" s="30" t="inlineStr">
        <is>
          <t>espoir</t>
        </is>
      </c>
      <c r="B169" s="26">
        <f>IFERROR(INDEX(Mots!$B:$B,MATCH($A169,Mots!$A:$A,0)),"introuvable")</f>
        <v/>
      </c>
      <c r="C169" s="30" t="inlineStr">
        <is>
          <t>Il garde espoir malgré les difficultés.</t>
        </is>
      </c>
    </row>
    <row r="170">
      <c r="A170" s="30" t="inlineStr">
        <is>
          <t>argent</t>
        </is>
      </c>
      <c r="B170" s="26">
        <f>IFERROR(INDEX(Mots!$B:$B,MATCH($A170,Mots!$A:$A,0)),"introuvable")</f>
        <v/>
      </c>
      <c r="C170" s="30" t="inlineStr">
        <is>
          <t>Il gagne bien sa vie.</t>
        </is>
      </c>
    </row>
    <row r="171">
      <c r="A171" s="30" t="inlineStr">
        <is>
          <t>salaire</t>
        </is>
      </c>
      <c r="B171" s="26">
        <f>IFERROR(INDEX(Mots!$B:$B,MATCH($A171,Mots!$A:$A,0)),"introuvable")</f>
        <v/>
      </c>
      <c r="C171" s="30" t="inlineStr">
        <is>
          <t>Son salaire a augmenté cette année.</t>
        </is>
      </c>
    </row>
    <row r="172">
      <c r="A172" s="30" t="inlineStr">
        <is>
          <t>fruit</t>
        </is>
      </c>
      <c r="B172" s="26">
        <f>IFERROR(INDEX(Mots!$B:$B,MATCH($A172,Mots!$A:$A,0)),"introuvable")</f>
        <v/>
      </c>
      <c r="C172" s="30" t="inlineStr">
        <is>
          <t>Mange un fruit après le repas.</t>
        </is>
      </c>
    </row>
    <row r="173">
      <c r="A173" s="30" t="inlineStr">
        <is>
          <t>batterie</t>
        </is>
      </c>
      <c r="B173" s="26">
        <f>IFERROR(INDEX(Mots!$B:$B,MATCH($A173,Mots!$A:$A,0)),"introuvable")</f>
        <v/>
      </c>
      <c r="C173" s="30" t="inlineStr">
        <is>
          <t>La batterie donne le rythme à la musique.</t>
        </is>
      </c>
    </row>
    <row r="174">
      <c r="A174" s="30" t="inlineStr">
        <is>
          <t>grosse_caisse</t>
        </is>
      </c>
      <c r="B174" s="26">
        <f>IFERROR(INDEX(Mots!$B:$B,MATCH($A174,Mots!$A:$A,0)),"introuvable")</f>
        <v/>
      </c>
      <c r="C174" s="30" t="inlineStr">
        <is>
          <t>Mathéo joue de la grosse caisse à la fanfare.</t>
        </is>
      </c>
    </row>
    <row r="175">
      <c r="A175" s="30" t="inlineStr">
        <is>
          <t>cymbales</t>
        </is>
      </c>
      <c r="B175" s="26">
        <f>IFERROR(INDEX(Mots!$B:$B,MATCH($A175,Mots!$A:$A,0)),"introuvable")</f>
        <v/>
      </c>
      <c r="C175" s="30" t="inlineStr">
        <is>
          <t>Le cymbaliste joue des cymbales.</t>
        </is>
      </c>
    </row>
    <row r="176">
      <c r="A176" s="30" t="inlineStr">
        <is>
          <t>timbales</t>
        </is>
      </c>
      <c r="B176" s="26">
        <f>IFERROR(INDEX(Mots!$B:$B,MATCH($A176,Mots!$A:$A,0)),"introuvable")</f>
        <v/>
      </c>
      <c r="C176" s="30" t="inlineStr">
        <is>
          <t>Il y a 4 timbales que l'on joue avec des baguettes.</t>
        </is>
      </c>
    </row>
    <row r="177">
      <c r="A177" s="30" t="inlineStr">
        <is>
          <t>xylophone</t>
        </is>
      </c>
      <c r="B177" s="26">
        <f>IFERROR(INDEX(Mots!$B:$B,MATCH($A177,Mots!$A:$A,0)),"introuvable")</f>
        <v/>
      </c>
      <c r="C177" s="30" t="inlineStr">
        <is>
          <t>Le xylphone a un clavier avec des touches en bois.</t>
        </is>
      </c>
    </row>
    <row r="178">
      <c r="A178" s="30" t="inlineStr">
        <is>
          <t>vibraphone</t>
        </is>
      </c>
      <c r="B178" s="26">
        <f>IFERROR(INDEX(Mots!$B:$B,MATCH($A178,Mots!$A:$A,0)),"introuvable")</f>
        <v/>
      </c>
      <c r="C178" s="30" t="inlineStr">
        <is>
          <t>Le xylophone a des touches en bois, le vibraphone des touches en métal.</t>
        </is>
      </c>
    </row>
    <row r="179">
      <c r="A179" s="30" t="inlineStr">
        <is>
          <t>marimba</t>
        </is>
      </c>
      <c r="B179" s="26">
        <f>IFERROR(INDEX(Mots!$B:$B,MATCH($A179,Mots!$A:$A,0)),"introuvable")</f>
        <v/>
      </c>
      <c r="C179" s="30" t="inlineStr">
        <is>
          <t>Le marimba produit des sons graves, le xylphone des sons aigus.</t>
        </is>
      </c>
    </row>
    <row r="180">
      <c r="A180" s="30" t="inlineStr">
        <is>
          <t>cornet</t>
        </is>
      </c>
      <c r="B180" s="26">
        <f>IFERROR(INDEX(Mots!$B:$B,MATCH($A180,Mots!$A:$A,0)),"introuvable")</f>
        <v/>
      </c>
      <c r="C180" s="30" t="inlineStr">
        <is>
          <t>Mathilde joue du cornet. Elle est notre cornet principale.</t>
        </is>
      </c>
    </row>
    <row r="181">
      <c r="A181" s="30" t="inlineStr">
        <is>
          <t>bugle</t>
        </is>
      </c>
      <c r="B181" s="26">
        <f>IFERROR(INDEX(Mots!$B:$B,MATCH($A181,Mots!$A:$A,0)),"introuvable")</f>
        <v/>
      </c>
      <c r="C181" s="30" t="inlineStr">
        <is>
          <t>Emilie joue du bugle, elle est notre bugle.</t>
        </is>
      </c>
    </row>
    <row r="182">
      <c r="A182" s="30" t="inlineStr">
        <is>
          <t>alto</t>
        </is>
      </c>
      <c r="B182" s="26">
        <f>IFERROR(INDEX(Mots!$B:$B,MATCH($A182,Mots!$A:$A,0)),"introuvable")</f>
        <v/>
      </c>
      <c r="C182" s="30" t="inlineStr">
        <is>
          <t>David joue de l'alto. C'est notre alto principal.</t>
        </is>
      </c>
    </row>
    <row r="183">
      <c r="A183" s="30" t="inlineStr">
        <is>
          <t>baryton</t>
        </is>
      </c>
      <c r="B183" s="26">
        <f>IFERROR(INDEX(Mots!$B:$B,MATCH($A183,Mots!$A:$A,0)),"introuvable")</f>
        <v/>
      </c>
      <c r="C183" s="30" t="inlineStr">
        <is>
          <t>Emma joue du baryton. C'est notre 1er baryton</t>
        </is>
      </c>
    </row>
    <row r="184">
      <c r="A184" s="30" t="inlineStr">
        <is>
          <t>euphonium</t>
        </is>
      </c>
      <c r="B184" s="26">
        <f>IFERROR(INDEX(Mots!$B:$B,MATCH($A184,Mots!$A:$A,0)),"introuvable")</f>
        <v/>
      </c>
      <c r="C184" s="30" t="inlineStr">
        <is>
          <t>Patrick Roh joue de l'euphonium. C'est notre euphonium principal</t>
        </is>
      </c>
    </row>
    <row r="185">
      <c r="A185" s="30" t="inlineStr">
        <is>
          <t>basse</t>
        </is>
      </c>
      <c r="B185" s="26">
        <f>IFERROR(INDEX(Mots!$B:$B,MATCH($A185,Mots!$A:$A,0)),"introuvable")</f>
        <v/>
      </c>
      <c r="C185" s="30" t="inlineStr">
        <is>
          <t>Jacques-Henri joue de la basse Sib et Simon Dessimoz de la basse Mib</t>
        </is>
      </c>
    </row>
    <row r="186">
      <c r="A186" s="30" t="inlineStr">
        <is>
          <t>trombone</t>
        </is>
      </c>
      <c r="B186" s="26">
        <f>IFERROR(INDEX(Mots!$B:$B,MATCH($A186,Mots!$A:$A,0)),"introuvable")</f>
        <v/>
      </c>
      <c r="C186" s="30" t="inlineStr">
        <is>
          <t>Julien, mon fils, joue du trombone. C'est notre trombone principal</t>
        </is>
      </c>
    </row>
    <row r="187">
      <c r="A187" s="30" t="inlineStr">
        <is>
          <t>legume</t>
        </is>
      </c>
      <c r="B187" s="26">
        <f>IFERROR(INDEX(Mots!$B:$B,MATCH($A187,Mots!$A:$A,0)),"introuvable")</f>
        <v/>
      </c>
      <c r="C187" s="30" t="inlineStr">
        <is>
          <t>Il faut manger des légumes tous les jours.</t>
        </is>
      </c>
    </row>
    <row r="188">
      <c r="A188" s="30" t="inlineStr">
        <is>
          <t>pommes_de_terre</t>
        </is>
      </c>
      <c r="B188" s="26">
        <f>IFERROR(INDEX(Mots!$B:$B,MATCH($A188,Mots!$A:$A,0)),"introuvable")</f>
        <v/>
      </c>
      <c r="C188" s="30" t="inlineStr">
        <is>
          <t>pomme de terre, frites, gratin, pommes croquette</t>
        </is>
      </c>
    </row>
    <row r="189">
      <c r="A189" s="30" t="inlineStr">
        <is>
          <t>carotte</t>
        </is>
      </c>
      <c r="B189" s="26">
        <f>IFERROR(INDEX(Mots!$B:$B,MATCH($A189,Mots!$A:$A,0)),"introuvable")</f>
        <v/>
      </c>
      <c r="C189" s="30" t="inlineStr">
        <is>
          <t>Les lapins adorent les carottes.</t>
        </is>
      </c>
    </row>
    <row r="190">
      <c r="A190" s="30" t="inlineStr">
        <is>
          <t>tomate</t>
        </is>
      </c>
      <c r="B190" s="26">
        <f>IFERROR(INDEX(Mots!$B:$B,MATCH($A190,Mots!$A:$A,0)),"introuvable")</f>
        <v/>
      </c>
      <c r="C190" s="30" t="inlineStr">
        <is>
          <t>On utilise des tomates pour faire du ketchup.</t>
        </is>
      </c>
    </row>
    <row r="191">
      <c r="A191" s="30" t="inlineStr">
        <is>
          <t>chou_fleur</t>
        </is>
      </c>
      <c r="B191" s="26">
        <f>IFERROR(INDEX(Mots!$B:$B,MATCH($A191,Mots!$A:$A,0)),"introuvable")</f>
        <v/>
      </c>
      <c r="C191" s="30" t="inlineStr">
        <is>
          <t>Je mange des choux-fleur gratiné.</t>
        </is>
      </c>
    </row>
    <row r="192">
      <c r="A192" s="30" t="inlineStr">
        <is>
          <t>poireau</t>
        </is>
      </c>
      <c r="B192" s="26">
        <f>IFERROR(INDEX(Mots!$B:$B,MATCH($A192,Mots!$A:$A,0)),"introuvable")</f>
        <v/>
      </c>
      <c r="C192" s="30" t="inlineStr">
        <is>
          <t>Germaine fait des poireaux en sauce blanche.</t>
        </is>
      </c>
    </row>
    <row r="193">
      <c r="A193" s="30" t="inlineStr">
        <is>
          <t>courgette</t>
        </is>
      </c>
      <c r="B193" s="26">
        <f>IFERROR(INDEX(Mots!$B:$B,MATCH($A193,Mots!$A:$A,0)),"introuvable")</f>
        <v/>
      </c>
      <c r="C193" s="30" t="inlineStr">
        <is>
          <t>Les courgettes poussent dans le jardin.</t>
        </is>
      </c>
    </row>
    <row r="194">
      <c r="A194" s="30" t="inlineStr">
        <is>
          <t>ville</t>
        </is>
      </c>
      <c r="B194" s="26">
        <f>IFERROR(INDEX(Mots!$B:$B,MATCH($A194,Mots!$A:$A,0)),"introuvable")</f>
        <v/>
      </c>
      <c r="C194" s="30" t="inlineStr">
        <is>
          <t>Paris est la plus grande ville de France.</t>
        </is>
      </c>
    </row>
    <row r="195">
      <c r="A195" s="30" t="inlineStr">
        <is>
          <t>rue</t>
        </is>
      </c>
      <c r="B195" s="26">
        <f>IFERROR(INDEX(Mots!$B:$B,MATCH($A195,Mots!$A:$A,0)),"introuvable")</f>
        <v/>
      </c>
      <c r="C195" s="30" t="inlineStr">
        <is>
          <t>Il habite dans une petite rue calme.</t>
        </is>
      </c>
    </row>
    <row r="196">
      <c r="A196" s="30" t="inlineStr">
        <is>
          <t>pont</t>
        </is>
      </c>
      <c r="B196" s="26">
        <f>IFERROR(INDEX(Mots!$B:$B,MATCH($A196,Mots!$A:$A,0)),"introuvable")</f>
        <v/>
      </c>
      <c r="C196" s="30" t="inlineStr">
        <is>
          <t>Le pont Neuf est le plus vieux pont de Paris.</t>
        </is>
      </c>
    </row>
    <row r="197">
      <c r="A197" s="30" t="inlineStr">
        <is>
          <t>parc</t>
        </is>
      </c>
      <c r="B197" s="26">
        <f>IFERROR(INDEX(Mots!$B:$B,MATCH($A197,Mots!$A:$A,0)),"introuvable")</f>
        <v/>
      </c>
      <c r="C197" s="30" t="inlineStr">
        <is>
          <t>Les enfants jouent au parc.</t>
        </is>
      </c>
    </row>
    <row r="198">
      <c r="A198" s="30" t="inlineStr">
        <is>
          <t>doigt</t>
        </is>
      </c>
      <c r="B198" s="26">
        <f>IFERROR(INDEX(Mots!$B:$B,MATCH($A198,Mots!$A:$A,0)),"introuvable")</f>
        <v/>
      </c>
      <c r="C198" s="30" t="inlineStr">
        <is>
          <t>Il montre la lune du doigt.</t>
        </is>
      </c>
    </row>
    <row r="199">
      <c r="A199" s="30" t="inlineStr">
        <is>
          <t>main</t>
        </is>
      </c>
      <c r="B199" s="26">
        <f>IFERROR(INDEX(Mots!$B:$B,MATCH($A199,Mots!$A:$A,0)),"introuvable")</f>
        <v/>
      </c>
      <c r="C199" s="30" t="inlineStr">
        <is>
          <t>Donne-moi la main.</t>
        </is>
      </c>
    </row>
    <row r="200">
      <c r="A200" s="30" t="inlineStr">
        <is>
          <t>bras</t>
        </is>
      </c>
      <c r="B200" s="26">
        <f>IFERROR(INDEX(Mots!$B:$B,MATCH($A200,Mots!$A:$A,0)),"introuvable")</f>
        <v/>
      </c>
      <c r="C200" s="30" t="inlineStr">
        <is>
          <t>Il porte sa fille dans ses bras.</t>
        </is>
      </c>
    </row>
    <row r="201">
      <c r="A201" s="30" t="inlineStr">
        <is>
          <t>jambe</t>
        </is>
      </c>
      <c r="B201" s="26">
        <f>IFERROR(INDEX(Mots!$B:$B,MATCH($A201,Mots!$A:$A,0)),"introuvable")</f>
        <v/>
      </c>
      <c r="C201" s="30" t="inlineStr">
        <is>
          <t>Elle court très vite avec ses longues jambes.</t>
        </is>
      </c>
    </row>
    <row r="202">
      <c r="A202" s="30" t="inlineStr">
        <is>
          <t>cuisse</t>
        </is>
      </c>
      <c r="B202" s="26">
        <f>IFERROR(INDEX(Mots!$B:$B,MATCH($A202,Mots!$A:$A,0)),"introuvable")</f>
        <v/>
      </c>
      <c r="C202" s="30" t="inlineStr">
        <is>
          <t>Il se tient la cuisse avec la main.</t>
        </is>
      </c>
    </row>
    <row r="203">
      <c r="A203" s="30" t="inlineStr">
        <is>
          <t>pied</t>
        </is>
      </c>
      <c r="B203" s="26">
        <f>IFERROR(INDEX(Mots!$B:$B,MATCH($A203,Mots!$A:$A,0)),"introuvable")</f>
        <v/>
      </c>
      <c r="C203" s="30" t="inlineStr">
        <is>
          <t>J'ai mal au pied gauche.</t>
        </is>
      </c>
    </row>
    <row r="204">
      <c r="A204" s="30" t="inlineStr">
        <is>
          <t>medecin</t>
        </is>
      </c>
      <c r="B204" s="26">
        <f>IFERROR(INDEX(Mots!$B:$B,MATCH($A204,Mots!$A:$A,0)),"introuvable")</f>
        <v/>
      </c>
      <c r="C204" s="30" t="inlineStr">
        <is>
          <t>Le médecin prescrit un traitement.</t>
        </is>
      </c>
    </row>
    <row r="205">
      <c r="A205" s="30" t="inlineStr">
        <is>
          <t>policier</t>
        </is>
      </c>
      <c r="B205" s="26">
        <f>IFERROR(INDEX(Mots!$B:$B,MATCH($A205,Mots!$A:$A,0)),"introuvable")</f>
        <v/>
      </c>
      <c r="C205" s="30" t="inlineStr">
        <is>
          <t>Le policier dirige la circulation.</t>
        </is>
      </c>
    </row>
    <row r="206">
      <c r="A206" s="30" t="inlineStr">
        <is>
          <t>professeur</t>
        </is>
      </c>
      <c r="B206" s="26">
        <f>IFERROR(INDEX(Mots!$B:$B,MATCH($A206,Mots!$A:$A,0)),"introuvable")</f>
        <v/>
      </c>
      <c r="C206" s="30" t="inlineStr">
        <is>
          <t>Mon professeur de français est très sympa.</t>
        </is>
      </c>
    </row>
    <row r="207">
      <c r="A207" s="30" t="inlineStr">
        <is>
          <t>smartphone</t>
        </is>
      </c>
      <c r="B207" s="26">
        <f>IFERROR(INDEX(Mots!$B:$B,MATCH($A207,Mots!$A:$A,0)),"introuvable")</f>
        <v/>
      </c>
      <c r="C207" s="30" t="inlineStr">
        <is>
          <t>Appeler quelqu'un au téléphone</t>
        </is>
      </c>
      <c r="D207" s="30" t="inlineStr">
        <is>
          <t>Répondre au téléphone</t>
        </is>
      </c>
      <c r="E207" s="30" t="inlineStr">
        <is>
          <t>Lancer un coup defil à quelqu'un</t>
        </is>
      </c>
    </row>
    <row r="208">
      <c r="A208" s="30" t="inlineStr">
        <is>
          <t>a_beau_laid</t>
        </is>
      </c>
      <c r="B208" s="26">
        <f>IFERROR(INDEX(Mots!$B:$B,MATCH($A208,Mots!$A:$A,0)),"introuvable")</f>
        <v/>
      </c>
      <c r="C208" s="30" t="inlineStr">
        <is>
          <t>Un papillon est beau et certains insectes peuvent sembler laids.</t>
        </is>
      </c>
    </row>
    <row r="209">
      <c r="A209" s="30" t="inlineStr">
        <is>
          <t>a_content_triste</t>
        </is>
      </c>
      <c r="B209" s="26">
        <f>IFERROR(INDEX(Mots!$B:$B,MATCH($A209,Mots!$A:$A,0)),"introuvable")</f>
        <v/>
      </c>
      <c r="C209" s="30" t="inlineStr">
        <is>
          <t>On est content quand on rit, on est triste quand on pleure.</t>
        </is>
      </c>
    </row>
    <row r="210">
      <c r="A210" s="30" t="inlineStr">
        <is>
          <t>a_dur_mou</t>
        </is>
      </c>
      <c r="B210" s="26">
        <f>IFERROR(INDEX(Mots!$B:$B,MATCH($A210,Mots!$A:$A,0)),"introuvable")</f>
        <v/>
      </c>
      <c r="C210" s="30" t="inlineStr">
        <is>
          <t>Une pierre est dure et une éponge est molle.</t>
        </is>
      </c>
    </row>
    <row r="211">
      <c r="A211" s="30" t="inlineStr">
        <is>
          <t>a_facile_difficile</t>
        </is>
      </c>
      <c r="B211" s="26">
        <f>IFERROR(INDEX(Mots!$B:$B,MATCH($A211,Mots!$A:$A,0)),"introuvable")</f>
        <v/>
      </c>
      <c r="C211" s="30" t="inlineStr">
        <is>
          <t>Facile = simple | difficile = compliqué</t>
        </is>
      </c>
    </row>
    <row r="212">
      <c r="A212" s="30" t="inlineStr">
        <is>
          <t>a_haut_bas</t>
        </is>
      </c>
      <c r="B212" s="26">
        <f>IFERROR(INDEX(Mots!$B:$B,MATCH($A212,Mots!$A:$A,0)),"introuvable")</f>
        <v/>
      </c>
      <c r="C212" s="30" t="inlineStr">
        <is>
          <t>Le sommet du Haut-de-Cry est haut et le lit de la Lizerne est bas.</t>
        </is>
      </c>
    </row>
    <row r="213">
      <c r="A213" s="30" t="inlineStr">
        <is>
          <t>a_rapide_lent</t>
        </is>
      </c>
      <c r="B213" s="26">
        <f>IFERROR(INDEX(Mots!$B:$B,MATCH($A213,Mots!$A:$A,0)),"introuvable")</f>
        <v/>
      </c>
      <c r="C213" s="30" t="inlineStr">
        <is>
          <t>Le lièvre court vite, il est rapide ; la tortue avance lentement, elle est lente.</t>
        </is>
      </c>
    </row>
    <row r="214">
      <c r="A214" s="30" t="inlineStr">
        <is>
          <t>a_silencieux_bruyant</t>
        </is>
      </c>
      <c r="B214" s="26">
        <f>IFERROR(INDEX(Mots!$B:$B,MATCH($A214,Mots!$A:$A,0)),"introuvable")</f>
        <v/>
      </c>
      <c r="C214" s="30" t="inlineStr">
        <is>
          <t>Une église est silencieuse, il n'y a pas de bruit. Un chantier de construction avec des machines est bruyant, il y a beaucoup de bruit.</t>
        </is>
      </c>
    </row>
    <row r="215">
      <c r="A215" s="30" t="inlineStr">
        <is>
          <t>aigle</t>
        </is>
      </c>
      <c r="B215" s="26">
        <f>IFERROR(INDEX(Mots!$B:$B,MATCH($A215,Mots!$A:$A,0)),"introuvable")</f>
        <v/>
      </c>
      <c r="C215" s="30" t="inlineStr">
        <is>
          <t>L'aigle vole très haut dans le ciel.</t>
        </is>
      </c>
    </row>
    <row r="216">
      <c r="A216" s="30" t="inlineStr">
        <is>
          <t>gypaete_barbu</t>
        </is>
      </c>
      <c r="B216" s="26">
        <f>IFERROR(INDEX(Mots!$B:$B,MATCH($A216,Mots!$A:$A,0)),"introuvable")</f>
        <v/>
      </c>
      <c r="C216" s="30" t="inlineStr">
        <is>
          <t>A Derborence, on peut observer un magnifique gypaete barbu.</t>
        </is>
      </c>
    </row>
    <row r="217">
      <c r="A217" s="30" t="inlineStr">
        <is>
          <t>moineau</t>
        </is>
      </c>
      <c r="B217" s="26">
        <f>IFERROR(INDEX(Mots!$B:$B,MATCH($A217,Mots!$A:$A,0)),"introuvable")</f>
        <v/>
      </c>
      <c r="C217" s="30" t="inlineStr">
        <is>
          <t>Un oiseau chante dans l'arbre.</t>
        </is>
      </c>
    </row>
    <row r="218">
      <c r="A218" s="30" t="inlineStr">
        <is>
          <t>pigeon</t>
        </is>
      </c>
      <c r="B218" s="26">
        <f>IFERROR(INDEX(Mots!$B:$B,MATCH($A218,Mots!$A:$A,0)),"introuvable")</f>
        <v/>
      </c>
      <c r="C218" s="30" t="inlineStr">
        <is>
          <t>Il y a beaucoup de pigeons en ville de Sion.</t>
        </is>
      </c>
    </row>
    <row r="219">
      <c r="A219" s="30" t="inlineStr">
        <is>
          <t>pizza</t>
        </is>
      </c>
      <c r="B219" s="26">
        <f>IFERROR(INDEX(Mots!$B:$B,MATCH($A219,Mots!$A:$A,0)),"introuvable")</f>
        <v/>
      </c>
      <c r="C219" s="30" t="inlineStr">
        <is>
          <t>Une pizza quatre saisons, une pizza au jambon</t>
        </is>
      </c>
    </row>
    <row r="220">
      <c r="A220" s="30" t="inlineStr">
        <is>
          <t>lasagnes</t>
        </is>
      </c>
      <c r="B220" s="26">
        <f>IFERROR(INDEX(Mots!$B:$B,MATCH($A220,Mots!$A:$A,0)),"introuvable")</f>
        <v/>
      </c>
      <c r="C220" s="30" t="inlineStr">
        <is>
          <t>lasagnes à la bolognaise</t>
        </is>
      </c>
    </row>
    <row r="221">
      <c r="A221" s="30" t="inlineStr">
        <is>
          <t>spaghetti</t>
        </is>
      </c>
      <c r="B221" s="26">
        <f>IFERROR(INDEX(Mots!$B:$B,MATCH($A221,Mots!$A:$A,0)),"introuvable")</f>
        <v/>
      </c>
      <c r="C221" s="30" t="inlineStr">
        <is>
          <t>spaghetti bolognaise, spaghetti carbonara</t>
        </is>
      </c>
    </row>
    <row r="222">
      <c r="A222" s="30" t="inlineStr">
        <is>
          <t>oeuf_au_plat</t>
        </is>
      </c>
      <c r="B222" s="26">
        <f>IFERROR(INDEX(Mots!$B:$B,MATCH($A222,Mots!$A:$A,0)),"introuvable")</f>
        <v/>
      </c>
      <c r="C222" s="30" t="inlineStr">
        <is>
          <t>Elle se cuisine un œuf au plat.</t>
        </is>
      </c>
    </row>
    <row r="223">
      <c r="A223" s="30" t="inlineStr">
        <is>
          <t>omelette</t>
        </is>
      </c>
      <c r="B223" s="26">
        <f>IFERROR(INDEX(Mots!$B:$B,MATCH($A223,Mots!$A:$A,0)),"introuvable")</f>
        <v/>
      </c>
      <c r="C223" s="30" t="inlineStr">
        <is>
          <t>Je prépare une omelette avec des pommes de terre.</t>
        </is>
      </c>
    </row>
    <row r="224">
      <c r="A224" s="30" t="inlineStr">
        <is>
          <t>soupe</t>
        </is>
      </c>
      <c r="B224" s="26">
        <f>IFERROR(INDEX(Mots!$B:$B,MATCH($A224,Mots!$A:$A,0)),"introuvable")</f>
        <v/>
      </c>
      <c r="C224" s="30" t="inlineStr">
        <is>
          <t>Il mange une soupe chaude en hiver.</t>
        </is>
      </c>
    </row>
    <row r="225">
      <c r="A225" s="30" t="inlineStr">
        <is>
          <t>filets_de_perche</t>
        </is>
      </c>
      <c r="B225" s="26">
        <f>IFERROR(INDEX(Mots!$B:$B,MATCH($A225,Mots!$A:$A,0)),"introuvable")</f>
        <v/>
      </c>
      <c r="C225" s="30" t="inlineStr">
        <is>
          <t>Des filets de perche avec des frites et une salade.</t>
        </is>
      </c>
    </row>
    <row r="226">
      <c r="A226" s="30" t="inlineStr">
        <is>
          <t>filet_de_truite</t>
        </is>
      </c>
      <c r="B226" s="26">
        <f>IFERROR(INDEX(Mots!$B:$B,MATCH($A226,Mots!$A:$A,0)),"introuvable")</f>
        <v/>
      </c>
      <c r="C226" s="30" t="inlineStr">
        <is>
          <t>Un filet de truite avec des pommes de terre.</t>
        </is>
      </c>
    </row>
    <row r="227">
      <c r="A227" s="30" t="inlineStr">
        <is>
          <t>ami</t>
        </is>
      </c>
      <c r="B227" s="26">
        <f>IFERROR(INDEX(Mots!$B:$B,MATCH($A227,Mots!$A:$A,0)),"introuvable")</f>
        <v/>
      </c>
      <c r="C227" s="30" t="inlineStr">
        <is>
          <t>Il est mon meilleur ami depuis l'enfance.</t>
        </is>
      </c>
    </row>
    <row r="228">
      <c r="A228" s="30" t="inlineStr">
        <is>
          <t>banque</t>
        </is>
      </c>
      <c r="B228" s="26">
        <f>IFERROR(INDEX(Mots!$B:$B,MATCH($A228,Mots!$A:$A,0)),"introuvable")</f>
        <v/>
      </c>
      <c r="C228" s="30" t="inlineStr">
        <is>
          <t>Il va retirer de l'argent à la banque.</t>
        </is>
      </c>
    </row>
    <row r="229">
      <c r="A229" s="30" t="inlineStr">
        <is>
          <t>magasin</t>
        </is>
      </c>
      <c r="B229" s="26">
        <f>IFERROR(INDEX(Mots!$B:$B,MATCH($A229,Mots!$A:$A,0)),"introuvable")</f>
        <v/>
      </c>
      <c r="C229" s="30" t="inlineStr">
        <is>
          <t>Le magasin ferme à 20h.</t>
        </is>
      </c>
    </row>
    <row r="230">
      <c r="A230" s="30" t="inlineStr">
        <is>
          <t>marche</t>
        </is>
      </c>
      <c r="B230" s="26">
        <f>IFERROR(INDEX(Mots!$B:$B,MATCH($A230,Mots!$A:$A,0)),"introuvable")</f>
        <v/>
      </c>
      <c r="C230" s="30" t="inlineStr">
        <is>
          <t>Elle achète ses légumes au marché.</t>
        </is>
      </c>
    </row>
    <row r="231">
      <c r="A231" s="30" t="inlineStr">
        <is>
          <t>restaurant</t>
        </is>
      </c>
      <c r="B231" s="26">
        <f>IFERROR(INDEX(Mots!$B:$B,MATCH($A231,Mots!$A:$A,0)),"introuvable")</f>
        <v/>
      </c>
      <c r="C231" s="30" t="inlineStr">
        <is>
          <t>Ils dînent au restaurant chaque vendredi.</t>
        </is>
      </c>
    </row>
    <row r="232">
      <c r="A232" s="30" t="inlineStr">
        <is>
          <t>hotel</t>
        </is>
      </c>
      <c r="B232" s="26">
        <f>IFERROR(INDEX(Mots!$B:$B,MATCH($A232,Mots!$A:$A,0)),"introuvable")</f>
        <v/>
      </c>
      <c r="C232" s="30" t="inlineStr">
        <is>
          <t>Ils ont réservé une chambre à l'hôtel.</t>
        </is>
      </c>
    </row>
    <row r="233">
      <c r="A233" s="30" t="inlineStr">
        <is>
          <t>salle_de_bain</t>
        </is>
      </c>
      <c r="B233" s="26">
        <f>IFERROR(INDEX(Mots!$B:$B,MATCH($A233,Mots!$A:$A,0)),"introuvable")</f>
        <v/>
      </c>
      <c r="C233" s="30" t="inlineStr">
        <is>
          <t>Elle prend une douche dans la salle de bain.</t>
        </is>
      </c>
    </row>
    <row r="234">
      <c r="A234" s="30" t="inlineStr">
        <is>
          <t>lavabo</t>
        </is>
      </c>
      <c r="B234" s="26">
        <f>IFERROR(INDEX(Mots!$B:$B,MATCH($A234,Mots!$A:$A,0)),"introuvable")</f>
        <v/>
      </c>
      <c r="C234" s="30" t="inlineStr">
        <is>
          <t>Le lavabo à un robinet pour mettre de l'eau et un bouchon pour ne pas laisser l'eau s'écouler.</t>
        </is>
      </c>
    </row>
    <row r="235">
      <c r="A235" s="30" t="inlineStr">
        <is>
          <t>savon</t>
        </is>
      </c>
      <c r="B235" s="26">
        <f>IFERROR(INDEX(Mots!$B:$B,MATCH($A235,Mots!$A:$A,0)),"introuvable")</f>
        <v/>
      </c>
      <c r="C235" s="30" t="inlineStr">
        <is>
          <t>Elle se lave les mains avec du savon.</t>
        </is>
      </c>
    </row>
    <row r="236">
      <c r="A236" s="30" t="inlineStr">
        <is>
          <t>miroir</t>
        </is>
      </c>
      <c r="B236" s="26">
        <f>IFERROR(INDEX(Mots!$B:$B,MATCH($A236,Mots!$A:$A,0)),"introuvable")</f>
        <v/>
      </c>
      <c r="C236" s="30" t="inlineStr">
        <is>
          <t>Elle se regarde dans le miroir.</t>
        </is>
      </c>
    </row>
    <row r="237">
      <c r="A237" s="30" t="inlineStr">
        <is>
          <t>wc</t>
        </is>
      </c>
      <c r="B237" s="26">
        <f>IFERROR(INDEX(Mots!$B:$B,MATCH($A237,Mots!$A:$A,0)),"introuvable")</f>
        <v/>
      </c>
      <c r="C237" s="30" t="inlineStr">
        <is>
          <t>On tire la chasse d'eau pour nettoyer le WC et on baisse le couvercle (la lunette).</t>
        </is>
      </c>
    </row>
    <row r="238">
      <c r="A238" s="30" t="inlineStr">
        <is>
          <t>douche</t>
        </is>
      </c>
      <c r="B238" s="26">
        <f>IFERROR(INDEX(Mots!$B:$B,MATCH($A238,Mots!$A:$A,0)),"introuvable")</f>
        <v/>
      </c>
      <c r="C238" s="30" t="inlineStr">
        <is>
          <t>Elle prend une douche chaque matin ou chaque soir.</t>
        </is>
      </c>
    </row>
    <row r="239">
      <c r="A239" s="30" t="inlineStr">
        <is>
          <t>baignoire</t>
        </is>
      </c>
      <c r="B239" s="26">
        <f>IFERROR(INDEX(Mots!$B:$B,MATCH($A239,Mots!$A:$A,0)),"introuvable")</f>
        <v/>
      </c>
      <c r="C239" s="30" t="inlineStr">
        <is>
          <t>Il prend un bain dans la baignoire.</t>
        </is>
      </c>
    </row>
    <row r="240">
      <c r="A240" s="30" t="inlineStr">
        <is>
          <t>rasoir</t>
        </is>
      </c>
      <c r="B240" s="26">
        <f>IFERROR(INDEX(Mots!$B:$B,MATCH($A240,Mots!$A:$A,0)),"introuvable")</f>
        <v/>
      </c>
      <c r="C240" s="30" t="inlineStr">
        <is>
          <t>Se raser le visage chaque matin.</t>
        </is>
      </c>
    </row>
    <row r="241">
      <c r="A241" s="30" t="inlineStr">
        <is>
          <t>deodorant</t>
        </is>
      </c>
      <c r="B241" s="26">
        <f>IFERROR(INDEX(Mots!$B:$B,MATCH($A241,Mots!$A:$A,0)),"introuvable")</f>
        <v/>
      </c>
      <c r="C241" s="30" t="inlineStr">
        <is>
          <t>mettre du déodorant pour sentir bon.</t>
        </is>
      </c>
    </row>
    <row r="242">
      <c r="A242" s="30" t="inlineStr">
        <is>
          <t>dentifrice</t>
        </is>
      </c>
      <c r="B242" s="26">
        <f>IFERROR(INDEX(Mots!$B:$B,MATCH($A242,Mots!$A:$A,0)),"introuvable")</f>
        <v/>
      </c>
      <c r="C242" s="30" t="inlineStr">
        <is>
          <t>Du dentifrice Elmex ou Colgate.</t>
        </is>
      </c>
    </row>
    <row r="243">
      <c r="A243" s="30" t="inlineStr">
        <is>
          <t>brosse_a_dents</t>
        </is>
      </c>
      <c r="B243" s="26">
        <f>IFERROR(INDEX(Mots!$B:$B,MATCH($A243,Mots!$A:$A,0)),"introuvable")</f>
        <v/>
      </c>
      <c r="C243" s="30" t="inlineStr">
        <is>
          <t>Mettre du dentifrice et se laver les dents 3 fois par jour.</t>
        </is>
      </c>
    </row>
    <row r="244">
      <c r="A244" s="30" t="inlineStr">
        <is>
          <t>fleur</t>
        </is>
      </c>
      <c r="B244" s="26">
        <f>IFERROR(INDEX(Mots!$B:$B,MATCH($A244,Mots!$A:$A,0)),"introuvable")</f>
        <v/>
      </c>
      <c r="C244" s="30" t="inlineStr">
        <is>
          <t>Il offre des fleurs à sa mère.</t>
        </is>
      </c>
    </row>
    <row r="245">
      <c r="A245" s="30" t="inlineStr">
        <is>
          <t>plante</t>
        </is>
      </c>
      <c r="B245" s="26">
        <f>IFERROR(INDEX(Mots!$B:$B,MATCH($A245,Mots!$A:$A,0)),"introuvable")</f>
        <v/>
      </c>
      <c r="C245" s="30" t="inlineStr">
        <is>
          <t>Elle arrose ses plantes chaque matin.</t>
        </is>
      </c>
    </row>
    <row r="246">
      <c r="A246" s="30" t="inlineStr">
        <is>
          <t>arbre</t>
        </is>
      </c>
      <c r="B246" s="26">
        <f>IFERROR(INDEX(Mots!$B:$B,MATCH($A246,Mots!$A:$A,0)),"introuvable")</f>
        <v/>
      </c>
      <c r="C246" s="30" t="inlineStr">
        <is>
          <t>Cet arbre a cent ans.</t>
        </is>
      </c>
    </row>
    <row r="247">
      <c r="A247" s="30" t="inlineStr">
        <is>
          <t>herbe</t>
        </is>
      </c>
      <c r="B247" s="26">
        <f>IFERROR(INDEX(Mots!$B:$B,MATCH($A247,Mots!$A:$A,0)),"introuvable")</f>
        <v/>
      </c>
      <c r="C247" s="30" t="inlineStr">
        <is>
          <t>L'herbe est verte après la pluie.</t>
        </is>
      </c>
    </row>
    <row r="248">
      <c r="A248" s="30" t="inlineStr">
        <is>
          <t>velo</t>
        </is>
      </c>
      <c r="B248" s="26">
        <f>IFERROR(INDEX(Mots!$B:$B,MATCH($A248,Mots!$A:$A,0)),"introuvable")</f>
        <v/>
      </c>
      <c r="C248" s="30" t="inlineStr">
        <is>
          <t>Elle va à l'école à vélo.</t>
        </is>
      </c>
    </row>
    <row r="249">
      <c r="A249" s="30" t="inlineStr">
        <is>
          <t>moto</t>
        </is>
      </c>
      <c r="B249" s="26">
        <f>IFERROR(INDEX(Mots!$B:$B,MATCH($A249,Mots!$A:$A,0)),"introuvable")</f>
        <v/>
      </c>
      <c r="C249" s="30" t="inlineStr">
        <is>
          <t>Il porte un casque sur sa moto.</t>
        </is>
      </c>
    </row>
    <row r="250">
      <c r="A250" s="30" t="inlineStr">
        <is>
          <t>voiture</t>
        </is>
      </c>
      <c r="B250" s="26">
        <f>IFERROR(INDEX(Mots!$B:$B,MATCH($A250,Mots!$A:$A,0)),"introuvable")</f>
        <v/>
      </c>
      <c r="C250" s="30" t="inlineStr">
        <is>
          <t>Je prends l'autoroute avec ma voiture</t>
        </is>
      </c>
    </row>
    <row r="251">
      <c r="A251" s="30" t="inlineStr">
        <is>
          <t>pickup</t>
        </is>
      </c>
      <c r="B251" s="26">
        <f>IFERROR(INDEX(Mots!$B:$B,MATCH($A251,Mots!$A:$A,0)),"introuvable")</f>
        <v/>
      </c>
      <c r="C251" s="30" t="inlineStr">
        <is>
          <t>Je prend le pick-up Toyota pour amener le gazon coupé à la décharge de Beuchon.</t>
        </is>
      </c>
    </row>
    <row r="252">
      <c r="A252" s="30" t="inlineStr">
        <is>
          <t>car_postal</t>
        </is>
      </c>
      <c r="B252" s="26">
        <f>IFERROR(INDEX(Mots!$B:$B,MATCH($A252,Mots!$A:$A,0)),"introuvable")</f>
        <v/>
      </c>
      <c r="C252" s="30" t="inlineStr">
        <is>
          <t>Il prend le bus pour aller au travail.</t>
        </is>
      </c>
    </row>
    <row r="253">
      <c r="A253" s="30" t="inlineStr">
        <is>
          <t>camion</t>
        </is>
      </c>
      <c r="B253" s="26">
        <f>IFERROR(INDEX(Mots!$B:$B,MATCH($A253,Mots!$A:$A,0)),"introuvable")</f>
        <v/>
      </c>
      <c r="C253" s="30" t="inlineStr">
        <is>
          <t>Le camion transporte de la terre à la décharge.</t>
        </is>
      </c>
    </row>
    <row r="254">
      <c r="A254" s="30" t="inlineStr">
        <is>
          <t>tracteur</t>
        </is>
      </c>
      <c r="B254" s="26">
        <f>IFERROR(INDEX(Mots!$B:$B,MATCH($A254,Mots!$A:$A,0)),"introuvable")</f>
        <v/>
      </c>
      <c r="C254" s="30" t="inlineStr">
        <is>
          <t>Jérémie Daven prend son tracteur vert pour épendre le fumier dans les prés.</t>
        </is>
      </c>
    </row>
    <row r="255">
      <c r="A255" s="30" t="inlineStr">
        <is>
          <t>train</t>
        </is>
      </c>
      <c r="B255" s="26">
        <f>IFERROR(INDEX(Mots!$B:$B,MATCH($A255,Mots!$A:$A,0)),"introuvable")</f>
        <v/>
      </c>
      <c r="C255" s="30" t="inlineStr">
        <is>
          <t>Le train Paris-Lyon dure 2 heures.</t>
        </is>
      </c>
    </row>
    <row r="256">
      <c r="A256" s="30" t="inlineStr">
        <is>
          <t>route</t>
        </is>
      </c>
      <c r="B256" s="26">
        <f>IFERROR(INDEX(Mots!$B:$B,MATCH($A256,Mots!$A:$A,0)),"introuvable")</f>
        <v/>
      </c>
      <c r="C256" s="30" t="inlineStr">
        <is>
          <t>La route est glissante en hiver.</t>
        </is>
      </c>
    </row>
    <row r="257">
      <c r="A257" s="30" t="inlineStr">
        <is>
          <t>feux_circulation</t>
        </is>
      </c>
      <c r="B257" s="26">
        <f>IFERROR(INDEX(Mots!$B:$B,MATCH($A257,Mots!$A:$A,0)),"introuvable")</f>
        <v/>
      </c>
      <c r="C257" s="30" t="inlineStr">
        <is>
          <t>Le feu de circulation est passé au rouge.</t>
        </is>
      </c>
    </row>
    <row r="258">
      <c r="A258" s="30" t="inlineStr">
        <is>
          <t>avion</t>
        </is>
      </c>
      <c r="B258" s="26">
        <f>IFERROR(INDEX(Mots!$B:$B,MATCH($A258,Mots!$A:$A,0)),"introuvable")</f>
        <v/>
      </c>
      <c r="C258" s="30" t="inlineStr">
        <is>
          <t>Il prend l'avion pour New York.</t>
        </is>
      </c>
    </row>
    <row r="259">
      <c r="A259" s="30" t="inlineStr">
        <is>
          <t>helicoptere</t>
        </is>
      </c>
      <c r="B259" s="26">
        <f>IFERROR(INDEX(Mots!$B:$B,MATCH($A259,Mots!$A:$A,0)),"introuvable")</f>
        <v/>
      </c>
      <c r="C259" s="30" t="inlineStr">
        <is>
          <t>L'hélicoptère sulfate les vignes au-dessus de Sensine.</t>
        </is>
      </c>
    </row>
    <row r="260">
      <c r="A260" s="30" t="inlineStr">
        <is>
          <t>bateau</t>
        </is>
      </c>
      <c r="B260" s="26">
        <f>IFERROR(INDEX(Mots!$B:$B,MATCH($A260,Mots!$A:$A,0)),"introuvable")</f>
        <v/>
      </c>
      <c r="C260" s="30" t="inlineStr">
        <is>
          <t>Ils font une promenade en bateau.</t>
        </is>
      </c>
    </row>
    <row r="261">
      <c r="A261" s="30" t="inlineStr">
        <is>
          <t>roti_de_boeuf</t>
        </is>
      </c>
      <c r="B261" s="26">
        <f>IFERROR(INDEX(Mots!$B:$B,MATCH($A261,Mots!$A:$A,0)),"introuvable")</f>
        <v/>
      </c>
      <c r="C261" s="30" t="inlineStr">
        <is>
          <t>Un rôti de boeuf avec un gratin de pomme de terre</t>
        </is>
      </c>
    </row>
    <row r="262">
      <c r="A262" s="30" t="inlineStr">
        <is>
          <t>boeuf</t>
        </is>
      </c>
      <c r="B262" s="26">
        <f>IFERROR(INDEX(Mots!$B:$B,MATCH($A262,Mots!$A:$A,0)),"introuvable")</f>
        <v/>
      </c>
      <c r="C262" s="30" t="inlineStr">
        <is>
          <t>Un steack de boeuf, une entrecôte de boeuf, du filet de boeuf, du rôti de boeuf, du ragoût de boeuf.</t>
        </is>
      </c>
    </row>
    <row r="263">
      <c r="A263" s="30" t="inlineStr">
        <is>
          <t>steack_de_boeuf_frites</t>
        </is>
      </c>
      <c r="B263" s="26">
        <f>IFERROR(INDEX(Mots!$B:$B,MATCH($A263,Mots!$A:$A,0)),"introuvable")</f>
        <v/>
      </c>
      <c r="C263" s="30" t="inlineStr">
        <is>
          <t>J'aimerais un steak frites s'il vous plaît</t>
        </is>
      </c>
    </row>
    <row r="264">
      <c r="A264" s="30" t="inlineStr">
        <is>
          <t>porc</t>
        </is>
      </c>
      <c r="B264" s="26">
        <f>IFERROR(INDEX(Mots!$B:$B,MATCH($A264,Mots!$A:$A,0)),"introuvable")</f>
        <v/>
      </c>
      <c r="C264" s="30" t="inlineStr">
        <is>
          <t>Une côtelette de porc, un filet de porc ou une tranche de porc</t>
        </is>
      </c>
    </row>
    <row r="265">
      <c r="A265" s="30" t="inlineStr">
        <is>
          <t>filet_mignon_de_porc</t>
        </is>
      </c>
      <c r="B265" s="26">
        <f>IFERROR(INDEX(Mots!$B:$B,MATCH($A265,Mots!$A:$A,0)),"introuvable")</f>
        <v/>
      </c>
      <c r="C265" s="30" t="inlineStr">
        <is>
          <t>Un filet de porc avec des champignons et un gratin de pomme de terre</t>
        </is>
      </c>
    </row>
    <row r="266">
      <c r="A266" s="30" t="inlineStr">
        <is>
          <t>roti_de_porc</t>
        </is>
      </c>
      <c r="B266" s="26">
        <f>IFERROR(INDEX(Mots!$B:$B,MATCH($A266,Mots!$A:$A,0)),"introuvable")</f>
        <v/>
      </c>
      <c r="C266" s="30" t="inlineStr">
        <is>
          <t>Un rôti de porc avec des pommes de terre.</t>
        </is>
      </c>
    </row>
    <row r="267">
      <c r="A267" s="30" t="inlineStr">
        <is>
          <t>cotelette_de_porc</t>
        </is>
      </c>
      <c r="B267" s="26">
        <f>IFERROR(INDEX(Mots!$B:$B,MATCH($A267,Mots!$A:$A,0)),"introuvable")</f>
        <v/>
      </c>
      <c r="C267" s="30" t="inlineStr">
        <is>
          <t>Une côtelette de porc avec des frites et des légumes</t>
        </is>
      </c>
    </row>
    <row r="268">
      <c r="A268" s="30" t="inlineStr">
        <is>
          <t>poulet</t>
        </is>
      </c>
      <c r="B268" s="26">
        <f>IFERROR(INDEX(Mots!$B:$B,MATCH($A268,Mots!$A:$A,0)),"introuvable")</f>
        <v/>
      </c>
      <c r="C268" s="30" t="inlineStr">
        <is>
          <t>Un blanc de poulet, une cuisse de poulet ou des chicken.</t>
        </is>
      </c>
    </row>
    <row r="269">
      <c r="A269" s="30" t="inlineStr">
        <is>
          <t>blanc_de_poulet</t>
        </is>
      </c>
      <c r="B269" s="26">
        <f>IFERROR(INDEX(Mots!$B:$B,MATCH($A269,Mots!$A:$A,0)),"introuvable")</f>
        <v/>
      </c>
      <c r="C269" s="30" t="inlineStr">
        <is>
          <t>on dit aussi escalope de poulet ou suprême de poulet.</t>
        </is>
      </c>
    </row>
    <row r="270">
      <c r="A270" s="30" t="inlineStr">
        <is>
          <t>cuisse_de_poulet</t>
        </is>
      </c>
      <c r="B270" s="26">
        <f>IFERROR(INDEX(Mots!$B:$B,MATCH($A270,Mots!$A:$A,0)),"introuvable")</f>
        <v/>
      </c>
      <c r="C270" s="30" t="inlineStr">
        <is>
          <t>On fait griller les cuisses de poulet dans une poële.</t>
        </is>
      </c>
    </row>
    <row r="271">
      <c r="A271" s="30" t="inlineStr">
        <is>
          <t>poulet_au_curry</t>
        </is>
      </c>
      <c r="B271" s="26">
        <f>IFERROR(INDEX(Mots!$B:$B,MATCH($A271,Mots!$A:$A,0)),"introuvable")</f>
        <v/>
      </c>
      <c r="C271" s="30" t="inlineStr">
        <is>
          <t>Du poulet au curry.</t>
        </is>
      </c>
    </row>
    <row r="272">
      <c r="A272" s="30" t="inlineStr">
        <is>
          <t>dacia_duster</t>
        </is>
      </c>
      <c r="B272" s="26">
        <f>IFERROR(INDEX(Mots!$B:$B,MATCH($A272,Mots!$A:$A,0)),"introuvable")</f>
        <v/>
      </c>
      <c r="C272" s="30" t="inlineStr">
        <is>
          <t>Mon numéro de plaque VS180867. Je prends l'autoroute avec ma voiture</t>
        </is>
      </c>
    </row>
    <row r="273">
      <c r="A273" s="30" t="inlineStr">
        <is>
          <t>pare_brise</t>
        </is>
      </c>
      <c r="B273" s="26">
        <f>IFERROR(INDEX(Mots!$B:$B,MATCH($A273,Mots!$A:$A,0)),"introuvable")</f>
        <v/>
      </c>
      <c r="C273" s="30" t="inlineStr">
        <is>
          <t>La pluie tombe sur le pare-brise. J'active les essuie-glace pour bien voir la route.</t>
        </is>
      </c>
    </row>
    <row r="274">
      <c r="A274" s="30" t="inlineStr">
        <is>
          <t>essuie_glace</t>
        </is>
      </c>
      <c r="B274" s="26">
        <f>IFERROR(INDEX(Mots!$B:$B,MATCH($A274,Mots!$A:$A,0)),"introuvable")</f>
        <v/>
      </c>
      <c r="C274" s="30" t="inlineStr">
        <is>
          <t>On parle de balais d'essuie glace.</t>
        </is>
      </c>
    </row>
    <row r="275">
      <c r="A275" s="30" t="inlineStr">
        <is>
          <t>capot</t>
        </is>
      </c>
      <c r="B275" s="26">
        <f>IFERROR(INDEX(Mots!$B:$B,MATCH($A275,Mots!$A:$A,0)),"introuvable")</f>
        <v/>
      </c>
      <c r="C275" s="30" t="inlineStr">
        <is>
          <t>Lever le capot pour mettre de l'huile.</t>
        </is>
      </c>
    </row>
    <row r="276">
      <c r="A276" s="30" t="inlineStr">
        <is>
          <t>pv_aile</t>
        </is>
      </c>
      <c r="B276" s="26">
        <f>IFERROR(INDEX(Mots!$B:$B,MATCH($A276,Mots!$A:$A,0)),"introuvable")</f>
        <v/>
      </c>
      <c r="C276" s="30" t="inlineStr">
        <is>
          <t>L'aile avant droite ou l'aile arrière gauche.</t>
        </is>
      </c>
    </row>
    <row r="277">
      <c r="A277" s="30" t="inlineStr">
        <is>
          <t>pare_chocs</t>
        </is>
      </c>
      <c r="B277" s="26">
        <f>IFERROR(INDEX(Mots!$B:$B,MATCH($A277,Mots!$A:$A,0)),"introuvable")</f>
        <v/>
      </c>
      <c r="C277" s="30" t="inlineStr">
        <is>
          <t>Le pare-chocs avant a amorti le choc.</t>
        </is>
      </c>
    </row>
    <row r="278">
      <c r="A278" s="30" t="inlineStr">
        <is>
          <t>jantes</t>
        </is>
      </c>
      <c r="B278" s="26">
        <f>IFERROR(INDEX(Mots!$B:$B,MATCH($A278,Mots!$A:$A,0)),"introuvable")</f>
        <v/>
      </c>
      <c r="C278" s="30" t="inlineStr">
        <is>
          <t>la roue d'une voiture est formée d'une jante et d'un pneu.</t>
        </is>
      </c>
    </row>
    <row r="279">
      <c r="A279" s="30" t="inlineStr">
        <is>
          <t>pneus</t>
        </is>
      </c>
      <c r="B279" s="26">
        <f>IFERROR(INDEX(Mots!$B:$B,MATCH($A279,Mots!$A:$A,0)),"introuvable")</f>
        <v/>
      </c>
      <c r="C279" s="30" t="inlineStr">
        <is>
          <t>Des pneus quatre saisons pour ma Dacia Duster.</t>
        </is>
      </c>
    </row>
    <row r="280">
      <c r="A280" s="30" t="inlineStr">
        <is>
          <t>siege</t>
        </is>
      </c>
      <c r="B280" s="26">
        <f>IFERROR(INDEX(Mots!$B:$B,MATCH($A280,Mots!$A:$A,0)),"introuvable")</f>
        <v/>
      </c>
      <c r="C280" s="30" t="inlineStr">
        <is>
          <t>Un siège en tissu ou un siège en cuir.</t>
        </is>
      </c>
    </row>
    <row r="281">
      <c r="A281" s="30" t="inlineStr">
        <is>
          <t>volant</t>
        </is>
      </c>
      <c r="B281" s="26">
        <f>IFERROR(INDEX(Mots!$B:$B,MATCH($A281,Mots!$A:$A,0)),"introuvable")</f>
        <v/>
      </c>
      <c r="C281" s="30" t="inlineStr">
        <is>
          <t>Tourner le volant à droite ou à gauche</t>
        </is>
      </c>
    </row>
    <row r="282">
      <c r="A282" s="30" t="inlineStr">
        <is>
          <t>tableau_de_bord</t>
        </is>
      </c>
      <c r="B282" s="26">
        <f>IFERROR(INDEX(Mots!$B:$B,MATCH($A282,Mots!$A:$A,0)),"introuvable")</f>
        <v/>
      </c>
      <c r="C282" s="30" t="inlineStr">
        <is>
          <t>Le témoin d'huile s'allume sur le tableau de bord</t>
        </is>
      </c>
    </row>
    <row r="283">
      <c r="A283" s="30" t="inlineStr">
        <is>
          <t>coffre</t>
        </is>
      </c>
      <c r="B283" s="26">
        <f>IFERROR(INDEX(Mots!$B:$B,MATCH($A283,Mots!$A:$A,0)),"introuvable")</f>
        <v/>
      </c>
      <c r="C283" s="30" t="inlineStr">
        <is>
          <t>Je mets le cornet dans le coffre.</t>
        </is>
      </c>
    </row>
    <row r="284">
      <c r="A284" s="30" t="inlineStr">
        <is>
          <t>mes_enfants</t>
        </is>
      </c>
      <c r="B284" s="26">
        <f>IFERROR(INDEX(Mots!$B:$B,MATCH($A284,Mots!$A:$A,0)),"introuvable")</f>
        <v/>
      </c>
      <c r="C284" s="30" t="inlineStr">
        <is>
          <t>Mathilde joue du cornet, Julien du Trombone, Emma du baryton et Loïc de xylophone.</t>
        </is>
      </c>
    </row>
    <row r="285">
      <c r="A285" s="30" t="inlineStr">
        <is>
          <t>r_mathilde</t>
        </is>
      </c>
      <c r="B285" s="26">
        <f>IFERROR(INDEX(Mots!$B:$B,MATCH($A285,Mots!$A:$A,0)),"introuvable")</f>
        <v/>
      </c>
      <c r="C285" s="30" t="inlineStr">
        <is>
          <t>Mathilde travaille à Riddes dans un cabinet vétérinaire.</t>
        </is>
      </c>
    </row>
    <row r="286">
      <c r="A286" s="30" t="inlineStr">
        <is>
          <t>r_julien</t>
        </is>
      </c>
      <c r="B286" s="26">
        <f>IFERROR(INDEX(Mots!$B:$B,MATCH($A286,Mots!$A:$A,0)),"introuvable")</f>
        <v/>
      </c>
      <c r="C286" s="30" t="inlineStr">
        <is>
          <t>Julien travaille à Martigny chez Hydro Exploitation.</t>
        </is>
      </c>
    </row>
    <row r="287">
      <c r="A287" s="30" t="inlineStr">
        <is>
          <t>r_emma</t>
        </is>
      </c>
      <c r="B287" s="26">
        <f>IFERROR(INDEX(Mots!$B:$B,MATCH($A287,Mots!$A:$A,0)),"introuvable")</f>
        <v/>
      </c>
      <c r="C287" s="30" t="inlineStr">
        <is>
          <t>Emma enseigne dans les écoles de Conthey.</t>
        </is>
      </c>
    </row>
    <row r="288">
      <c r="A288" s="30" t="inlineStr">
        <is>
          <t>r_loic</t>
        </is>
      </c>
      <c r="B288" s="26">
        <f>IFERROR(INDEX(Mots!$B:$B,MATCH($A288,Mots!$A:$A,0)),"introuvable")</f>
        <v/>
      </c>
      <c r="C288" s="30" t="inlineStr">
        <is>
          <t>Loïc travaille à Martigny chez Hydro Exploitation.</t>
        </is>
      </c>
    </row>
    <row r="289">
      <c r="A289" s="30" t="inlineStr">
        <is>
          <t>faire_les_vitres</t>
        </is>
      </c>
      <c r="B289" s="26">
        <f>IFERROR(INDEX(Mots!$B:$B,MATCH($A289,Mots!$A:$A,0)),"introuvable")</f>
        <v/>
      </c>
      <c r="C289" s="30" t="inlineStr">
        <is>
          <t>on nettoie également les vitres de la voiture.</t>
        </is>
      </c>
    </row>
    <row r="290">
      <c r="A290" s="30" t="inlineStr">
        <is>
          <t>aspirateur</t>
        </is>
      </c>
      <c r="B290" s="26">
        <f>IFERROR(INDEX(Mots!$B:$B,MATCH($A290,Mots!$A:$A,0)),"introuvable")</f>
        <v/>
      </c>
      <c r="C290" s="30" t="inlineStr">
        <is>
          <t>passer l'aspirateur.</t>
        </is>
      </c>
    </row>
    <row r="291">
      <c r="A291" s="30" t="inlineStr">
        <is>
          <t>materiel_recurrer</t>
        </is>
      </c>
      <c r="B291" s="26">
        <f>IFERROR(INDEX(Mots!$B:$B,MATCH($A291,Mots!$A:$A,0)),"introuvable")</f>
        <v/>
      </c>
      <c r="C291" s="30" t="inlineStr">
        <is>
          <t>je trempe la panosse dans le bidon et je lave le carrelage.</t>
        </is>
      </c>
    </row>
    <row r="292">
      <c r="A292" s="30" t="inlineStr">
        <is>
          <t>meister_proper</t>
        </is>
      </c>
      <c r="B292" s="26">
        <f>IFERROR(INDEX(Mots!$B:$B,MATCH($A292,Mots!$A:$A,0)),"introuvable")</f>
        <v/>
      </c>
      <c r="C292" s="30" t="inlineStr">
        <is>
          <t>je panosse la cuisine et le salon.</t>
        </is>
      </c>
    </row>
    <row r="293">
      <c r="A293" s="30" t="inlineStr">
        <is>
          <t>chambre</t>
        </is>
      </c>
      <c r="B293" s="26">
        <f>IFERROR(INDEX(Mots!$B:$B,MATCH($A293,Mots!$A:$A,0)),"introuvable")</f>
        <v/>
      </c>
      <c r="C293" s="30" t="inlineStr">
        <is>
          <t>Sa chambre est peinte en bleu.</t>
        </is>
      </c>
    </row>
    <row r="294">
      <c r="A294" s="30" t="inlineStr">
        <is>
          <t>lit</t>
        </is>
      </c>
      <c r="B294" s="26">
        <f>IFERROR(INDEX(Mots!$B:$B,MATCH($A294,Mots!$A:$A,0)),"introuvable")</f>
        <v/>
      </c>
      <c r="C294" s="30" t="inlineStr">
        <is>
          <t>Je vais au lit à 22h.</t>
        </is>
      </c>
    </row>
    <row r="295">
      <c r="A295" s="30" t="inlineStr">
        <is>
          <t>matelas</t>
        </is>
      </c>
      <c r="B295" s="26">
        <f>IFERROR(INDEX(Mots!$B:$B,MATCH($A295,Mots!$A:$A,0)),"introuvable")</f>
        <v/>
      </c>
      <c r="C295" s="30" t="inlineStr">
        <is>
          <t>un matelas bico-flex pour un sommeil sein et profond.</t>
        </is>
      </c>
    </row>
    <row r="296">
      <c r="A296" s="30" t="inlineStr">
        <is>
          <t>oreiller</t>
        </is>
      </c>
      <c r="B296" s="26">
        <f>IFERROR(INDEX(Mots!$B:$B,MATCH($A296,Mots!$A:$A,0)),"introuvable")</f>
        <v/>
      </c>
      <c r="C296" s="30" t="inlineStr">
        <is>
          <t>Elle a quatre oreillers sur son lit.</t>
        </is>
      </c>
    </row>
    <row r="297">
      <c r="A297" s="30" t="inlineStr">
        <is>
          <t>duvet</t>
        </is>
      </c>
      <c r="B297" s="26">
        <f>IFERROR(INDEX(Mots!$B:$B,MATCH($A297,Mots!$A:$A,0)),"introuvable")</f>
        <v/>
      </c>
      <c r="C297" s="30" t="inlineStr">
        <is>
          <t>Il fait froid, prends le duvet !</t>
        </is>
      </c>
    </row>
    <row r="298">
      <c r="A298" s="30" t="inlineStr">
        <is>
          <t>reveil</t>
        </is>
      </c>
      <c r="B298" s="26">
        <f>IFERROR(INDEX(Mots!$B:$B,MATCH($A298,Mots!$A:$A,0)),"introuvable")</f>
        <v/>
      </c>
      <c r="C298" s="30" t="inlineStr">
        <is>
          <t>Son réveil sonne à 7h.</t>
        </is>
      </c>
    </row>
    <row r="299">
      <c r="A299" s="30" t="inlineStr">
        <is>
          <t>armoire</t>
        </is>
      </c>
      <c r="B299" s="26">
        <f>IFERROR(INDEX(Mots!$B:$B,MATCH($A299,Mots!$A:$A,0)),"introuvable")</f>
        <v/>
      </c>
      <c r="C299" s="30" t="inlineStr">
        <is>
          <t>mettre la chemise sur un ceintre et la pendre dans la penderie de l'armoire.</t>
        </is>
      </c>
    </row>
    <row r="300">
      <c r="A300" s="30" t="inlineStr">
        <is>
          <t>corbeille_a_linge</t>
        </is>
      </c>
      <c r="B300" s="26">
        <f>IFERROR(INDEX(Mots!$B:$B,MATCH($A300,Mots!$A:$A,0)),"introuvable")</f>
        <v/>
      </c>
      <c r="C300" s="30" t="inlineStr">
        <is>
          <t>Repasser les habits et les mettre dans la corbeille à linge avant de les ranger.</t>
        </is>
      </c>
    </row>
    <row r="301">
      <c r="A301" s="30" t="inlineStr">
        <is>
          <t>panier_a_linge</t>
        </is>
      </c>
      <c r="B301" s="26">
        <f>IFERROR(INDEX(Mots!$B:$B,MATCH($A301,Mots!$A:$A,0)),"introuvable")</f>
        <v/>
      </c>
      <c r="C301" s="30" t="inlineStr">
        <is>
          <t>un panier à linge pour les sous-vêtements et un panier à linge pour les pulls.</t>
        </is>
      </c>
    </row>
    <row r="302">
      <c r="A302" s="30" t="inlineStr">
        <is>
          <t>bureau_piece</t>
        </is>
      </c>
      <c r="B302" s="26">
        <f>IFERROR(INDEX(Mots!$B:$B,MATCH($A302,Mots!$A:$A,0)),"introuvable")</f>
        <v/>
      </c>
      <c r="C302" s="30" t="inlineStr">
        <is>
          <t>je m'installe au bureau pour payer les factures.</t>
        </is>
      </c>
    </row>
    <row r="303">
      <c r="A303" s="30" t="inlineStr">
        <is>
          <t>classeur</t>
        </is>
      </c>
      <c r="B303" s="26">
        <f>IFERROR(INDEX(Mots!$B:$B,MATCH($A303,Mots!$A:$A,0)),"introuvable")</f>
        <v/>
      </c>
      <c r="C303" s="30" t="inlineStr">
        <is>
          <t>je range les factures dans le classeur.</t>
        </is>
      </c>
    </row>
    <row r="304">
      <c r="A304" s="30" t="inlineStr">
        <is>
          <t>ordinateur</t>
        </is>
      </c>
      <c r="B304" s="26">
        <f>IFERROR(INDEX(Mots!$B:$B,MATCH($A304,Mots!$A:$A,0)),"introuvable")</f>
        <v/>
      </c>
      <c r="C304" s="30" t="inlineStr">
        <is>
          <t>l'ordinateur a un écran et un clavier</t>
        </is>
      </c>
    </row>
    <row r="305">
      <c r="A305" s="30" t="inlineStr">
        <is>
          <t>essence</t>
        </is>
      </c>
      <c r="B305" s="26">
        <f>IFERROR(INDEX(Mots!$B:$B,MATCH($A305,Mots!$A:$A,0)),"introuvable")</f>
        <v/>
      </c>
      <c r="C305" s="30" t="inlineStr">
        <is>
          <t>Faire le plein d'essence.</t>
        </is>
      </c>
    </row>
    <row r="306">
      <c r="A306" s="30" t="inlineStr">
        <is>
          <t>jauge_huile</t>
        </is>
      </c>
      <c r="B306" s="26">
        <f>IFERROR(INDEX(Mots!$B:$B,MATCH($A306,Mots!$A:$A,0)),"introuvable")</f>
        <v/>
      </c>
      <c r="C306" s="30" t="inlineStr">
        <is>
          <t>Pour contrôler le niveau d'huile, il faut retirer la jauge, l'essuyer et la remettre en place avant de la retirer pour contrôler</t>
        </is>
      </c>
    </row>
    <row r="307">
      <c r="A307" s="30" t="inlineStr">
        <is>
          <t>huile_moteur</t>
        </is>
      </c>
      <c r="B307" s="26">
        <f>IFERROR(INDEX(Mots!$B:$B,MATCH($A307,Mots!$A:$A,0)),"introuvable")</f>
        <v/>
      </c>
      <c r="C307" s="30" t="inlineStr">
        <is>
          <t>Contôler le niveau d'huile régulièrement et ajouter de l'huile si le témoin lumineux s'allume sur le tableau de bord.</t>
        </is>
      </c>
    </row>
    <row r="308">
      <c r="A308" s="30" t="inlineStr">
        <is>
          <t>liquide_lave_glace</t>
        </is>
      </c>
      <c r="B308" s="26">
        <f>IFERROR(INDEX(Mots!$B:$B,MATCH($A308,Mots!$A:$A,0)),"introuvable")</f>
        <v/>
      </c>
      <c r="C308" s="30" t="inlineStr">
        <is>
          <t>Du liquide lave-glace pour l'été ou pour l'hiver.</t>
        </is>
      </c>
    </row>
    <row r="309">
      <c r="A309" s="30" t="inlineStr">
        <is>
          <t>paire_de_slip</t>
        </is>
      </c>
      <c r="B309" s="26">
        <f>IFERROR(INDEX(Mots!$B:$B,MATCH($A309,Mots!$A:$A,0)),"introuvable")</f>
        <v/>
      </c>
      <c r="C309" s="30" t="inlineStr">
        <is>
          <t>un slip en coton.</t>
        </is>
      </c>
    </row>
    <row r="310">
      <c r="A310" s="30" t="inlineStr">
        <is>
          <t>bas</t>
        </is>
      </c>
      <c r="B310" s="26">
        <f>IFERROR(INDEX(Mots!$B:$B,MATCH($A310,Mots!$A:$A,0)),"introuvable")</f>
        <v/>
      </c>
      <c r="C310" s="30" t="inlineStr">
        <is>
          <t>des bas de sport ou des chaussettes de ville.</t>
        </is>
      </c>
    </row>
    <row r="311">
      <c r="A311" s="30" t="inlineStr">
        <is>
          <t>pantalon</t>
        </is>
      </c>
      <c r="B311" s="26">
        <f>IFERROR(INDEX(Mots!$B:$B,MATCH($A311,Mots!$A:$A,0)),"introuvable")</f>
        <v/>
      </c>
      <c r="C311" s="30" t="inlineStr">
        <is>
          <t>Le pantalon d'un costume, d'un uniforme ou un pantalon décontracté.</t>
        </is>
      </c>
    </row>
    <row r="312">
      <c r="A312" s="30" t="inlineStr">
        <is>
          <t>pantalon_jeans</t>
        </is>
      </c>
      <c r="B312" s="26">
        <f>IFERROR(INDEX(Mots!$B:$B,MATCH($A312,Mots!$A:$A,0)),"introuvable")</f>
        <v/>
      </c>
      <c r="C312" s="30" t="inlineStr">
        <is>
          <t>on est moins bien habillé avec un jeans qu'avec un pantalon.</t>
        </is>
      </c>
    </row>
    <row r="313">
      <c r="A313" s="30" t="inlineStr">
        <is>
          <t>cuissettes</t>
        </is>
      </c>
      <c r="B313" s="26">
        <f>IFERROR(INDEX(Mots!$B:$B,MATCH($A313,Mots!$A:$A,0)),"introuvable")</f>
        <v/>
      </c>
      <c r="C313" s="30" t="inlineStr">
        <is>
          <t>On porte un short en été.</t>
        </is>
      </c>
    </row>
    <row r="314">
      <c r="A314" s="30" t="inlineStr">
        <is>
          <t>juste_au_corps</t>
        </is>
      </c>
      <c r="B314" s="26">
        <f>IFERROR(INDEX(Mots!$B:$B,MATCH($A314,Mots!$A:$A,0)),"introuvable")</f>
        <v/>
      </c>
      <c r="C314" s="30" t="inlineStr">
        <is>
          <t>un autre mot pour le juste-au-corps est le marcel.</t>
        </is>
      </c>
    </row>
    <row r="315">
      <c r="A315" s="30" t="inlineStr">
        <is>
          <t>t_shirt</t>
        </is>
      </c>
      <c r="B315" s="26">
        <f>IFERROR(INDEX(Mots!$B:$B,MATCH($A315,Mots!$A:$A,0)),"introuvable")</f>
        <v/>
      </c>
      <c r="C315" s="30" t="inlineStr">
        <is>
          <t>un t-shirt en coton.</t>
        </is>
      </c>
    </row>
    <row r="316">
      <c r="A316" s="30" t="inlineStr">
        <is>
          <t>chemise</t>
        </is>
      </c>
      <c r="B316" s="26">
        <f>IFERROR(INDEX(Mots!$B:$B,MATCH($A316,Mots!$A:$A,0)),"introuvable")</f>
        <v/>
      </c>
      <c r="C316" s="30" t="inlineStr">
        <is>
          <t>La chemise de la fanfare.</t>
        </is>
      </c>
    </row>
    <row r="317">
      <c r="A317" s="30" t="inlineStr">
        <is>
          <t>polo</t>
        </is>
      </c>
      <c r="B317" s="26">
        <f>IFERROR(INDEX(Mots!$B:$B,MATCH($A317,Mots!$A:$A,0)),"introuvable")</f>
        <v/>
      </c>
      <c r="C317" s="30" t="inlineStr">
        <is>
          <t>On est mieux habillé avec un polo qu'avec un t-shirt.</t>
        </is>
      </c>
    </row>
    <row r="318">
      <c r="A318" s="30" t="inlineStr">
        <is>
          <t>pull_ou_pullover</t>
        </is>
      </c>
      <c r="B318" s="26">
        <f>IFERROR(INDEX(Mots!$B:$B,MATCH($A318,Mots!$A:$A,0)),"introuvable")</f>
        <v/>
      </c>
      <c r="C318" s="30" t="inlineStr">
        <is>
          <t>un pull en laine pour avoir bien chaud. On dit aussi pullover</t>
        </is>
      </c>
    </row>
    <row r="319">
      <c r="A319" s="30" t="inlineStr">
        <is>
          <t>veste</t>
        </is>
      </c>
      <c r="B319" s="26">
        <f>IFERROR(INDEX(Mots!$B:$B,MATCH($A319,Mots!$A:$A,0)),"introuvable")</f>
        <v/>
      </c>
      <c r="C319" s="30" t="inlineStr">
        <is>
          <t>Une veste pour la randonnée ou une veste de ski.</t>
        </is>
      </c>
    </row>
    <row r="320">
      <c r="A320" s="30" t="inlineStr">
        <is>
          <t>pain</t>
        </is>
      </c>
      <c r="B320" s="26">
        <f>IFERROR(INDEX(Mots!$B:$B,MATCH($A320,Mots!$A:$A,0)),"introuvable")</f>
        <v/>
      </c>
      <c r="C320" s="30" t="inlineStr">
        <is>
          <t>Il achète du pain à la boulangerie.</t>
        </is>
      </c>
    </row>
    <row r="321">
      <c r="A321" s="30" t="inlineStr">
        <is>
          <t>gendarme_charc</t>
        </is>
      </c>
      <c r="B321" s="26">
        <f>IFERROR(INDEX(Mots!$B:$B,MATCH($A321,Mots!$A:$A,0)),"introuvable")</f>
        <v/>
      </c>
      <c r="C321" s="30" t="inlineStr">
        <is>
          <t>Pour souper, je mange du gendarme, du fromage et du pain.</t>
        </is>
      </c>
    </row>
    <row r="322">
      <c r="A322" s="30" t="inlineStr">
        <is>
          <t>saucisse</t>
        </is>
      </c>
      <c r="B322" s="26">
        <f>IFERROR(INDEX(Mots!$B:$B,MATCH($A322,Mots!$A:$A,0)),"introuvable")</f>
        <v/>
      </c>
      <c r="C322" s="30" t="inlineStr">
        <is>
          <t>je mange un bout de saucisse avec du pain.</t>
        </is>
      </c>
    </row>
    <row r="323">
      <c r="A323" s="30" t="inlineStr">
        <is>
          <t>cafe</t>
        </is>
      </c>
      <c r="B323" s="26">
        <f>IFERROR(INDEX(Mots!$B:$B,MATCH($A323,Mots!$A:$A,0)),"introuvable")</f>
        <v/>
      </c>
      <c r="C323" s="30" t="inlineStr">
        <is>
          <t>Il boit un café le matin.</t>
        </is>
      </c>
    </row>
    <row r="324">
      <c r="A324" s="30" t="inlineStr">
        <is>
          <t>fromage</t>
        </is>
      </c>
      <c r="B324" s="26">
        <f>IFERROR(INDEX(Mots!$B:$B,MATCH($A324,Mots!$A:$A,0)),"introuvable")</f>
        <v/>
      </c>
      <c r="C324" s="30" t="inlineStr">
        <is>
          <t>Jérémie Daven, le fils de Charly-Marcel, fait du fromage.</t>
        </is>
      </c>
    </row>
    <row r="325">
      <c r="A325" s="30" t="inlineStr">
        <is>
          <t>maison</t>
        </is>
      </c>
      <c r="B325" s="26">
        <f>IFERROR(INDEX(Mots!$B:$B,MATCH($A325,Mots!$A:$A,0)),"introuvable")</f>
        <v/>
      </c>
      <c r="C325" s="30" t="inlineStr">
        <is>
          <t>Leur maison a un grand jardin.</t>
        </is>
      </c>
    </row>
    <row r="326">
      <c r="A326" s="30" t="inlineStr">
        <is>
          <t>chalet</t>
        </is>
      </c>
      <c r="B326" s="26">
        <f>IFERROR(INDEX(Mots!$B:$B,MATCH($A326,Mots!$A:$A,0)),"introuvable")</f>
        <v/>
      </c>
      <c r="C326" s="30" t="inlineStr">
        <is>
          <t>Mon chalet est en bois de mélèze.</t>
        </is>
      </c>
    </row>
    <row r="327">
      <c r="A327" s="30" t="inlineStr">
        <is>
          <t>garage</t>
        </is>
      </c>
      <c r="B327" s="26">
        <f>IFERROR(INDEX(Mots!$B:$B,MATCH($A327,Mots!$A:$A,0)),"introuvable")</f>
        <v/>
      </c>
      <c r="C327" s="30" t="inlineStr">
        <is>
          <t>Mettre la voiture dans le garage et baisser la porte.</t>
        </is>
      </c>
    </row>
    <row r="328">
      <c r="A328" s="30" t="inlineStr">
        <is>
          <t>porte</t>
        </is>
      </c>
      <c r="B328" s="26">
        <f>IFERROR(INDEX(Mots!$B:$B,MATCH($A328,Mots!$A:$A,0)),"introuvable")</f>
        <v/>
      </c>
      <c r="C328" s="30" t="inlineStr">
        <is>
          <t>Ferme la porte, il fait froid.</t>
        </is>
      </c>
    </row>
    <row r="329">
      <c r="A329" s="30" t="inlineStr">
        <is>
          <t>fenetre</t>
        </is>
      </c>
      <c r="B329" s="26">
        <f>IFERROR(INDEX(Mots!$B:$B,MATCH($A329,Mots!$A:$A,0)),"introuvable")</f>
        <v/>
      </c>
      <c r="C329" s="30" t="inlineStr">
        <is>
          <t>Elle regarde par la fenêtre.</t>
        </is>
      </c>
    </row>
    <row r="330">
      <c r="A330" s="30" t="inlineStr">
        <is>
          <t>escalier</t>
        </is>
      </c>
      <c r="B330" s="26">
        <f>IFERROR(INDEX(Mots!$B:$B,MATCH($A330,Mots!$A:$A,0)),"introuvable")</f>
        <v/>
      </c>
      <c r="C330" s="30" t="inlineStr">
        <is>
          <t>Montez l'escalier jusqu'au deuxième étage.</t>
        </is>
      </c>
    </row>
    <row r="331">
      <c r="A331" s="30" t="inlineStr">
        <is>
          <t>ampoule</t>
        </is>
      </c>
      <c r="B331" s="26">
        <f>IFERROR(INDEX(Mots!$B:$B,MATCH($A331,Mots!$A:$A,0)),"introuvable")</f>
        <v/>
      </c>
      <c r="C331" s="30" t="inlineStr">
        <is>
          <t>changer l'ampoule de la lampe.</t>
        </is>
      </c>
    </row>
    <row r="332">
      <c r="A332" s="30" t="inlineStr">
        <is>
          <t>interupteur</t>
        </is>
      </c>
      <c r="B332" s="26">
        <f>IFERROR(INDEX(Mots!$B:$B,MATCH($A332,Mots!$A:$A,0)),"introuvable")</f>
        <v/>
      </c>
      <c r="C332" s="30" t="inlineStr">
        <is>
          <t>J'appuie sur l'interupteur pour allumer la lampe. Il y a suffisamment de lumière et la pièce est éclairée.</t>
        </is>
      </c>
    </row>
    <row r="333">
      <c r="A333" s="30" t="inlineStr">
        <is>
          <t>fusibles_pour_lelectricite</t>
        </is>
      </c>
      <c r="B333" s="26">
        <f>IFERROR(INDEX(Mots!$B:$B,MATCH($A333,Mots!$A:$A,0)),"introuvable")</f>
        <v/>
      </c>
      <c r="C333" s="30" t="inlineStr">
        <is>
          <t>Le fusible s'est déclenché. Le remonter pour mettre la lumière.</t>
        </is>
      </c>
    </row>
    <row r="334">
      <c r="A334" s="30" t="inlineStr">
        <is>
          <t>mur</t>
        </is>
      </c>
      <c r="B334" s="26">
        <f>IFERROR(INDEX(Mots!$B:$B,MATCH($A334,Mots!$A:$A,0)),"introuvable")</f>
        <v/>
      </c>
      <c r="C334" s="30" t="inlineStr">
        <is>
          <t>Il y a une fissure dans le mur.</t>
        </is>
      </c>
    </row>
    <row r="335">
      <c r="A335" s="30" t="inlineStr">
        <is>
          <t>toit</t>
        </is>
      </c>
      <c r="B335" s="26">
        <f>IFERROR(INDEX(Mots!$B:$B,MATCH($A335,Mots!$A:$A,0)),"introuvable")</f>
        <v/>
      </c>
      <c r="C335" s="30" t="inlineStr">
        <is>
          <t>Le toit est couvert de tuiles rouges.</t>
        </is>
      </c>
    </row>
    <row r="336">
      <c r="A336" s="30" t="inlineStr">
        <is>
          <t>cheneau</t>
        </is>
      </c>
      <c r="B336" s="26">
        <f>IFERROR(INDEX(Mots!$B:$B,MATCH($A336,Mots!$A:$A,0)),"introuvable")</f>
        <v/>
      </c>
      <c r="C336" s="30" t="inlineStr">
        <is>
          <t>un chéneau en cuivre.</t>
        </is>
      </c>
    </row>
    <row r="337">
      <c r="A337" s="30" t="inlineStr">
        <is>
          <t>v_attendre</t>
        </is>
      </c>
      <c r="B337" s="26">
        <f>IFERROR(INDEX(Mots!$B:$B,MATCH($A337,Mots!$A:$A,0)),"introuvable")</f>
        <v/>
      </c>
      <c r="C337" s="30" t="inlineStr">
        <is>
          <t>J'attends le car postal. J'attends que la banqe Migros ouvre.</t>
        </is>
      </c>
    </row>
    <row r="338">
      <c r="A338" s="30" t="inlineStr">
        <is>
          <t>aussi</t>
        </is>
      </c>
      <c r="B338" s="26">
        <f>IFERROR(INDEX(Mots!$B:$B,MATCH($A338,Mots!$A:$A,0)),"introuvable")</f>
        <v/>
      </c>
      <c r="C338" s="30" t="inlineStr">
        <is>
          <t>aussi = également</t>
        </is>
      </c>
    </row>
    <row r="339">
      <c r="A339" s="30" t="inlineStr">
        <is>
          <t>v_changer</t>
        </is>
      </c>
      <c r="B339" s="26">
        <f>IFERROR(INDEX(Mots!$B:$B,MATCH($A339,Mots!$A:$A,0)),"introuvable")</f>
        <v/>
      </c>
      <c r="C339" s="30" t="inlineStr">
        <is>
          <t>Changer les draps de lit, changer les pneus.</t>
        </is>
      </c>
    </row>
    <row r="340">
      <c r="A340" s="30" t="inlineStr">
        <is>
          <t>v_choisir</t>
        </is>
      </c>
      <c r="B340" s="26">
        <f>IFERROR(INDEX(Mots!$B:$B,MATCH($A340,Mots!$A:$A,0)),"introuvable")</f>
        <v/>
      </c>
      <c r="C340" s="30" t="inlineStr">
        <is>
          <t>Je choisis d'acheter une Dacia Duster. Je choisis de boire un Coca Cola. Je choisis la pizza que je mange le dimanche.</t>
        </is>
      </c>
    </row>
    <row r="341">
      <c r="A341" s="30" t="inlineStr">
        <is>
          <t>v_chuchoter</t>
        </is>
      </c>
      <c r="B341" s="26">
        <f>IFERROR(INDEX(Mots!$B:$B,MATCH($A341,Mots!$A:$A,0)),"introuvable")</f>
        <v/>
      </c>
      <c r="C341" s="30" t="inlineStr">
        <is>
          <t>Chuchoter à l'oreille de son ami.</t>
        </is>
      </c>
    </row>
    <row r="342">
      <c r="A342" s="30" t="inlineStr">
        <is>
          <t>v_commencer</t>
        </is>
      </c>
      <c r="B342" s="26">
        <f>IFERROR(INDEX(Mots!$B:$B,MATCH($A342,Mots!$A:$A,0)),"introuvable")</f>
        <v/>
      </c>
      <c r="C342" s="30" t="inlineStr">
        <is>
          <t>Le directeur Damien Lagger donne le départ pour que les musiciens commencent à jouer ensemble.</t>
        </is>
      </c>
    </row>
    <row r="343">
      <c r="A343" s="30" t="inlineStr">
        <is>
          <t>v_comparer</t>
        </is>
      </c>
      <c r="B343" s="26">
        <f>IFERROR(INDEX(Mots!$B:$B,MATCH($A343,Mots!$A:$A,0)),"introuvable")</f>
        <v/>
      </c>
      <c r="C343" s="30" t="inlineStr">
        <is>
          <t>Comparer les prix des instruments pour savoir lequel est le plus élevé. Comparer des pommes et des poires.</t>
        </is>
      </c>
    </row>
    <row r="344">
      <c r="A344" s="30" t="inlineStr">
        <is>
          <t>coupant</t>
        </is>
      </c>
      <c r="B344" s="26">
        <f>IFERROR(INDEX(Mots!$B:$B,MATCH($A344,Mots!$A:$A,0)),"introuvable")</f>
        <v/>
      </c>
      <c r="C344" s="30" t="inlineStr">
        <is>
          <t>Le couteau, le ciseau, la tronçonneuse ou le sécateur (pour couper les raisins) sont coupants.</t>
        </is>
      </c>
    </row>
    <row r="345">
      <c r="A345" s="30" t="inlineStr">
        <is>
          <t>a_eleve</t>
        </is>
      </c>
      <c r="B345" s="26">
        <f>IFERROR(INDEX(Mots!$B:$B,MATCH($A345,Mots!$A:$A,0)),"introuvable")</f>
        <v/>
      </c>
      <c r="C345" s="30" t="inlineStr">
        <is>
          <t>Température élevée = il fait chaud</t>
        </is>
      </c>
      <c r="D345" s="30" t="inlineStr">
        <is>
          <t>Un chemin très élevé = un chemin pentu</t>
        </is>
      </c>
    </row>
    <row r="346">
      <c r="A346" s="30" t="inlineStr">
        <is>
          <t>v_fermer</t>
        </is>
      </c>
      <c r="B346" s="26">
        <f>IFERROR(INDEX(Mots!$B:$B,MATCH($A346,Mots!$A:$A,0)),"introuvable")</f>
        <v/>
      </c>
      <c r="C346" s="30" t="inlineStr">
        <is>
          <t>On ferme la porte, on ferme la fenêtre, on ferme le coffre de la voiture. On ferme une boîte et on ferme le robinet d'eau.</t>
        </is>
      </c>
    </row>
    <row r="347">
      <c r="A347" s="30" t="inlineStr">
        <is>
          <t>chose</t>
        </is>
      </c>
      <c r="B347" s="26">
        <f>IFERROR(INDEX(Mots!$B:$B,MATCH($A347,Mots!$A:$A,0)),"introuvable")</f>
        <v/>
      </c>
      <c r="C347" s="30" t="inlineStr">
        <is>
          <t>Une chose c'est la  même chose qu'un objet.</t>
        </is>
      </c>
    </row>
    <row r="348">
      <c r="A348" s="30" t="inlineStr">
        <is>
          <t>collection</t>
        </is>
      </c>
      <c r="B348" s="26">
        <f>IFERROR(INDEX(Mots!$B:$B,MATCH($A348,Mots!$A:$A,0)),"introuvable")</f>
        <v/>
      </c>
      <c r="C348" s="30" t="inlineStr">
        <is>
          <t>Une collection de montres, une collection de voitures</t>
        </is>
      </c>
    </row>
    <row r="349">
      <c r="A349" s="30" t="inlineStr">
        <is>
          <t>face</t>
        </is>
      </c>
      <c r="B349" s="26">
        <f>IFERROR(INDEX(Mots!$B:$B,MATCH($A349,Mots!$A:$A,0)),"introuvable")</f>
        <v/>
      </c>
      <c r="C349" s="30" t="inlineStr">
        <is>
          <t>Une pièce de monnaie a 2 faces</t>
        </is>
      </c>
      <c r="D349" s="30" t="inlineStr">
        <is>
          <t>Un dé a 6 faces</t>
        </is>
      </c>
    </row>
    <row r="350">
      <c r="A350" s="30" t="inlineStr">
        <is>
          <t>fin</t>
        </is>
      </c>
      <c r="B350" s="26">
        <f>IFERROR(INDEX(Mots!$B:$B,MATCH($A350,Mots!$A:$A,0)),"introuvable")</f>
        <v/>
      </c>
      <c r="C350" s="30" t="inlineStr">
        <is>
          <t>La fin de la route</t>
        </is>
      </c>
      <c r="D350" s="30" t="inlineStr">
        <is>
          <t>La fin du concert.</t>
        </is>
      </c>
    </row>
    <row r="351">
      <c r="A351" s="30" t="inlineStr">
        <is>
          <t>lumiere</t>
        </is>
      </c>
      <c r="B351" s="26">
        <f>IFERROR(INDEX(Mots!$B:$B,MATCH($A351,Mots!$A:$A,0)),"introuvable")</f>
        <v/>
      </c>
      <c r="C351" s="30" t="inlineStr">
        <is>
          <t>Mets la lumière pour qu'on voit clair. Allume la lampe pour avoir de la lumière.</t>
        </is>
      </c>
    </row>
    <row r="352">
      <c r="A352" s="30" t="inlineStr">
        <is>
          <t>mefiance</t>
        </is>
      </c>
      <c r="B352" s="26">
        <f>IFERROR(INDEX(Mots!$B:$B,MATCH($A352,Mots!$A:$A,0)),"introuvable")</f>
        <v/>
      </c>
      <c r="C352" s="30" t="inlineStr">
        <is>
          <t>C'est le contraire de la confiance.</t>
        </is>
      </c>
    </row>
    <row r="353">
      <c r="A353" s="30" t="inlineStr">
        <is>
          <t>paroi</t>
        </is>
      </c>
      <c r="B353" s="26">
        <f>IFERROR(INDEX(Mots!$B:$B,MATCH($A353,Mots!$A:$A,0)),"introuvable")</f>
        <v/>
      </c>
      <c r="C353" s="30" t="inlineStr">
        <is>
          <t>On dit aussi</t>
        </is>
      </c>
      <c r="D353" s="30" t="inlineStr">
        <is>
          <t>une paroi rocheuse</t>
        </is>
      </c>
    </row>
    <row r="354">
      <c r="A354" s="30" t="inlineStr">
        <is>
          <t>sucrerie</t>
        </is>
      </c>
      <c r="B354" s="26">
        <f>IFERROR(INDEX(Mots!$B:$B,MATCH($A354,Mots!$A:$A,0)),"introuvable")</f>
        <v/>
      </c>
      <c r="C354" s="30" t="inlineStr">
        <is>
          <t>Friandise = Sucrerie</t>
        </is>
      </c>
    </row>
    <row r="355">
      <c r="A355" s="30" t="inlineStr">
        <is>
          <t>verite</t>
        </is>
      </c>
      <c r="B355" s="26">
        <f>IFERROR(INDEX(Mots!$B:$B,MATCH($A355,Mots!$A:$A,0)),"introuvable")</f>
        <v/>
      </c>
      <c r="C355" s="30" t="inlineStr">
        <is>
          <t>C'est le contraire du mensonge.</t>
        </is>
      </c>
    </row>
    <row r="356">
      <c r="A356" s="30" t="inlineStr">
        <is>
          <t>vigne</t>
        </is>
      </c>
      <c r="B356" s="26">
        <f>IFERROR(INDEX(Mots!$B:$B,MATCH($A356,Mots!$A:$A,0)),"introuvable")</f>
        <v/>
      </c>
      <c r="C356" s="30" t="inlineStr">
        <is>
          <t>Quand on était petit, on allait à la vigne pour vendanger les raisins.</t>
        </is>
      </c>
    </row>
    <row r="357">
      <c r="A357" s="30" t="inlineStr">
        <is>
          <t>anse</t>
        </is>
      </c>
      <c r="B357" s="26">
        <f>IFERROR(INDEX(Mots!$B:$B,MATCH($A357,Mots!$A:$A,0)),"introuvable")</f>
        <v/>
      </c>
      <c r="C357" s="30" t="inlineStr">
        <is>
          <t>On dit aussi</t>
        </is>
      </c>
      <c r="D357" s="30" t="inlineStr">
        <is>
          <t>La poignée</t>
        </is>
      </c>
    </row>
    <row r="358">
      <c r="A358" s="30" t="inlineStr">
        <is>
          <t>appareil</t>
        </is>
      </c>
      <c r="B358" s="26">
        <f>IFERROR(INDEX(Mots!$B:$B,MATCH($A358,Mots!$A:$A,0)),"introuvable")</f>
        <v/>
      </c>
      <c r="C358" s="30" t="inlineStr">
        <is>
          <t>Un robot ménager est un appareil électroménager.</t>
        </is>
      </c>
    </row>
    <row r="359">
      <c r="A359" s="30" t="inlineStr">
        <is>
          <t>avis</t>
        </is>
      </c>
      <c r="B359" s="26">
        <f>IFERROR(INDEX(Mots!$B:$B,MATCH($A359,Mots!$A:$A,0)),"introuvable")</f>
        <v/>
      </c>
      <c r="C359" s="30" t="inlineStr">
        <is>
          <t>Je suis d'avis de faire répétition.</t>
        </is>
      </c>
    </row>
    <row r="360">
      <c r="A360" s="30" t="inlineStr">
        <is>
          <t>couvercle</t>
        </is>
      </c>
      <c r="B360" s="26">
        <f>IFERROR(INDEX(Mots!$B:$B,MATCH($A360,Mots!$A:$A,0)),"introuvable")</f>
        <v/>
      </c>
      <c r="C360" s="30" t="inlineStr">
        <is>
          <t>Le couvercle de la casserole</t>
        </is>
      </c>
      <c r="D360" s="30" t="inlineStr">
        <is>
          <t>Le couvercle du bocal de cornichons</t>
        </is>
      </c>
    </row>
    <row r="361">
      <c r="A361" s="30" t="inlineStr">
        <is>
          <t>dessert</t>
        </is>
      </c>
      <c r="B361" s="26">
        <f>IFERROR(INDEX(Mots!$B:$B,MATCH($A361,Mots!$A:$A,0)),"introuvable")</f>
        <v/>
      </c>
      <c r="C361" s="30" t="inlineStr">
        <is>
          <t>Prendre un dessert</t>
        </is>
      </c>
      <c r="D361" s="30" t="inlineStr">
        <is>
          <t>Manger un fruit en dessert</t>
        </is>
      </c>
    </row>
    <row r="362">
      <c r="A362" s="30" t="inlineStr">
        <is>
          <t>disque</t>
        </is>
      </c>
      <c r="B362" s="26">
        <f>IFERROR(INDEX(Mots!$B:$B,MATCH($A362,Mots!$A:$A,0)),"introuvable")</f>
        <v/>
      </c>
      <c r="C362" s="30" t="inlineStr">
        <is>
          <t>Un disque vinyl pour écouter de la musique.</t>
        </is>
      </c>
    </row>
    <row r="363">
      <c r="A363" s="30" t="inlineStr">
        <is>
          <t>logement</t>
        </is>
      </c>
      <c r="B363" s="26">
        <f>IFERROR(INDEX(Mots!$B:$B,MATCH($A363,Mots!$A:$A,0)),"introuvable")</f>
        <v/>
      </c>
      <c r="C363" s="30" t="inlineStr">
        <is>
          <t>Mon logement est un chalet</t>
        </is>
      </c>
      <c r="D363" s="30" t="inlineStr">
        <is>
          <t>J'ai aussi un appartement</t>
        </is>
      </c>
    </row>
    <row r="364">
      <c r="A364" s="30" t="inlineStr">
        <is>
          <t>mensonge</t>
        </is>
      </c>
      <c r="B364" s="26">
        <f>IFERROR(INDEX(Mots!$B:$B,MATCH($A364,Mots!$A:$A,0)),"introuvable")</f>
        <v/>
      </c>
      <c r="C364" s="30" t="inlineStr">
        <is>
          <t>C'est le contraire de la vérité.</t>
        </is>
      </c>
    </row>
    <row r="365">
      <c r="A365" s="30" t="inlineStr">
        <is>
          <t>numero</t>
        </is>
      </c>
      <c r="B365" s="26">
        <f>IFERROR(INDEX(Mots!$B:$B,MATCH($A365,Mots!$A:$A,0)),"introuvable")</f>
        <v/>
      </c>
      <c r="C365" s="30" t="inlineStr">
        <is>
          <t>Le numéro de téléphone</t>
        </is>
      </c>
      <c r="D365" s="30" t="inlineStr">
        <is>
          <t>La Route de Derborence 18a</t>
        </is>
      </c>
    </row>
    <row r="366">
      <c r="A366" s="30" t="inlineStr">
        <is>
          <t>v_partager</t>
        </is>
      </c>
      <c r="B366" s="26">
        <f>IFERROR(INDEX(Mots!$B:$B,MATCH($A366,Mots!$A:$A,0)),"introuvable")</f>
        <v/>
      </c>
      <c r="C366" s="30" t="inlineStr">
        <is>
          <t>Je partage mon sandwich avec toi.</t>
        </is>
      </c>
    </row>
    <row r="367">
      <c r="A367" s="30" t="inlineStr">
        <is>
          <t>passage</t>
        </is>
      </c>
      <c r="B367" s="26">
        <f>IFERROR(INDEX(Mots!$B:$B,MATCH($A367,Mots!$A:$A,0)),"introuvable")</f>
        <v/>
      </c>
      <c r="C367" s="30" t="inlineStr">
        <is>
          <t>Un passage piéton pour traverser la route</t>
        </is>
      </c>
      <c r="D367" s="30" t="inlineStr">
        <is>
          <t>Un passage sous voie pour sortir du train.</t>
        </is>
      </c>
    </row>
    <row r="368">
      <c r="A368" s="30" t="inlineStr">
        <is>
          <t>secteur</t>
        </is>
      </c>
      <c r="B368" s="26">
        <f>IFERROR(INDEX(Mots!$B:$B,MATCH($A368,Mots!$A:$A,0)),"introuvable")</f>
        <v/>
      </c>
      <c r="C368" s="30" t="inlineStr">
        <is>
          <t>Le secteur d'activité de Bativa c'est la construction.</t>
        </is>
      </c>
    </row>
    <row r="369">
      <c r="A369" s="30" t="inlineStr">
        <is>
          <t>tube</t>
        </is>
      </c>
      <c r="B369" s="26">
        <f>IFERROR(INDEX(Mots!$B:$B,MATCH($A369,Mots!$A:$A,0)),"introuvable")</f>
        <v/>
      </c>
      <c r="C369" s="30" t="inlineStr">
        <is>
          <t>Un tube néon pour éclairer</t>
        </is>
      </c>
      <c r="D369" s="30" t="inlineStr">
        <is>
          <t>un tube de dentifrice</t>
        </is>
      </c>
    </row>
    <row r="370">
      <c r="A370" s="30" t="inlineStr">
        <is>
          <t>exemple</t>
        </is>
      </c>
      <c r="B370" s="26">
        <f>IFERROR(INDEX(Mots!$B:$B,MATCH($A370,Mots!$A:$A,0)),"introuvable")</f>
        <v/>
      </c>
      <c r="C370" s="30" t="inlineStr">
        <is>
          <t>Donner un exemple</t>
        </is>
      </c>
    </row>
    <row r="371">
      <c r="A371" s="30" t="inlineStr">
        <is>
          <t>image</t>
        </is>
      </c>
      <c r="B371" s="26">
        <f>IFERROR(INDEX(Mots!$B:$B,MATCH($A371,Mots!$A:$A,0)),"introuvable")</f>
        <v/>
      </c>
      <c r="C371" s="30" t="inlineStr">
        <is>
          <t>Image = photo</t>
        </is>
      </c>
    </row>
    <row r="372">
      <c r="A372" s="30" t="inlineStr">
        <is>
          <t>v_lire</t>
        </is>
      </c>
      <c r="B372" s="26">
        <f>IFERROR(INDEX(Mots!$B:$B,MATCH($A372,Mots!$A:$A,0)),"introuvable")</f>
        <v/>
      </c>
      <c r="C372" s="30" t="inlineStr">
        <is>
          <t>Je lis le journal sur l'Ipad (tablette). Je lis un livre.</t>
        </is>
      </c>
    </row>
    <row r="373">
      <c r="A373" s="30" t="inlineStr">
        <is>
          <t>objet</t>
        </is>
      </c>
      <c r="B373" s="26">
        <f>IFERROR(INDEX(Mots!$B:$B,MATCH($A373,Mots!$A:$A,0)),"introuvable")</f>
        <v/>
      </c>
      <c r="C373" s="30" t="inlineStr">
        <is>
          <t>Un vélo</t>
        </is>
      </c>
      <c r="D373" s="30" t="inlineStr">
        <is>
          <t>une table</t>
        </is>
      </c>
      <c r="E373" s="30" t="inlineStr">
        <is>
          <t>un téléphone</t>
        </is>
      </c>
      <c r="F373" s="30" t="inlineStr">
        <is>
          <t>un ordinateur</t>
        </is>
      </c>
      <c r="G373" s="30" t="inlineStr">
        <is>
          <t>des clés</t>
        </is>
      </c>
      <c r="H373" s="30" t="inlineStr">
        <is>
          <t>une tondeuse</t>
        </is>
      </c>
    </row>
    <row r="374">
      <c r="A374" s="30" t="inlineStr">
        <is>
          <t>ombre</t>
        </is>
      </c>
      <c r="B374" s="26">
        <f>IFERROR(INDEX(Mots!$B:$B,MATCH($A374,Mots!$A:$A,0)),"introuvable")</f>
        <v/>
      </c>
      <c r="C374" s="30" t="inlineStr">
        <is>
          <t>Etre à l'ombre d'un arbre</t>
        </is>
      </c>
      <c r="D374" s="30" t="inlineStr">
        <is>
          <t>On voit mon ombre sur le trottoir.</t>
        </is>
      </c>
    </row>
    <row r="375">
      <c r="A375" s="30" t="inlineStr">
        <is>
          <t>v_monter</t>
        </is>
      </c>
      <c r="B375" s="26">
        <f>IFERROR(INDEX(Mots!$B:$B,MATCH($A375,Mots!$A:$A,0)),"introuvable")</f>
        <v/>
      </c>
      <c r="C375" s="30" t="inlineStr">
        <is>
          <t>Monter un escalier. Monter le chemin qui conduit à Lodze. Monter sur la montagne.</t>
        </is>
      </c>
    </row>
    <row r="376">
      <c r="A376" s="30" t="inlineStr">
        <is>
          <t>v_poser</t>
        </is>
      </c>
      <c r="B376" s="26">
        <f>IFERROR(INDEX(Mots!$B:$B,MATCH($A376,Mots!$A:$A,0)),"introuvable")</f>
        <v/>
      </c>
      <c r="C376" s="30" t="inlineStr">
        <is>
          <t>Poser un verre sur la table</t>
        </is>
      </c>
      <c r="D376" s="30" t="inlineStr">
        <is>
          <t>poser le téléphone sur le meuble</t>
        </is>
      </c>
      <c r="E376" s="30" t="inlineStr">
        <is>
          <t>poser la parquet</t>
        </is>
      </c>
      <c r="F376" s="30" t="inlineStr">
        <is>
          <t>poser du carrelage</t>
        </is>
      </c>
    </row>
    <row r="377">
      <c r="A377" s="30" t="inlineStr">
        <is>
          <t>v_prendre</t>
        </is>
      </c>
      <c r="B377" s="26">
        <f>IFERROR(INDEX(Mots!$B:$B,MATCH($A377,Mots!$A:$A,0)),"introuvable")</f>
        <v/>
      </c>
      <c r="C377" s="30" t="inlineStr">
        <is>
          <t>Je prends les clés de la voiture</t>
        </is>
      </c>
      <c r="D377" s="30" t="inlineStr">
        <is>
          <t>Je prends la voiture</t>
        </is>
      </c>
      <c r="E377" s="30" t="inlineStr">
        <is>
          <t>Je prends un Coca Cola.</t>
        </is>
      </c>
    </row>
    <row r="378">
      <c r="A378" s="30" t="inlineStr">
        <is>
          <t>v_ranger</t>
        </is>
      </c>
      <c r="B378" s="26">
        <f>IFERROR(INDEX(Mots!$B:$B,MATCH($A378,Mots!$A:$A,0)),"introuvable")</f>
        <v/>
      </c>
      <c r="C378" s="30" t="inlineStr">
        <is>
          <t>Ranger les habits dans l'armoire</t>
        </is>
      </c>
      <c r="D378" s="30" t="inlineStr">
        <is>
          <t>ranger les chaussures</t>
        </is>
      </c>
    </row>
    <row r="379">
      <c r="A379" s="30" t="inlineStr">
        <is>
          <t>v_reparer</t>
        </is>
      </c>
      <c r="B379" s="26">
        <f>IFERROR(INDEX(Mots!$B:$B,MATCH($A379,Mots!$A:$A,0)),"introuvable")</f>
        <v/>
      </c>
      <c r="C379" s="30" t="inlineStr">
        <is>
          <t>J'amène ma Dacia au Garage du Nord pour la réparer.</t>
        </is>
      </c>
    </row>
    <row r="380">
      <c r="A380" s="30" t="inlineStr">
        <is>
          <t>v_serrer</t>
        </is>
      </c>
      <c r="B380" s="26">
        <f>IFERROR(INDEX(Mots!$B:$B,MATCH($A380,Mots!$A:$A,0)),"introuvable")</f>
        <v/>
      </c>
      <c r="C380" s="30" t="inlineStr">
        <is>
          <t>On sert la main d'une personne. Un enfant sert son doudou dans ses bras. On peut également serrer un boulon avec une clé.</t>
        </is>
      </c>
    </row>
    <row r="381">
      <c r="A381" s="30" t="inlineStr">
        <is>
          <t>a_vitre</t>
        </is>
      </c>
      <c r="B381" s="26">
        <f>IFERROR(INDEX(Mots!$B:$B,MATCH($A381,Mots!$A:$A,0)),"introuvable")</f>
        <v/>
      </c>
      <c r="C381" s="30" t="inlineStr">
        <is>
          <t>Une fenêtre a des vitres</t>
        </is>
      </c>
      <c r="D381" s="30" t="inlineStr">
        <is>
          <t>Elle est vitrée</t>
        </is>
      </c>
    </row>
    <row r="382">
      <c r="A382" s="30" t="inlineStr">
        <is>
          <t>yogurt</t>
        </is>
      </c>
      <c r="B382" s="26">
        <f>IFERROR(INDEX(Mots!$B:$B,MATCH($A382,Mots!$A:$A,0)),"introuvable")</f>
        <v/>
      </c>
      <c r="C382" s="30" t="inlineStr">
        <is>
          <t>Un Yogurt mocha pour déjeûner.</t>
        </is>
      </c>
    </row>
    <row r="383">
      <c r="A383" s="30" t="inlineStr">
        <is>
          <t>big_mac</t>
        </is>
      </c>
      <c r="B383" s="26">
        <f>IFERROR(INDEX(Mots!$B:$B,MATCH($A383,Mots!$A:$A,0)),"introuvable")</f>
        <v/>
      </c>
      <c r="C383" s="30" t="inlineStr">
        <is>
          <t>Bonjour, j'aimerai un big mac avec des frites (medium) et un coca cola (medium).</t>
        </is>
      </c>
    </row>
    <row r="384">
      <c r="A384" s="30" t="inlineStr">
        <is>
          <t>gamme</t>
        </is>
      </c>
      <c r="B384" s="26">
        <f>IFERROR(INDEX(Mots!$B:$B,MATCH($A384,Mots!$A:$A,0)),"introuvable")</f>
        <v/>
      </c>
      <c r="C384" s="30" t="inlineStr">
        <is>
          <t>La gamme de do majeur ou la gamme de si bémol majeur. La gamme de ré mineur.</t>
        </is>
      </c>
    </row>
    <row r="385">
      <c r="A385" s="30" t="inlineStr">
        <is>
          <t>metronome</t>
        </is>
      </c>
      <c r="B385" s="26">
        <f>IFERROR(INDEX(Mots!$B:$B,MATCH($A385,Mots!$A:$A,0)),"introuvable")</f>
        <v/>
      </c>
      <c r="C385" s="30" t="inlineStr">
        <is>
          <t>Le directeur utilise un métronome pour vérifer que la fanfare joue le morceau dans le rythme correct.</t>
        </is>
      </c>
    </row>
    <row r="386">
      <c r="A386" s="30" t="inlineStr">
        <is>
          <t>appareil_photo</t>
        </is>
      </c>
      <c r="B386" s="26">
        <f>IFERROR(INDEX(Mots!$B:$B,MATCH($A386,Mots!$A:$A,0)),"introuvable")</f>
        <v/>
      </c>
      <c r="C386" s="30" t="inlineStr">
        <is>
          <t>Etienne fait une photo de la fanfare avec son appareil photo.</t>
        </is>
      </c>
    </row>
    <row r="387">
      <c r="A387" s="30" t="inlineStr">
        <is>
          <t>moustique</t>
        </is>
      </c>
      <c r="B387" s="26">
        <f>IFERROR(INDEX(Mots!$B:$B,MATCH($A387,Mots!$A:$A,0)),"introuvable")</f>
        <v/>
      </c>
      <c r="C387" s="30" t="inlineStr">
        <is>
          <t>J'ai été piqué par un moustique et j'ai un gros bouton.</t>
        </is>
      </c>
    </row>
    <row r="388">
      <c r="A388" s="30" t="inlineStr">
        <is>
          <t>v_quitter</t>
        </is>
      </c>
      <c r="B388" s="26">
        <f>IFERROR(INDEX(Mots!$B:$B,MATCH($A388,Mots!$A:$A,0)),"introuvable")</f>
        <v/>
      </c>
      <c r="C388" s="30" t="inlineStr">
        <is>
          <t>Quitter la ville de Sion pour la ville de Martigny</t>
        </is>
      </c>
    </row>
    <row r="389">
      <c r="A389" s="30" t="inlineStr">
        <is>
          <t>v_interdire</t>
        </is>
      </c>
      <c r="B389" s="26">
        <f>IFERROR(INDEX(Mots!$B:$B,MATCH($A389,Mots!$A:$A,0)),"introuvable")</f>
        <v/>
      </c>
      <c r="C389" s="30" t="inlineStr">
        <is>
          <t>Je t'interdis de prendre la voiture.</t>
        </is>
      </c>
    </row>
    <row r="390">
      <c r="A390" s="30" t="inlineStr">
        <is>
          <t>v_arriver</t>
        </is>
      </c>
      <c r="B390" s="26">
        <f>IFERROR(INDEX(Mots!$B:$B,MATCH($A390,Mots!$A:$A,0)),"introuvable")</f>
        <v/>
      </c>
      <c r="C390" s="30" t="inlineStr">
        <is>
          <t>Je parviens à joindre Olivier au téléphone.</t>
        </is>
      </c>
    </row>
    <row r="391">
      <c r="A391" s="30" t="inlineStr">
        <is>
          <t>poitrine</t>
        </is>
      </c>
      <c r="B391" s="26">
        <f>IFERROR(INDEX(Mots!$B:$B,MATCH($A391,Mots!$A:$A,0)),"introuvable")</f>
        <v/>
      </c>
      <c r="C391" s="30" t="inlineStr">
        <is>
          <t>Le médecin écoute ma poitrine.</t>
        </is>
      </c>
      <c r="I391" s="30" t="inlineStr">
        <is>
          <t>avoir mal à la poitrine</t>
        </is>
      </c>
    </row>
    <row r="392">
      <c r="A392" s="30" t="inlineStr">
        <is>
          <t>torse</t>
        </is>
      </c>
      <c r="B392" s="26">
        <f>IFERROR(INDEX(Mots!$B:$B,MATCH($A392,Mots!$A:$A,0)),"introuvable")</f>
        <v/>
      </c>
      <c r="C392" s="30" t="inlineStr">
        <is>
          <t>Il se met torse nu pour se laver.</t>
        </is>
      </c>
      <c r="I392" s="30" t="inlineStr">
        <is>
          <t>se mettre torse nu</t>
        </is>
      </c>
    </row>
    <row r="393">
      <c r="A393" s="30" t="inlineStr">
        <is>
          <t>epaule</t>
        </is>
      </c>
      <c r="B393" s="26">
        <f>IFERROR(INDEX(Mots!$B:$B,MATCH($A393,Mots!$A:$A,0)),"introuvable")</f>
        <v/>
      </c>
      <c r="C393" s="30" t="inlineStr">
        <is>
          <t>Je porte le sac sur mon épaule.</t>
        </is>
      </c>
      <c r="I393" s="30" t="inlineStr">
        <is>
          <t>hausser les épaules</t>
        </is>
      </c>
    </row>
    <row r="394">
      <c r="A394" s="30" t="inlineStr">
        <is>
          <t>joue</t>
        </is>
      </c>
      <c r="B394" s="26">
        <f>IFERROR(INDEX(Mots!$B:$B,MATCH($A394,Mots!$A:$A,0)),"introuvable")</f>
        <v/>
      </c>
      <c r="C394" s="30" t="inlineStr">
        <is>
          <t>Grand-maman me fait la bise sur la joue.</t>
        </is>
      </c>
      <c r="I394" s="30" t="inlineStr">
        <is>
          <t>faire la bise sur la joue</t>
        </is>
      </c>
    </row>
    <row r="395">
      <c r="A395" s="30" t="inlineStr">
        <is>
          <t>langue</t>
        </is>
      </c>
      <c r="B395" s="26">
        <f>IFERROR(INDEX(Mots!$B:$B,MATCH($A395,Mots!$A:$A,0)),"introuvable")</f>
        <v/>
      </c>
      <c r="C395" s="30" t="inlineStr">
        <is>
          <t>Je me suis mordu la langue.</t>
        </is>
      </c>
      <c r="I395" s="30" t="inlineStr">
        <is>
          <t>se mordre la langue</t>
        </is>
      </c>
    </row>
    <row r="396">
      <c r="A396" s="30" t="inlineStr">
        <is>
          <t>levre</t>
        </is>
      </c>
      <c r="B396" s="26">
        <f>IFERROR(INDEX(Mots!$B:$B,MATCH($A396,Mots!$A:$A,0)),"introuvable")</f>
        <v/>
      </c>
      <c r="C396" s="30" t="inlineStr">
        <is>
          <t>En hiver, j'ai les lèvres sèches.</t>
        </is>
      </c>
    </row>
    <row r="397">
      <c r="A397" s="30" t="inlineStr">
        <is>
          <t>cou</t>
        </is>
      </c>
      <c r="B397" s="26">
        <f>IFERROR(INDEX(Mots!$B:$B,MATCH($A397,Mots!$A:$A,0)),"introuvable")</f>
        <v/>
      </c>
      <c r="C397" s="30" t="inlineStr">
        <is>
          <t>Je mets l'écharpe autour du cou.</t>
        </is>
      </c>
      <c r="I397" s="30" t="inlineStr">
        <is>
          <t>autour du cou</t>
        </is>
      </c>
    </row>
    <row r="398">
      <c r="A398" s="30" t="inlineStr">
        <is>
          <t>front</t>
        </is>
      </c>
      <c r="B398" s="26">
        <f>IFERROR(INDEX(Mots!$B:$B,MATCH($A398,Mots!$A:$A,0)),"introuvable")</f>
        <v/>
      </c>
      <c r="C398" s="30" t="inlineStr">
        <is>
          <t>Il a de la fièvre, son front est chaud.</t>
        </is>
      </c>
    </row>
    <row r="399">
      <c r="A399" s="30" t="inlineStr">
        <is>
          <t>coude</t>
        </is>
      </c>
      <c r="B399" s="26">
        <f>IFERROR(INDEX(Mots!$B:$B,MATCH($A399,Mots!$A:$A,0)),"introuvable")</f>
        <v/>
      </c>
      <c r="C399" s="30" t="inlineStr">
        <is>
          <t>Je pose le coude sur la table.</t>
        </is>
      </c>
      <c r="I399" s="30" t="inlineStr">
        <is>
          <t>les coudes sur la table</t>
        </is>
      </c>
    </row>
    <row r="400">
      <c r="A400" s="30" t="inlineStr">
        <is>
          <t>genou</t>
        </is>
      </c>
      <c r="B400" s="26">
        <f>IFERROR(INDEX(Mots!$B:$B,MATCH($A400,Mots!$A:$A,0)),"introuvable")</f>
        <v/>
      </c>
      <c r="C400" s="30" t="inlineStr">
        <is>
          <t>L'enfant est tombé sur le genou.</t>
        </is>
      </c>
      <c r="I400" s="30" t="inlineStr">
        <is>
          <t>se mettre à genoux</t>
        </is>
      </c>
    </row>
    <row r="401">
      <c r="A401" s="30" t="inlineStr">
        <is>
          <t>peau</t>
        </is>
      </c>
      <c r="B401" s="26">
        <f>IFERROR(INDEX(Mots!$B:$B,MATCH($A401,Mots!$A:$A,0)),"introuvable")</f>
        <v/>
      </c>
      <c r="C401" s="30" t="inlineStr">
        <is>
          <t>Le soleil brûle la peau.</t>
        </is>
      </c>
      <c r="I401" s="30" t="inlineStr">
        <is>
          <t>avoir la peau douce</t>
        </is>
      </c>
    </row>
    <row r="402">
      <c r="A402" s="30" t="inlineStr">
        <is>
          <t>voix</t>
        </is>
      </c>
      <c r="B402" s="26">
        <f>IFERROR(INDEX(Mots!$B:$B,MATCH($A402,Mots!$A:$A,0)),"introuvable")</f>
        <v/>
      </c>
      <c r="C402" s="30" t="inlineStr">
        <is>
          <t>Il parle d'une voix douce.</t>
        </is>
      </c>
      <c r="I402" s="30" t="inlineStr">
        <is>
          <t>parler à voix basse</t>
        </is>
      </c>
    </row>
    <row r="403">
      <c r="A403" s="30" t="inlineStr">
        <is>
          <t>cerveau</t>
        </is>
      </c>
      <c r="B403" s="26">
        <f>IFERROR(INDEX(Mots!$B:$B,MATCH($A403,Mots!$A:$A,0)),"introuvable")</f>
        <v/>
      </c>
      <c r="C403" s="30" t="inlineStr">
        <is>
          <t>Le cerveau commande tout le corps.</t>
        </is>
      </c>
    </row>
    <row r="404">
      <c r="A404" s="30" t="inlineStr">
        <is>
          <t>muscle</t>
        </is>
      </c>
      <c r="B404" s="26">
        <f>IFERROR(INDEX(Mots!$B:$B,MATCH($A404,Mots!$A:$A,0)),"introuvable")</f>
        <v/>
      </c>
      <c r="C404" s="30" t="inlineStr">
        <is>
          <t>Après le sport, j'ai mal aux muscles.</t>
        </is>
      </c>
    </row>
    <row r="405">
      <c r="A405" s="30" t="inlineStr">
        <is>
          <t>sang</t>
        </is>
      </c>
      <c r="B405" s="26">
        <f>IFERROR(INDEX(Mots!$B:$B,MATCH($A405,Mots!$A:$A,0)),"introuvable")</f>
        <v/>
      </c>
      <c r="C405" s="30" t="inlineStr">
        <is>
          <t>Je me suis coupé, il y a du sang.</t>
        </is>
      </c>
      <c r="I405" s="30" t="inlineStr">
        <is>
          <t>une prise de sang</t>
        </is>
      </c>
    </row>
    <row r="406">
      <c r="A406" s="30" t="inlineStr">
        <is>
          <t>squelette</t>
        </is>
      </c>
      <c r="B406" s="26">
        <f>IFERROR(INDEX(Mots!$B:$B,MATCH($A406,Mots!$A:$A,0)),"introuvable")</f>
        <v/>
      </c>
      <c r="C406" s="30" t="inlineStr">
        <is>
          <t>Le squelette tient le corps debout.</t>
        </is>
      </c>
    </row>
    <row r="407">
      <c r="A407" s="30" t="inlineStr">
        <is>
          <t>estomac</t>
        </is>
      </c>
      <c r="B407" s="26">
        <f>IFERROR(INDEX(Mots!$B:$B,MATCH($A407,Mots!$A:$A,0)),"introuvable")</f>
        <v/>
      </c>
      <c r="C407" s="30" t="inlineStr">
        <is>
          <t>J'ai mal à l'estomac.</t>
        </is>
      </c>
      <c r="I407" s="30" t="inlineStr">
        <is>
          <t>avoir mal à l'estomac</t>
        </is>
      </c>
    </row>
    <row r="408">
      <c r="A408" s="30" t="inlineStr">
        <is>
          <t>ongle</t>
        </is>
      </c>
      <c r="B408" s="26">
        <f>IFERROR(INDEX(Mots!$B:$B,MATCH($A408,Mots!$A:$A,0)),"introuvable")</f>
        <v/>
      </c>
      <c r="C408" s="30" t="inlineStr">
        <is>
          <t>Je me coupe les ongles.</t>
        </is>
      </c>
      <c r="I408" s="30" t="inlineStr">
        <is>
          <t>se couper les ongles</t>
        </is>
      </c>
    </row>
    <row r="409">
      <c r="A409" s="30" t="inlineStr">
        <is>
          <t>os</t>
        </is>
      </c>
      <c r="B409" s="26">
        <f>IFERROR(INDEX(Mots!$B:$B,MATCH($A409,Mots!$A:$A,0)),"introuvable")</f>
        <v/>
      </c>
      <c r="C409" s="30" t="inlineStr">
        <is>
          <t>Le chien ronge un os.</t>
        </is>
      </c>
    </row>
    <row r="410">
      <c r="A410" s="30" t="inlineStr">
        <is>
          <t>bonnet</t>
        </is>
      </c>
      <c r="B410" s="26">
        <f>IFERROR(INDEX(Mots!$B:$B,MATCH($A410,Mots!$A:$A,0)),"introuvable")</f>
        <v/>
      </c>
      <c r="C410" s="30" t="inlineStr">
        <is>
          <t>Je mets un bonnet quand il neige.</t>
        </is>
      </c>
      <c r="I410" s="30" t="inlineStr">
        <is>
          <t>mettre un bonnet</t>
        </is>
      </c>
    </row>
    <row r="411">
      <c r="A411" s="30" t="inlineStr">
        <is>
          <t>gant</t>
        </is>
      </c>
      <c r="B411" s="26">
        <f>IFERROR(INDEX(Mots!$B:$B,MATCH($A411,Mots!$A:$A,0)),"introuvable")</f>
        <v/>
      </c>
      <c r="C411" s="30" t="inlineStr">
        <is>
          <t>L'hiver, je mets des gants.</t>
        </is>
      </c>
      <c r="I411" s="30" t="inlineStr">
        <is>
          <t>mettre des gants</t>
        </is>
      </c>
    </row>
    <row r="412">
      <c r="A412" s="30" t="inlineStr">
        <is>
          <t>echarpe</t>
        </is>
      </c>
      <c r="B412" s="26">
        <f>IFERROR(INDEX(Mots!$B:$B,MATCH($A412,Mots!$A:$A,0)),"introuvable")</f>
        <v/>
      </c>
      <c r="C412" s="30" t="inlineStr">
        <is>
          <t>L'écharpe tient le cou au chaud.</t>
        </is>
      </c>
      <c r="I412" s="30" t="inlineStr">
        <is>
          <t>mettre une écharpe</t>
        </is>
      </c>
    </row>
    <row r="413">
      <c r="A413" s="30" t="inlineStr">
        <is>
          <t>jupe</t>
        </is>
      </c>
      <c r="B413" s="26">
        <f>IFERROR(INDEX(Mots!$B:$B,MATCH($A413,Mots!$A:$A,0)),"introuvable")</f>
        <v/>
      </c>
      <c r="C413" s="30" t="inlineStr">
        <is>
          <t>Elle porte une jupe bleue.</t>
        </is>
      </c>
      <c r="I413" s="30" t="inlineStr">
        <is>
          <t>porter une jupe</t>
        </is>
      </c>
    </row>
    <row r="414">
      <c r="A414" s="30" t="inlineStr">
        <is>
          <t>bouteilles</t>
        </is>
      </c>
      <c r="B414" s="26">
        <f>IFERROR(INDEX(Mots!$B:$B,MATCH($A414,Mots!$A:$A,0)),"introuvable")</f>
        <v/>
      </c>
      <c r="C414" s="30" t="inlineStr">
        <is>
          <t>J'ouvre une bouteille d'eau.</t>
        </is>
      </c>
      <c r="I414" s="30" t="inlineStr">
        <is>
          <t>ouvrir une bouteille</t>
        </is>
      </c>
    </row>
    <row r="415">
      <c r="A415" s="30" t="inlineStr">
        <is>
          <t>vaisselle</t>
        </is>
      </c>
      <c r="B415" s="26">
        <f>IFERROR(INDEX(Mots!$B:$B,MATCH($A415,Mots!$A:$A,0)),"introuvable")</f>
        <v/>
      </c>
      <c r="C415" s="30" t="inlineStr">
        <is>
          <t>Après le repas, on fait la vaisselle.</t>
        </is>
      </c>
      <c r="I415" s="30" t="inlineStr">
        <is>
          <t>faire la vaisselle</t>
        </is>
      </c>
    </row>
    <row r="416">
      <c r="A416" s="30" t="inlineStr">
        <is>
          <t>the</t>
        </is>
      </c>
      <c r="B416" s="26">
        <f>IFERROR(INDEX(Mots!$B:$B,MATCH($A416,Mots!$A:$A,0)),"introuvable")</f>
        <v/>
      </c>
      <c r="C416" s="30" t="inlineStr">
        <is>
          <t>Je bois un thé chaud le matin.</t>
        </is>
      </c>
      <c r="I416" s="30" t="inlineStr">
        <is>
          <t>boire un thé</t>
        </is>
      </c>
    </row>
    <row r="417">
      <c r="A417" s="30" t="inlineStr">
        <is>
          <t>pomme</t>
        </is>
      </c>
      <c r="B417" s="26">
        <f>IFERROR(INDEX(Mots!$B:$B,MATCH($A417,Mots!$A:$A,0)),"introuvable")</f>
        <v/>
      </c>
      <c r="C417" s="30" t="inlineStr">
        <is>
          <t>Je mange une pomme à midi.</t>
        </is>
      </c>
      <c r="I417" s="30" t="inlineStr">
        <is>
          <t>croquer une pomme</t>
        </is>
      </c>
    </row>
    <row r="418">
      <c r="A418" s="30" t="inlineStr">
        <is>
          <t>poire</t>
        </is>
      </c>
      <c r="B418" s="26">
        <f>IFERROR(INDEX(Mots!$B:$B,MATCH($A418,Mots!$A:$A,0)),"introuvable")</f>
        <v/>
      </c>
      <c r="C418" s="30" t="inlineStr">
        <is>
          <t>La poire est mûre, elle est très sucrée.</t>
        </is>
      </c>
    </row>
    <row r="419">
      <c r="A419" s="30" t="inlineStr">
        <is>
          <t>pruneau</t>
        </is>
      </c>
      <c r="B419" s="26">
        <f>IFERROR(INDEX(Mots!$B:$B,MATCH($A419,Mots!$A:$A,0)),"introuvable")</f>
        <v/>
      </c>
      <c r="C419" s="30" t="inlineStr">
        <is>
          <t>On fait une tarte aux pruneaux.</t>
        </is>
      </c>
      <c r="I419" s="30" t="inlineStr">
        <is>
          <t>une tarte aux pruneaux</t>
        </is>
      </c>
    </row>
    <row r="420">
      <c r="A420" s="30" t="inlineStr">
        <is>
          <t>cerise</t>
        </is>
      </c>
      <c r="B420" s="26">
        <f>IFERROR(INDEX(Mots!$B:$B,MATCH($A420,Mots!$A:$A,0)),"introuvable")</f>
        <v/>
      </c>
      <c r="C420" s="30" t="inlineStr">
        <is>
          <t>Les cerises sont rouges en juin.</t>
        </is>
      </c>
    </row>
    <row r="421">
      <c r="A421" s="30" t="inlineStr">
        <is>
          <t>abricot</t>
        </is>
      </c>
      <c r="B421" s="26">
        <f>IFERROR(INDEX(Mots!$B:$B,MATCH($A421,Mots!$A:$A,0)),"introuvable")</f>
        <v/>
      </c>
      <c r="C421" s="30" t="inlineStr">
        <is>
          <t>Les abricots du Valais sont sucrés.</t>
        </is>
      </c>
    </row>
    <row r="422">
      <c r="A422" s="30" t="inlineStr">
        <is>
          <t>fraise</t>
        </is>
      </c>
      <c r="B422" s="26">
        <f>IFERROR(INDEX(Mots!$B:$B,MATCH($A422,Mots!$A:$A,0)),"introuvable")</f>
        <v/>
      </c>
      <c r="C422" s="30" t="inlineStr">
        <is>
          <t>On cueille les fraises au jardin.</t>
        </is>
      </c>
      <c r="I422" s="30" t="inlineStr">
        <is>
          <t>cueillir des fraises</t>
        </is>
      </c>
    </row>
    <row r="423">
      <c r="A423" s="30" t="inlineStr">
        <is>
          <t>framboise</t>
        </is>
      </c>
      <c r="B423" s="26">
        <f>IFERROR(INDEX(Mots!$B:$B,MATCH($A423,Mots!$A:$A,0)),"introuvable")</f>
        <v/>
      </c>
      <c r="C423" s="30" t="inlineStr">
        <is>
          <t>Je mets des framboises sur le gâteau.</t>
        </is>
      </c>
    </row>
    <row r="424">
      <c r="A424" s="30" t="inlineStr">
        <is>
          <t>banane</t>
        </is>
      </c>
      <c r="B424" s="26">
        <f>IFERROR(INDEX(Mots!$B:$B,MATCH($A424,Mots!$A:$A,0)),"introuvable")</f>
        <v/>
      </c>
      <c r="C424" s="30" t="inlineStr">
        <is>
          <t>J'épluche la banane avant de la manger.</t>
        </is>
      </c>
      <c r="I424" s="30" t="inlineStr">
        <is>
          <t>éplucher une banane</t>
        </is>
      </c>
    </row>
    <row r="425">
      <c r="A425" s="30" t="inlineStr">
        <is>
          <t>orange</t>
        </is>
      </c>
      <c r="B425" s="26">
        <f>IFERROR(INDEX(Mots!$B:$B,MATCH($A425,Mots!$A:$A,0)),"introuvable")</f>
        <v/>
      </c>
      <c r="C425" s="30" t="inlineStr">
        <is>
          <t>Je presse une orange pour faire du jus.</t>
        </is>
      </c>
      <c r="I425" s="30" t="inlineStr">
        <is>
          <t>presser une orange</t>
        </is>
      </c>
    </row>
    <row r="426">
      <c r="A426" s="30" t="inlineStr">
        <is>
          <t>mandarine</t>
        </is>
      </c>
      <c r="B426" s="26">
        <f>IFERROR(INDEX(Mots!$B:$B,MATCH($A426,Mots!$A:$A,0)),"introuvable")</f>
        <v/>
      </c>
      <c r="C426" s="30" t="inlineStr">
        <is>
          <t>La mandarine s'épluche facilement.</t>
        </is>
      </c>
    </row>
    <row r="427">
      <c r="A427" s="30" t="inlineStr">
        <is>
          <t>avocat</t>
        </is>
      </c>
      <c r="B427" s="26">
        <f>IFERROR(INDEX(Mots!$B:$B,MATCH($A427,Mots!$A:$A,0)),"introuvable")</f>
        <v/>
      </c>
      <c r="C427" s="30" t="inlineStr">
        <is>
          <t>On coupe l'avocat en deux.</t>
        </is>
      </c>
    </row>
    <row r="428">
      <c r="A428" s="30" t="inlineStr">
        <is>
          <t>noix</t>
        </is>
      </c>
      <c r="B428" s="26">
        <f>IFERROR(INDEX(Mots!$B:$B,MATCH($A428,Mots!$A:$A,0)),"introuvable")</f>
        <v/>
      </c>
      <c r="C428" s="30" t="inlineStr">
        <is>
          <t>On casse les noix avant de les manger.</t>
        </is>
      </c>
      <c r="I428" s="30" t="inlineStr">
        <is>
          <t>casser une noix</t>
        </is>
      </c>
    </row>
    <row r="429">
      <c r="A429" s="30" t="inlineStr">
        <is>
          <t>peche</t>
        </is>
      </c>
      <c r="B429" s="26">
        <f>IFERROR(INDEX(Mots!$B:$B,MATCH($A429,Mots!$A:$A,0)),"introuvable")</f>
        <v/>
      </c>
      <c r="C429" s="30" t="inlineStr">
        <is>
          <t>La pêche a la peau douce.</t>
        </is>
      </c>
    </row>
    <row r="430">
      <c r="A430" s="30" t="inlineStr">
        <is>
          <t>raisin</t>
        </is>
      </c>
      <c r="B430" s="26">
        <f>IFERROR(INDEX(Mots!$B:$B,MATCH($A430,Mots!$A:$A,0)),"introuvable")</f>
        <v/>
      </c>
      <c r="C430" s="30" t="inlineStr">
        <is>
          <t>Le raisin pousse dans la vigne.</t>
        </is>
      </c>
    </row>
    <row r="431">
      <c r="A431" s="30" t="inlineStr">
        <is>
          <t>brocoli</t>
        </is>
      </c>
      <c r="B431" s="26">
        <f>IFERROR(INDEX(Mots!$B:$B,MATCH($A431,Mots!$A:$A,0)),"introuvable")</f>
        <v/>
      </c>
      <c r="C431" s="30" t="inlineStr">
        <is>
          <t>Je fais cuire le brocoli à l'eau.</t>
        </is>
      </c>
    </row>
    <row r="432">
      <c r="A432" s="30" t="inlineStr">
        <is>
          <t>asperge</t>
        </is>
      </c>
      <c r="B432" s="26">
        <f>IFERROR(INDEX(Mots!$B:$B,MATCH($A432,Mots!$A:$A,0)),"introuvable")</f>
        <v/>
      </c>
      <c r="C432" s="30" t="inlineStr">
        <is>
          <t>Les asperges se mangent au printemps.</t>
        </is>
      </c>
    </row>
    <row r="433">
      <c r="A433" s="30" t="inlineStr">
        <is>
          <t>salade_laitue</t>
        </is>
      </c>
      <c r="B433" s="26">
        <f>IFERROR(INDEX(Mots!$B:$B,MATCH($A433,Mots!$A:$A,0)),"introuvable")</f>
        <v/>
      </c>
      <c r="C433" s="30" t="inlineStr">
        <is>
          <t>Je lave la salade avant de la servir.</t>
        </is>
      </c>
      <c r="I433" s="30" t="inlineStr">
        <is>
          <t>laver la salade</t>
        </is>
      </c>
    </row>
    <row r="434">
      <c r="A434" s="30" t="inlineStr">
        <is>
          <t>betterave</t>
        </is>
      </c>
      <c r="B434" s="26">
        <f>IFERROR(INDEX(Mots!$B:$B,MATCH($A434,Mots!$A:$A,0)),"introuvable")</f>
        <v/>
      </c>
      <c r="C434" s="30" t="inlineStr">
        <is>
          <t>La betterave tache les doigts.</t>
        </is>
      </c>
    </row>
    <row r="435">
      <c r="A435" s="30" t="inlineStr">
        <is>
          <t>haricot</t>
        </is>
      </c>
      <c r="B435" s="26">
        <f>IFERROR(INDEX(Mots!$B:$B,MATCH($A435,Mots!$A:$A,0)),"introuvable")</f>
        <v/>
      </c>
      <c r="C435" s="30" t="inlineStr">
        <is>
          <t>Les haricots cuisent dix minutes.</t>
        </is>
      </c>
    </row>
    <row r="436">
      <c r="A436" s="30" t="inlineStr">
        <is>
          <t>oignon</t>
        </is>
      </c>
      <c r="B436" s="26">
        <f>IFERROR(INDEX(Mots!$B:$B,MATCH($A436,Mots!$A:$A,0)),"introuvable")</f>
        <v/>
      </c>
      <c r="C436" s="30" t="inlineStr">
        <is>
          <t>L'oignon fait pleurer quand on le coupe.</t>
        </is>
      </c>
      <c r="I436" s="30" t="inlineStr">
        <is>
          <t>éplucher un oignon</t>
        </is>
      </c>
    </row>
    <row r="437">
      <c r="A437" s="30" t="inlineStr">
        <is>
          <t>cornette_pate</t>
        </is>
      </c>
      <c r="B437" s="26">
        <f>IFERROR(INDEX(Mots!$B:$B,MATCH($A437,Mots!$A:$A,0)),"introuvable")</f>
        <v/>
      </c>
      <c r="C437" s="30" t="inlineStr">
        <is>
          <t>Les cornettes cuisent en huit minutes.</t>
        </is>
      </c>
    </row>
    <row r="438">
      <c r="A438" s="30" t="inlineStr">
        <is>
          <t>penne_pate</t>
        </is>
      </c>
      <c r="B438" s="26">
        <f>IFERROR(INDEX(Mots!$B:$B,MATCH($A438,Mots!$A:$A,0)),"introuvable")</f>
        <v/>
      </c>
      <c r="C438" s="30" t="inlineStr">
        <is>
          <t>Je fais des pennes à la sauce tomate.</t>
        </is>
      </c>
    </row>
    <row r="439">
      <c r="A439" s="30" t="inlineStr">
        <is>
          <t>polenta</t>
        </is>
      </c>
      <c r="B439" s="26">
        <f>IFERROR(INDEX(Mots!$B:$B,MATCH($A439,Mots!$A:$A,0)),"introuvable")</f>
        <v/>
      </c>
      <c r="C439" s="30" t="inlineStr">
        <is>
          <t>La polenta se mange bien chaude.</t>
        </is>
      </c>
    </row>
    <row r="440">
      <c r="A440" s="30" t="inlineStr">
        <is>
          <t>fondue</t>
        </is>
      </c>
      <c r="B440" s="26">
        <f>IFERROR(INDEX(Mots!$B:$B,MATCH($A440,Mots!$A:$A,0)),"introuvable")</f>
        <v/>
      </c>
      <c r="C440" s="30" t="inlineStr">
        <is>
          <t>On fait une fondue quand il fait froid.</t>
        </is>
      </c>
      <c r="I440" s="30" t="inlineStr">
        <is>
          <t>faire une fondue</t>
        </is>
      </c>
    </row>
    <row r="441">
      <c r="A441" s="30" t="inlineStr">
        <is>
          <t>raclette</t>
        </is>
      </c>
      <c r="B441" s="26">
        <f>IFERROR(INDEX(Mots!$B:$B,MATCH($A441,Mots!$A:$A,0)),"introuvable")</f>
        <v/>
      </c>
      <c r="C441" s="30" t="inlineStr">
        <is>
          <t>On invite les amis pour une raclette.</t>
        </is>
      </c>
      <c r="I441" s="30" t="inlineStr">
        <is>
          <t>faire une raclette</t>
        </is>
      </c>
    </row>
    <row r="442">
      <c r="A442" s="30" t="inlineStr">
        <is>
          <t>caquelon_rechaud</t>
        </is>
      </c>
      <c r="B442" s="26">
        <f>IFERROR(INDEX(Mots!$B:$B,MATCH($A442,Mots!$A:$A,0)),"introuvable")</f>
        <v/>
      </c>
      <c r="C442" s="30" t="inlineStr">
        <is>
          <t>Le caquelon chauffe sur le réchaud.</t>
        </is>
      </c>
    </row>
    <row r="443">
      <c r="A443" s="30" t="inlineStr">
        <is>
          <t>serpillere</t>
        </is>
      </c>
      <c r="B443" s="26">
        <f>IFERROR(INDEX(Mots!$B:$B,MATCH($A443,Mots!$A:$A,0)),"introuvable")</f>
        <v/>
      </c>
      <c r="C443" s="30" t="inlineStr">
        <is>
          <t>Je passe la serpillière sur le sol.</t>
        </is>
      </c>
      <c r="I443" s="30" t="inlineStr">
        <is>
          <t>passer la serpillière</t>
        </is>
      </c>
    </row>
    <row r="444">
      <c r="A444" s="30" t="inlineStr">
        <is>
          <t>chiffon</t>
        </is>
      </c>
      <c r="B444" s="26">
        <f>IFERROR(INDEX(Mots!$B:$B,MATCH($A444,Mots!$A:$A,0)),"introuvable")</f>
        <v/>
      </c>
      <c r="C444" s="30" t="inlineStr">
        <is>
          <t>J'essuie la table avec un chiffon.</t>
        </is>
      </c>
      <c r="I444" s="30" t="inlineStr">
        <is>
          <t>un coup de chiffon</t>
        </is>
      </c>
    </row>
    <row r="445">
      <c r="A445" s="30" t="inlineStr">
        <is>
          <t>eponge</t>
        </is>
      </c>
      <c r="B445" s="26">
        <f>IFERROR(INDEX(Mots!$B:$B,MATCH($A445,Mots!$A:$A,0)),"introuvable")</f>
        <v/>
      </c>
      <c r="C445" s="30" t="inlineStr">
        <is>
          <t>L'éponge sert à laver la vaisselle.</t>
        </is>
      </c>
      <c r="I445" s="30" t="inlineStr">
        <is>
          <t>un coup d'éponge</t>
        </is>
      </c>
    </row>
    <row r="446">
      <c r="A446" s="30" t="inlineStr">
        <is>
          <t>lessive</t>
        </is>
      </c>
      <c r="B446" s="26">
        <f>IFERROR(INDEX(Mots!$B:$B,MATCH($A446,Mots!$A:$A,0)),"introuvable")</f>
        <v/>
      </c>
      <c r="C446" s="30" t="inlineStr">
        <is>
          <t>Je mets de la lessive dans la machine.</t>
        </is>
      </c>
      <c r="I446" s="30" t="inlineStr">
        <is>
          <t>faire la lessive</t>
        </is>
      </c>
    </row>
    <row r="447">
      <c r="A447" s="30" t="inlineStr">
        <is>
          <t>linge</t>
        </is>
      </c>
      <c r="B447" s="26">
        <f>IFERROR(INDEX(Mots!$B:$B,MATCH($A447,Mots!$A:$A,0)),"introuvable")</f>
        <v/>
      </c>
      <c r="C447" s="30" t="inlineStr">
        <is>
          <t>J'étends le linge dehors quand il fait beau.</t>
        </is>
      </c>
      <c r="I447" s="30" t="inlineStr">
        <is>
          <t>étendre le linge</t>
        </is>
      </c>
    </row>
    <row r="448">
      <c r="A448" s="30" t="inlineStr">
        <is>
          <t>entonnoir</t>
        </is>
      </c>
      <c r="B448" s="26">
        <f>IFERROR(INDEX(Mots!$B:$B,MATCH($A448,Mots!$A:$A,0)),"introuvable")</f>
        <v/>
      </c>
      <c r="C448" s="30" t="inlineStr">
        <is>
          <t>L'entonnoir évite de renverser.</t>
        </is>
      </c>
    </row>
    <row r="449">
      <c r="A449" s="30" t="inlineStr">
        <is>
          <t>cle</t>
        </is>
      </c>
      <c r="B449" s="26">
        <f>IFERROR(INDEX(Mots!$B:$B,MATCH($A449,Mots!$A:$A,0)),"introuvable")</f>
        <v/>
      </c>
      <c r="C449" s="30" t="inlineStr">
        <is>
          <t>Je ferme la porte à clé.</t>
        </is>
      </c>
      <c r="I449" s="30" t="inlineStr">
        <is>
          <t>fermer à clé</t>
        </is>
      </c>
    </row>
    <row r="450">
      <c r="A450" s="30" t="inlineStr">
        <is>
          <t>porte_monnaie</t>
        </is>
      </c>
      <c r="B450" s="26">
        <f>IFERROR(INDEX(Mots!$B:$B,MATCH($A450,Mots!$A:$A,0)),"introuvable")</f>
        <v/>
      </c>
      <c r="C450" s="30" t="inlineStr">
        <is>
          <t>Mon porte-monnaie est dans ma poche.</t>
        </is>
      </c>
    </row>
    <row r="451">
      <c r="A451" s="30" t="inlineStr">
        <is>
          <t>portiere</t>
        </is>
      </c>
      <c r="B451" s="26">
        <f>IFERROR(INDEX(Mots!$B:$B,MATCH($A451,Mots!$A:$A,0)),"introuvable")</f>
        <v/>
      </c>
      <c r="C451" s="30" t="inlineStr">
        <is>
          <t>J'ouvre la portière pour monter.</t>
        </is>
      </c>
      <c r="I451" s="30" t="inlineStr">
        <is>
          <t>ouvrir la portière</t>
        </is>
      </c>
    </row>
    <row r="452">
      <c r="A452" s="30" t="inlineStr">
        <is>
          <t>clignotant</t>
        </is>
      </c>
      <c r="B452" s="26">
        <f>IFERROR(INDEX(Mots!$B:$B,MATCH($A452,Mots!$A:$A,0)),"introuvable")</f>
        <v/>
      </c>
      <c r="C452" s="30" t="inlineStr">
        <is>
          <t>Je mets le clignotant avant de tourner.</t>
        </is>
      </c>
      <c r="I452" s="30" t="inlineStr">
        <is>
          <t>mettre le clignotant</t>
        </is>
      </c>
    </row>
    <row r="453">
      <c r="A453" s="30" t="inlineStr">
        <is>
          <t>klaxon</t>
        </is>
      </c>
      <c r="B453" s="26">
        <f>IFERROR(INDEX(Mots!$B:$B,MATCH($A453,Mots!$A:$A,0)),"introuvable")</f>
        <v/>
      </c>
      <c r="C453" s="30" t="inlineStr">
        <is>
          <t>Il donne un coup de klaxon.</t>
        </is>
      </c>
      <c r="I453" s="30" t="inlineStr">
        <is>
          <t>un coup de klaxon</t>
        </is>
      </c>
    </row>
    <row r="454">
      <c r="A454" s="30" t="inlineStr">
        <is>
          <t>phare</t>
        </is>
      </c>
      <c r="B454" s="26">
        <f>IFERROR(INDEX(Mots!$B:$B,MATCH($A454,Mots!$A:$A,0)),"introuvable")</f>
        <v/>
      </c>
      <c r="C454" s="30" t="inlineStr">
        <is>
          <t>La nuit, j'allume les phares.</t>
        </is>
      </c>
      <c r="I454" s="30" t="inlineStr">
        <is>
          <t>allumer les phares</t>
        </is>
      </c>
    </row>
    <row r="455">
      <c r="A455" s="30" t="inlineStr">
        <is>
          <t>retroviseur</t>
        </is>
      </c>
      <c r="B455" s="26">
        <f>IFERROR(INDEX(Mots!$B:$B,MATCH($A455,Mots!$A:$A,0)),"introuvable")</f>
        <v/>
      </c>
      <c r="C455" s="30" t="inlineStr">
        <is>
          <t>Je regarde dans le rétroviseur.</t>
        </is>
      </c>
    </row>
    <row r="456">
      <c r="A456" s="30" t="inlineStr">
        <is>
          <t>vitesse</t>
        </is>
      </c>
      <c r="B456" s="26">
        <f>IFERROR(INDEX(Mots!$B:$B,MATCH($A456,Mots!$A:$A,0)),"introuvable")</f>
        <v/>
      </c>
      <c r="C456" s="30" t="inlineStr">
        <is>
          <t>Il roule à grande vitesse.</t>
        </is>
      </c>
      <c r="I456" s="30" t="inlineStr">
        <is>
          <t>à toute vitesse</t>
        </is>
      </c>
    </row>
    <row r="457">
      <c r="A457" s="30" t="inlineStr">
        <is>
          <t>piece_monnaie</t>
        </is>
      </c>
      <c r="B457" s="26">
        <f>IFERROR(INDEX(Mots!$B:$B,MATCH($A457,Mots!$A:$A,0)),"introuvable")</f>
        <v/>
      </c>
      <c r="C457" s="30" t="inlineStr">
        <is>
          <t>Je paie avec une pièce de deux francs.</t>
        </is>
      </c>
    </row>
    <row r="458">
      <c r="A458" s="30" t="inlineStr">
        <is>
          <t>code_nip</t>
        </is>
      </c>
      <c r="B458" s="26">
        <f>IFERROR(INDEX(Mots!$B:$B,MATCH($A458,Mots!$A:$A,0)),"introuvable")</f>
        <v/>
      </c>
      <c r="C458" s="30" t="inlineStr">
        <is>
          <t>Je tape mon code au bancomat.</t>
        </is>
      </c>
      <c r="I458" s="30" t="inlineStr">
        <is>
          <t>taper son code</t>
        </is>
      </c>
    </row>
    <row r="459">
      <c r="A459" s="30" t="inlineStr">
        <is>
          <t>compte</t>
        </is>
      </c>
      <c r="B459" s="26">
        <f>IFERROR(INDEX(Mots!$B:$B,MATCH($A459,Mots!$A:$A,0)),"introuvable")</f>
        <v/>
      </c>
      <c r="C459" s="30" t="inlineStr">
        <is>
          <t>J'ai de l'argent sur mon compte.</t>
        </is>
      </c>
    </row>
    <row r="460">
      <c r="A460" s="30" t="inlineStr">
        <is>
          <t>guichet</t>
        </is>
      </c>
      <c r="B460" s="26">
        <f>IFERROR(INDEX(Mots!$B:$B,MATCH($A460,Mots!$A:$A,0)),"introuvable")</f>
        <v/>
      </c>
      <c r="C460" s="30" t="inlineStr">
        <is>
          <t>Je vais au guichet de la poste.</t>
        </is>
      </c>
      <c r="I460" s="30" t="inlineStr">
        <is>
          <t>aller au guichet</t>
        </is>
      </c>
    </row>
    <row r="461">
      <c r="A461" s="30" t="inlineStr">
        <is>
          <t>retrait</t>
        </is>
      </c>
      <c r="B461" s="26">
        <f>IFERROR(INDEX(Mots!$B:$B,MATCH($A461,Mots!$A:$A,0)),"introuvable")</f>
        <v/>
      </c>
      <c r="C461" s="30" t="inlineStr">
        <is>
          <t>Je fais un retrait de cent francs.</t>
        </is>
      </c>
      <c r="I461" s="30" t="inlineStr">
        <is>
          <t>faire un retrait</t>
        </is>
      </c>
    </row>
    <row r="462">
      <c r="A462" s="30" t="inlineStr">
        <is>
          <t>solde</t>
        </is>
      </c>
      <c r="B462" s="26">
        <f>IFERROR(INDEX(Mots!$B:$B,MATCH($A462,Mots!$A:$A,0)),"introuvable")</f>
        <v/>
      </c>
      <c r="C462" s="30" t="inlineStr">
        <is>
          <t>Je regarde le solde de mon compte.</t>
        </is>
      </c>
    </row>
    <row r="463">
      <c r="A463" s="30" t="inlineStr">
        <is>
          <t>virement</t>
        </is>
      </c>
      <c r="B463" s="26">
        <f>IFERROR(INDEX(Mots!$B:$B,MATCH($A463,Mots!$A:$A,0)),"introuvable")</f>
        <v/>
      </c>
      <c r="C463" s="30" t="inlineStr">
        <is>
          <t>Je fais un virement pour payer la facture.</t>
        </is>
      </c>
      <c r="I463" s="30" t="inlineStr">
        <is>
          <t>faire un virement</t>
        </is>
      </c>
    </row>
    <row r="464">
      <c r="A464" s="30" t="inlineStr">
        <is>
          <t>pret_hypothecaire</t>
        </is>
      </c>
      <c r="B464" s="26">
        <f>IFERROR(INDEX(Mots!$B:$B,MATCH($A464,Mots!$A:$A,0)),"introuvable")</f>
        <v/>
      </c>
      <c r="C464" s="30" t="inlineStr">
        <is>
          <t>Nous remboursons le prêt chaque mois.</t>
        </is>
      </c>
    </row>
    <row r="465">
      <c r="A465" s="30" t="inlineStr">
        <is>
          <t>spectacle</t>
        </is>
      </c>
      <c r="B465" s="26">
        <f>IFERROR(INDEX(Mots!$B:$B,MATCH($A465,Mots!$A:$A,0)),"introuvable")</f>
        <v/>
      </c>
      <c r="C465" s="30" t="inlineStr">
        <is>
          <t>Nous allons voir un spectacle ce soir.</t>
        </is>
      </c>
      <c r="I465" s="30" t="inlineStr">
        <is>
          <t>aller au spectacle</t>
        </is>
      </c>
    </row>
    <row r="466">
      <c r="A466" s="30" t="inlineStr">
        <is>
          <t>v_accepter</t>
        </is>
      </c>
      <c r="B466" s="26">
        <f>IFERROR(INDEX(Mots!$B:$B,MATCH($A466,Mots!$A:$A,0)),"introuvable")</f>
        <v/>
      </c>
      <c r="C466" s="30" t="inlineStr">
        <is>
          <t>Il accepte de venir avec nous.</t>
        </is>
      </c>
      <c r="I466" s="30" t="inlineStr">
        <is>
          <t>accepter une invitation</t>
        </is>
      </c>
    </row>
    <row r="467">
      <c r="A467" s="30" t="inlineStr">
        <is>
          <t>v_acheter</t>
        </is>
      </c>
      <c r="B467" s="26">
        <f>IFERROR(INDEX(Mots!$B:$B,MATCH($A467,Mots!$A:$A,0)),"introuvable")</f>
        <v/>
      </c>
      <c r="C467" s="30" t="inlineStr">
        <is>
          <t>J'achète le pain à la boulangerie.</t>
        </is>
      </c>
      <c r="I467" s="30" t="inlineStr">
        <is>
          <t>acheter du pain</t>
        </is>
      </c>
    </row>
    <row r="468">
      <c r="A468" s="30" t="inlineStr">
        <is>
          <t>v_aider</t>
        </is>
      </c>
      <c r="B468" s="26">
        <f>IFERROR(INDEX(Mots!$B:$B,MATCH($A468,Mots!$A:$A,0)),"introuvable")</f>
        <v/>
      </c>
      <c r="C468" s="30" t="inlineStr">
        <is>
          <t>Je l'aide à porter les sacs.</t>
        </is>
      </c>
      <c r="I468" s="30" t="inlineStr">
        <is>
          <t>aider à porter</t>
        </is>
      </c>
    </row>
    <row r="469">
      <c r="A469" s="30" t="inlineStr">
        <is>
          <t>v_aimer</t>
        </is>
      </c>
      <c r="B469" s="26">
        <f>IFERROR(INDEX(Mots!$B:$B,MATCH($A469,Mots!$A:$A,0)),"introuvable")</f>
        <v/>
      </c>
      <c r="C469" s="30" t="inlineStr">
        <is>
          <t>J'aime beaucoup ma famille.</t>
        </is>
      </c>
      <c r="I469" s="30" t="inlineStr">
        <is>
          <t>aimer sa famille</t>
        </is>
      </c>
    </row>
    <row r="470">
      <c r="A470" s="30" t="inlineStr">
        <is>
          <t>v_aller</t>
        </is>
      </c>
      <c r="B470" s="26">
        <f>IFERROR(INDEX(Mots!$B:$B,MATCH($A470,Mots!$A:$A,0)),"introuvable")</f>
        <v/>
      </c>
      <c r="C470" s="30" t="inlineStr">
        <is>
          <t>Demain, je vais au village.</t>
        </is>
      </c>
      <c r="I470" s="30" t="inlineStr">
        <is>
          <t>aller au travail</t>
        </is>
      </c>
    </row>
    <row r="471">
      <c r="A471" s="30" t="inlineStr">
        <is>
          <t>v_annoncer</t>
        </is>
      </c>
      <c r="B471" s="26">
        <f>IFERROR(INDEX(Mots!$B:$B,MATCH($A471,Mots!$A:$A,0)),"introuvable")</f>
        <v/>
      </c>
      <c r="C471" s="30" t="inlineStr">
        <is>
          <t>Il annonce une bonne nouvelle.</t>
        </is>
      </c>
      <c r="I471" s="30" t="inlineStr">
        <is>
          <t>annoncer une nouvelle</t>
        </is>
      </c>
    </row>
    <row r="472">
      <c r="A472" s="30" t="inlineStr">
        <is>
          <t>v_appeler</t>
        </is>
      </c>
      <c r="B472" s="26">
        <f>IFERROR(INDEX(Mots!$B:$B,MATCH($A472,Mots!$A:$A,0)),"introuvable")</f>
        <v/>
      </c>
      <c r="C472" s="30" t="inlineStr">
        <is>
          <t>J'appelle ma fille au téléphone.</t>
        </is>
      </c>
      <c r="I472" s="30" t="inlineStr">
        <is>
          <t>appeler au téléphone</t>
        </is>
      </c>
    </row>
    <row r="473">
      <c r="A473" s="30" t="inlineStr">
        <is>
          <t>v_apprendre</t>
        </is>
      </c>
      <c r="B473" s="26">
        <f>IFERROR(INDEX(Mots!$B:$B,MATCH($A473,Mots!$A:$A,0)),"introuvable")</f>
        <v/>
      </c>
      <c r="C473" s="30" t="inlineStr">
        <is>
          <t>L'enfant apprend à lire.</t>
        </is>
      </c>
      <c r="I473" s="30" t="inlineStr">
        <is>
          <t>apprendre à lire</t>
        </is>
      </c>
    </row>
    <row r="474">
      <c r="A474" s="30" t="inlineStr">
        <is>
          <t>v_avoir</t>
        </is>
      </c>
      <c r="B474" s="26">
        <f>IFERROR(INDEX(Mots!$B:$B,MATCH($A474,Mots!$A:$A,0)),"introuvable")</f>
        <v/>
      </c>
      <c r="C474" s="30" t="inlineStr">
        <is>
          <t>J'ai faim, il est midi.</t>
        </is>
      </c>
      <c r="I474" s="30" t="inlineStr">
        <is>
          <t>avoir faim</t>
        </is>
      </c>
    </row>
    <row r="475">
      <c r="A475" s="30" t="inlineStr">
        <is>
          <t>v_avouer</t>
        </is>
      </c>
      <c r="B475" s="26">
        <f>IFERROR(INDEX(Mots!$B:$B,MATCH($A475,Mots!$A:$A,0)),"introuvable")</f>
        <v/>
      </c>
      <c r="C475" s="30" t="inlineStr">
        <is>
          <t>Il avoue qu'il s'est trompé.</t>
        </is>
      </c>
      <c r="I475" s="30" t="inlineStr">
        <is>
          <t>avouer la vérité</t>
        </is>
      </c>
    </row>
    <row r="476">
      <c r="A476" s="30" t="inlineStr">
        <is>
          <t>v_boire</t>
        </is>
      </c>
      <c r="B476" s="26">
        <f>IFERROR(INDEX(Mots!$B:$B,MATCH($A476,Mots!$A:$A,0)),"introuvable")</f>
        <v/>
      </c>
      <c r="C476" s="30" t="inlineStr">
        <is>
          <t>Je bois un café le matin.</t>
        </is>
      </c>
      <c r="I476" s="30" t="inlineStr">
        <is>
          <t>boire un café</t>
        </is>
      </c>
    </row>
    <row r="477">
      <c r="A477" s="30" t="inlineStr">
        <is>
          <t>v_cacher</t>
        </is>
      </c>
      <c r="B477" s="26">
        <f>IFERROR(INDEX(Mots!$B:$B,MATCH($A477,Mots!$A:$A,0)),"introuvable")</f>
        <v/>
      </c>
      <c r="C477" s="30" t="inlineStr">
        <is>
          <t>On cache le cadeau sous le lit.</t>
        </is>
      </c>
      <c r="I477" s="30" t="inlineStr">
        <is>
          <t>cacher un cadeau</t>
        </is>
      </c>
    </row>
    <row r="478">
      <c r="A478" s="30" t="inlineStr">
        <is>
          <t>v_casser</t>
        </is>
      </c>
      <c r="B478" s="26">
        <f>IFERROR(INDEX(Mots!$B:$B,MATCH($A478,Mots!$A:$A,0)),"introuvable")</f>
        <v/>
      </c>
      <c r="C478" s="30" t="inlineStr">
        <is>
          <t>Attention, tu vas casser le verre.</t>
        </is>
      </c>
      <c r="I478" s="30" t="inlineStr">
        <is>
          <t>casser un verre</t>
        </is>
      </c>
    </row>
    <row r="479">
      <c r="A479" s="30" t="inlineStr">
        <is>
          <t>v_chanter</t>
        </is>
      </c>
      <c r="B479" s="26">
        <f>IFERROR(INDEX(Mots!$B:$B,MATCH($A479,Mots!$A:$A,0)),"introuvable")</f>
        <v/>
      </c>
      <c r="C479" s="30" t="inlineStr">
        <is>
          <t>Elle chante à la chorale.</t>
        </is>
      </c>
      <c r="I479" s="30" t="inlineStr">
        <is>
          <t>chanter une chanson</t>
        </is>
      </c>
    </row>
    <row r="480">
      <c r="A480" s="30" t="inlineStr">
        <is>
          <t>v_chercher</t>
        </is>
      </c>
      <c r="B480" s="26">
        <f>IFERROR(INDEX(Mots!$B:$B,MATCH($A480,Mots!$A:$A,0)),"introuvable")</f>
        <v/>
      </c>
      <c r="C480" s="30" t="inlineStr">
        <is>
          <t>Je cherche mes clés partout.</t>
        </is>
      </c>
      <c r="I480" s="30" t="inlineStr">
        <is>
          <t>chercher ses clés</t>
        </is>
      </c>
    </row>
    <row r="481">
      <c r="A481" s="30" t="inlineStr">
        <is>
          <t>v_comprendre</t>
        </is>
      </c>
      <c r="B481" s="26">
        <f>IFERROR(INDEX(Mots!$B:$B,MATCH($A481,Mots!$A:$A,0)),"introuvable")</f>
        <v/>
      </c>
      <c r="C481" s="30" t="inlineStr">
        <is>
          <t>Je n'ai pas compris la question.</t>
        </is>
      </c>
      <c r="I481" s="30" t="inlineStr">
        <is>
          <t>comprendre la question</t>
        </is>
      </c>
    </row>
    <row r="482">
      <c r="A482" s="30" t="inlineStr">
        <is>
          <t>v_compter</t>
        </is>
      </c>
      <c r="B482" s="26">
        <f>IFERROR(INDEX(Mots!$B:$B,MATCH($A482,Mots!$A:$A,0)),"introuvable")</f>
        <v/>
      </c>
      <c r="C482" s="30" t="inlineStr">
        <is>
          <t>L'enfant compte jusqu'à dix.</t>
        </is>
      </c>
      <c r="I482" s="30" t="inlineStr">
        <is>
          <t>compter jusqu'à dix</t>
        </is>
      </c>
    </row>
    <row r="483">
      <c r="A483" s="30" t="inlineStr">
        <is>
          <t>v_connaitre</t>
        </is>
      </c>
      <c r="B483" s="26">
        <f>IFERROR(INDEX(Mots!$B:$B,MATCH($A483,Mots!$A:$A,0)),"introuvable")</f>
        <v/>
      </c>
      <c r="C483" s="30" t="inlineStr">
        <is>
          <t>Je connais bien ce chemin.</t>
        </is>
      </c>
      <c r="I483" s="30" t="inlineStr">
        <is>
          <t>connaître le chemin</t>
        </is>
      </c>
    </row>
    <row r="484">
      <c r="A484" s="30" t="inlineStr">
        <is>
          <t>v_conseiller</t>
        </is>
      </c>
      <c r="B484" s="26">
        <f>IFERROR(INDEX(Mots!$B:$B,MATCH($A484,Mots!$A:$A,0)),"introuvable")</f>
        <v/>
      </c>
      <c r="C484" s="30" t="inlineStr">
        <is>
          <t>Le médecin me conseille du repos.</t>
        </is>
      </c>
      <c r="I484" s="30" t="inlineStr">
        <is>
          <t>conseiller du repos</t>
        </is>
      </c>
    </row>
    <row r="485">
      <c r="A485" s="30" t="inlineStr">
        <is>
          <t>v_couper</t>
        </is>
      </c>
      <c r="B485" s="26">
        <f>IFERROR(INDEX(Mots!$B:$B,MATCH($A485,Mots!$A:$A,0)),"introuvable")</f>
        <v/>
      </c>
      <c r="C485" s="30" t="inlineStr">
        <is>
          <t>Je coupe le pain en tranches.</t>
        </is>
      </c>
      <c r="I485" s="30" t="inlineStr">
        <is>
          <t>couper le pain</t>
        </is>
      </c>
    </row>
    <row r="486">
      <c r="A486" s="30" t="inlineStr">
        <is>
          <t>v_courir</t>
        </is>
      </c>
      <c r="B486" s="26">
        <f>IFERROR(INDEX(Mots!$B:$B,MATCH($A486,Mots!$A:$A,0)),"introuvable")</f>
        <v/>
      </c>
      <c r="C486" s="30" t="inlineStr">
        <is>
          <t>Le chien court dans le pré.</t>
        </is>
      </c>
      <c r="I486" s="30" t="inlineStr">
        <is>
          <t>courir vite</t>
        </is>
      </c>
    </row>
    <row r="487">
      <c r="A487" s="30" t="inlineStr">
        <is>
          <t>v_crier</t>
        </is>
      </c>
      <c r="B487" s="26">
        <f>IFERROR(INDEX(Mots!$B:$B,MATCH($A487,Mots!$A:$A,0)),"introuvable")</f>
        <v/>
      </c>
      <c r="C487" s="30" t="inlineStr">
        <is>
          <t>Ne crie pas si fort !</t>
        </is>
      </c>
      <c r="I487" s="30" t="inlineStr">
        <is>
          <t>crier fort</t>
        </is>
      </c>
    </row>
    <row r="488">
      <c r="A488" s="30" t="inlineStr">
        <is>
          <t>v_croire</t>
        </is>
      </c>
      <c r="B488" s="26">
        <f>IFERROR(INDEX(Mots!$B:$B,MATCH($A488,Mots!$A:$A,0)),"introuvable")</f>
        <v/>
      </c>
      <c r="C488" s="30" t="inlineStr">
        <is>
          <t>Je crois qu'il va pleuvoir.</t>
        </is>
      </c>
    </row>
    <row r="489">
      <c r="A489" s="30" t="inlineStr">
        <is>
          <t>v_cuire</t>
        </is>
      </c>
      <c r="B489" s="26">
        <f>IFERROR(INDEX(Mots!$B:$B,MATCH($A489,Mots!$A:$A,0)),"introuvable")</f>
        <v/>
      </c>
      <c r="C489" s="30" t="inlineStr">
        <is>
          <t>Les pâtes cuisent dix minutes.</t>
        </is>
      </c>
      <c r="I489" s="30" t="inlineStr">
        <is>
          <t>cuire les pâtes</t>
        </is>
      </c>
    </row>
    <row r="490">
      <c r="A490" s="30" t="inlineStr">
        <is>
          <t>v_danser</t>
        </is>
      </c>
      <c r="B490" s="26">
        <f>IFERROR(INDEX(Mots!$B:$B,MATCH($A490,Mots!$A:$A,0)),"introuvable")</f>
        <v/>
      </c>
      <c r="C490" s="30" t="inlineStr">
        <is>
          <t>Ils dansent toute la soirée.</t>
        </is>
      </c>
      <c r="I490" s="30" t="inlineStr">
        <is>
          <t>danser une valse</t>
        </is>
      </c>
    </row>
    <row r="491">
      <c r="A491" s="30" t="inlineStr">
        <is>
          <t>v_decider</t>
        </is>
      </c>
      <c r="B491" s="26">
        <f>IFERROR(INDEX(Mots!$B:$B,MATCH($A491,Mots!$A:$A,0)),"introuvable")</f>
        <v/>
      </c>
      <c r="C491" s="30" t="inlineStr">
        <is>
          <t>Nous décidons de partir demain.</t>
        </is>
      </c>
      <c r="I491" s="30" t="inlineStr">
        <is>
          <t>décider de partir</t>
        </is>
      </c>
    </row>
    <row r="492">
      <c r="A492" s="30" t="inlineStr">
        <is>
          <t>v_demander</t>
        </is>
      </c>
      <c r="B492" s="26">
        <f>IFERROR(INDEX(Mots!$B:$B,MATCH($A492,Mots!$A:$A,0)),"introuvable")</f>
        <v/>
      </c>
      <c r="C492" s="30" t="inlineStr">
        <is>
          <t>Je demande l'heure à un passant.</t>
        </is>
      </c>
      <c r="I492" s="30" t="inlineStr">
        <is>
          <t>demander l'heure</t>
        </is>
      </c>
    </row>
    <row r="493">
      <c r="A493" s="30" t="inlineStr">
        <is>
          <t>v_descendre</t>
        </is>
      </c>
      <c r="B493" s="26">
        <f>IFERROR(INDEX(Mots!$B:$B,MATCH($A493,Mots!$A:$A,0)),"introuvable")</f>
        <v/>
      </c>
      <c r="C493" s="30" t="inlineStr">
        <is>
          <t>Je descends l'escalier doucement.</t>
        </is>
      </c>
      <c r="I493" s="30" t="inlineStr">
        <is>
          <t>descendre l'escalier</t>
        </is>
      </c>
    </row>
    <row r="494">
      <c r="A494" s="30" t="inlineStr">
        <is>
          <t>v_deviner</t>
        </is>
      </c>
      <c r="B494" s="26">
        <f>IFERROR(INDEX(Mots!$B:$B,MATCH($A494,Mots!$A:$A,0)),"introuvable")</f>
        <v/>
      </c>
      <c r="C494" s="30" t="inlineStr">
        <is>
          <t>Devine ce que j'ai apporté !</t>
        </is>
      </c>
      <c r="I494" s="30" t="inlineStr">
        <is>
          <t>deviner la réponse</t>
        </is>
      </c>
    </row>
    <row r="495">
      <c r="A495" s="30" t="inlineStr">
        <is>
          <t>v_dire</t>
        </is>
      </c>
      <c r="B495" s="26">
        <f>IFERROR(INDEX(Mots!$B:$B,MATCH($A495,Mots!$A:$A,0)),"introuvable")</f>
        <v/>
      </c>
      <c r="C495" s="30" t="inlineStr">
        <is>
          <t>Il dit bonjour à tout le monde.</t>
        </is>
      </c>
      <c r="I495" s="30" t="inlineStr">
        <is>
          <t>dire bonjour</t>
        </is>
      </c>
    </row>
    <row r="496">
      <c r="A496" s="30" t="inlineStr">
        <is>
          <t>v_donner</t>
        </is>
      </c>
      <c r="B496" s="26">
        <f>IFERROR(INDEX(Mots!$B:$B,MATCH($A496,Mots!$A:$A,0)),"introuvable")</f>
        <v/>
      </c>
      <c r="C496" s="30" t="inlineStr">
        <is>
          <t>Donne-moi la main pour traverser.</t>
        </is>
      </c>
      <c r="I496" s="30" t="inlineStr">
        <is>
          <t>donner la main</t>
        </is>
      </c>
    </row>
    <row r="497">
      <c r="A497" s="30" t="inlineStr">
        <is>
          <t>v_dormir</t>
        </is>
      </c>
      <c r="B497" s="26">
        <f>IFERROR(INDEX(Mots!$B:$B,MATCH($A497,Mots!$A:$A,0)),"introuvable")</f>
        <v/>
      </c>
      <c r="C497" s="30" t="inlineStr">
        <is>
          <t>J'ai bien dormi toute la nuit.</t>
        </is>
      </c>
      <c r="I497" s="30" t="inlineStr">
        <is>
          <t>dormir toute la nuit</t>
        </is>
      </c>
    </row>
    <row r="498">
      <c r="A498" s="30" t="inlineStr">
        <is>
          <t>v_douter</t>
        </is>
      </c>
      <c r="B498" s="26">
        <f>IFERROR(INDEX(Mots!$B:$B,MATCH($A498,Mots!$A:$A,0)),"introuvable")</f>
        <v/>
      </c>
      <c r="C498" s="30" t="inlineStr">
        <is>
          <t>Je doute qu'il vienne aujourd'hui.</t>
        </is>
      </c>
    </row>
    <row r="499">
      <c r="A499" s="30" t="inlineStr">
        <is>
          <t>v_ecouter</t>
        </is>
      </c>
      <c r="B499" s="26">
        <f>IFERROR(INDEX(Mots!$B:$B,MATCH($A499,Mots!$A:$A,0)),"introuvable")</f>
        <v/>
      </c>
      <c r="C499" s="30" t="inlineStr">
        <is>
          <t>J'écoute la radio en cuisinant.</t>
        </is>
      </c>
      <c r="I499" s="30" t="inlineStr">
        <is>
          <t>écouter la radio</t>
        </is>
      </c>
    </row>
    <row r="500">
      <c r="A500" s="30" t="inlineStr">
        <is>
          <t>v_ecrire</t>
        </is>
      </c>
      <c r="B500" s="26">
        <f>IFERROR(INDEX(Mots!$B:$B,MATCH($A500,Mots!$A:$A,0)),"introuvable")</f>
        <v/>
      </c>
      <c r="C500" s="30" t="inlineStr">
        <is>
          <t>J'écris une lettre à ma sœur.</t>
        </is>
      </c>
      <c r="I500" s="30" t="inlineStr">
        <is>
          <t>écrire une lettre</t>
        </is>
      </c>
    </row>
    <row r="501">
      <c r="A501" s="30" t="inlineStr">
        <is>
          <t>v_entendre</t>
        </is>
      </c>
      <c r="B501" s="26">
        <f>IFERROR(INDEX(Mots!$B:$B,MATCH($A501,Mots!$A:$A,0)),"introuvable")</f>
        <v/>
      </c>
      <c r="C501" s="30" t="inlineStr">
        <is>
          <t>J'entends du bruit dehors.</t>
        </is>
      </c>
      <c r="I501" s="30" t="inlineStr">
        <is>
          <t>entendre du bruit</t>
        </is>
      </c>
    </row>
    <row r="502">
      <c r="A502" s="30" t="inlineStr">
        <is>
          <t>v_entrer</t>
        </is>
      </c>
      <c r="B502" s="26">
        <f>IFERROR(INDEX(Mots!$B:$B,MATCH($A502,Mots!$A:$A,0)),"introuvable")</f>
        <v/>
      </c>
      <c r="C502" s="30" t="inlineStr">
        <is>
          <t>Entre, la porte est ouverte.</t>
        </is>
      </c>
      <c r="I502" s="30" t="inlineStr">
        <is>
          <t>entrer dans la maison</t>
        </is>
      </c>
    </row>
    <row r="503">
      <c r="A503" s="30" t="inlineStr">
        <is>
          <t>v_essayer</t>
        </is>
      </c>
      <c r="B503" s="26">
        <f>IFERROR(INDEX(Mots!$B:$B,MATCH($A503,Mots!$A:$A,0)),"introuvable")</f>
        <v/>
      </c>
      <c r="C503" s="30" t="inlineStr">
        <is>
          <t>J'essaie le pantalon avant de l'acheter.</t>
        </is>
      </c>
      <c r="I503" s="30" t="inlineStr">
        <is>
          <t>essayer un pantalon</t>
        </is>
      </c>
    </row>
    <row r="504">
      <c r="A504" s="30" t="inlineStr">
        <is>
          <t>v_expliquer</t>
        </is>
      </c>
      <c r="B504" s="26">
        <f>IFERROR(INDEX(Mots!$B:$B,MATCH($A504,Mots!$A:$A,0)),"introuvable")</f>
        <v/>
      </c>
      <c r="C504" s="30" t="inlineStr">
        <is>
          <t>Il m'explique le chemin.</t>
        </is>
      </c>
      <c r="I504" s="30" t="inlineStr">
        <is>
          <t>expliquer le chemin</t>
        </is>
      </c>
    </row>
    <row r="505">
      <c r="A505" s="30" t="inlineStr">
        <is>
          <t>v_faire</t>
        </is>
      </c>
      <c r="B505" s="26">
        <f>IFERROR(INDEX(Mots!$B:$B,MATCH($A505,Mots!$A:$A,0)),"introuvable")</f>
        <v/>
      </c>
      <c r="C505" s="30" t="inlineStr">
        <is>
          <t>Je fais la cuisine ce soir.</t>
        </is>
      </c>
      <c r="I505" s="30" t="inlineStr">
        <is>
          <t>faire la cuisine</t>
        </is>
      </c>
    </row>
    <row r="506">
      <c r="A506" s="30" t="inlineStr">
        <is>
          <t>v_feliciter</t>
        </is>
      </c>
      <c r="B506" s="26">
        <f>IFERROR(INDEX(Mots!$B:$B,MATCH($A506,Mots!$A:$A,0)),"introuvable")</f>
        <v/>
      </c>
      <c r="C506" s="30" t="inlineStr">
        <is>
          <t>On félicite le gagnant.</t>
        </is>
      </c>
      <c r="I506" s="30" t="inlineStr">
        <is>
          <t>féliciter le gagnant</t>
        </is>
      </c>
    </row>
    <row r="507">
      <c r="A507" s="30" t="inlineStr">
        <is>
          <t>v_finir</t>
        </is>
      </c>
      <c r="B507" s="26">
        <f>IFERROR(INDEX(Mots!$B:$B,MATCH($A507,Mots!$A:$A,0)),"introuvable")</f>
        <v/>
      </c>
      <c r="C507" s="30" t="inlineStr">
        <is>
          <t>Finis ton assiette, s'il te plaît.</t>
        </is>
      </c>
      <c r="I507" s="30" t="inlineStr">
        <is>
          <t>finir son assiette</t>
        </is>
      </c>
    </row>
    <row r="508">
      <c r="A508" s="30" t="inlineStr">
        <is>
          <t>v_frapper</t>
        </is>
      </c>
      <c r="B508" s="26">
        <f>IFERROR(INDEX(Mots!$B:$B,MATCH($A508,Mots!$A:$A,0)),"introuvable")</f>
        <v/>
      </c>
      <c r="C508" s="30" t="inlineStr">
        <is>
          <t>Quelqu'un frappe à la porte.</t>
        </is>
      </c>
      <c r="I508" s="30" t="inlineStr">
        <is>
          <t>frapper à la porte</t>
        </is>
      </c>
    </row>
    <row r="509">
      <c r="A509" s="30" t="inlineStr">
        <is>
          <t>v_gagner</t>
        </is>
      </c>
      <c r="B509" s="26">
        <f>IFERROR(INDEX(Mots!$B:$B,MATCH($A509,Mots!$A:$A,0)),"introuvable")</f>
        <v/>
      </c>
      <c r="C509" s="30" t="inlineStr">
        <is>
          <t>Notre équipe a gagné la partie.</t>
        </is>
      </c>
      <c r="I509" s="30" t="inlineStr">
        <is>
          <t>gagner la partie</t>
        </is>
      </c>
    </row>
    <row r="510">
      <c r="A510" s="30" t="inlineStr">
        <is>
          <t>v_gouter</t>
        </is>
      </c>
      <c r="B510" s="26">
        <f>IFERROR(INDEX(Mots!$B:$B,MATCH($A510,Mots!$A:$A,0)),"introuvable")</f>
        <v/>
      </c>
      <c r="C510" s="30" t="inlineStr">
        <is>
          <t>Goûte la sauce, elle est bonne.</t>
        </is>
      </c>
      <c r="I510" s="30" t="inlineStr">
        <is>
          <t>goûter la sauce</t>
        </is>
      </c>
    </row>
    <row r="511">
      <c r="A511" s="30" t="inlineStr">
        <is>
          <t>v_imaginer</t>
        </is>
      </c>
      <c r="B511" s="26">
        <f>IFERROR(INDEX(Mots!$B:$B,MATCH($A511,Mots!$A:$A,0)),"introuvable")</f>
        <v/>
      </c>
      <c r="C511" s="30" t="inlineStr">
        <is>
          <t>J'imagine déjà les vacances.</t>
        </is>
      </c>
    </row>
    <row r="512">
      <c r="A512" s="30" t="inlineStr">
        <is>
          <t>v_jeter</t>
        </is>
      </c>
      <c r="B512" s="26">
        <f>IFERROR(INDEX(Mots!$B:$B,MATCH($A512,Mots!$A:$A,0)),"introuvable")</f>
        <v/>
      </c>
      <c r="C512" s="30" t="inlineStr">
        <is>
          <t>Je jette le papier à la poubelle.</t>
        </is>
      </c>
      <c r="I512" s="30" t="inlineStr">
        <is>
          <t>jeter à la poubelle</t>
        </is>
      </c>
    </row>
    <row r="513">
      <c r="A513" s="30" t="inlineStr">
        <is>
          <t>v_jouer</t>
        </is>
      </c>
      <c r="B513" s="26">
        <f>IFERROR(INDEX(Mots!$B:$B,MATCH($A513,Mots!$A:$A,0)),"introuvable")</f>
        <v/>
      </c>
      <c r="C513" s="30" t="inlineStr">
        <is>
          <t>Les enfants jouent aux cartes.</t>
        </is>
      </c>
      <c r="I513" s="30" t="inlineStr">
        <is>
          <t>jouer aux cartes</t>
        </is>
      </c>
    </row>
    <row r="514">
      <c r="A514" s="30" t="inlineStr">
        <is>
          <t>v_depenser</t>
        </is>
      </c>
      <c r="B514" s="26">
        <f>IFERROR(INDEX(Mots!$B:$B,MATCH($A514,Mots!$A:$A,0)),"introuvable")</f>
        <v/>
      </c>
      <c r="C514" s="30" t="inlineStr">
        <is>
          <t>Il dépense son argent en habits.</t>
        </is>
      </c>
      <c r="I514" s="30" t="inlineStr">
        <is>
          <t>dépenser de l'argent</t>
        </is>
      </c>
    </row>
    <row r="515">
      <c r="A515" s="30" t="inlineStr">
        <is>
          <t>v_se_detendre</t>
        </is>
      </c>
      <c r="B515" s="26">
        <f>IFERROR(INDEX(Mots!$B:$B,MATCH($A515,Mots!$A:$A,0)),"introuvable")</f>
        <v/>
      </c>
      <c r="C515" s="30" t="inlineStr">
        <is>
          <t>Je me détends au soleil.</t>
        </is>
      </c>
      <c r="I515" s="30" t="inlineStr">
        <is>
          <t>se détendre un moment</t>
        </is>
      </c>
    </row>
    <row r="516">
      <c r="A516" s="30" t="inlineStr">
        <is>
          <t>v_lancer</t>
        </is>
      </c>
      <c r="B516" s="26">
        <f>IFERROR(INDEX(Mots!$B:$B,MATCH($A516,Mots!$A:$A,0)),"introuvable")</f>
        <v/>
      </c>
      <c r="C516" s="30" t="inlineStr">
        <is>
          <t>Il lance la balle au chien.</t>
        </is>
      </c>
      <c r="I516" s="30" t="inlineStr">
        <is>
          <t>lancer la balle</t>
        </is>
      </c>
    </row>
    <row r="517">
      <c r="A517" s="30" t="inlineStr">
        <is>
          <t>v_laver</t>
        </is>
      </c>
      <c r="B517" s="26">
        <f>IFERROR(INDEX(Mots!$B:$B,MATCH($A517,Mots!$A:$A,0)),"introuvable")</f>
        <v/>
      </c>
      <c r="C517" s="30" t="inlineStr">
        <is>
          <t>Je me lave les mains avant de manger.</t>
        </is>
      </c>
      <c r="I517" s="30" t="inlineStr">
        <is>
          <t>se laver les mains</t>
        </is>
      </c>
    </row>
    <row r="518">
      <c r="A518" s="30" t="inlineStr">
        <is>
          <t>v_soigner</t>
        </is>
      </c>
      <c r="B518" s="26">
        <f>IFERROR(INDEX(Mots!$B:$B,MATCH($A518,Mots!$A:$A,0)),"introuvable")</f>
        <v/>
      </c>
      <c r="C518" s="30" t="inlineStr">
        <is>
          <t>Le médecin soigne les malades.</t>
        </is>
      </c>
      <c r="I518" s="30" t="inlineStr">
        <is>
          <t>soigner un malade</t>
        </is>
      </c>
    </row>
    <row r="519">
      <c r="A519" s="30" t="inlineStr">
        <is>
          <t>v_lever</t>
        </is>
      </c>
      <c r="B519" s="26">
        <f>IFERROR(INDEX(Mots!$B:$B,MATCH($A519,Mots!$A:$A,0)),"introuvable")</f>
        <v/>
      </c>
      <c r="C519" s="30" t="inlineStr">
        <is>
          <t>Lève la main si tu veux parler.</t>
        </is>
      </c>
      <c r="I519" s="30" t="inlineStr">
        <is>
          <t>lever la main</t>
        </is>
      </c>
    </row>
    <row r="520">
      <c r="A520" s="30" t="inlineStr">
        <is>
          <t>v_manger</t>
        </is>
      </c>
      <c r="B520" s="26">
        <f>IFERROR(INDEX(Mots!$B:$B,MATCH($A520,Mots!$A:$A,0)),"introuvable")</f>
        <v/>
      </c>
      <c r="C520" s="30" t="inlineStr">
        <is>
          <t>Nous mangeons à midi.</t>
        </is>
      </c>
      <c r="I520" s="30" t="inlineStr">
        <is>
          <t>manger une pomme</t>
        </is>
      </c>
    </row>
    <row r="521">
      <c r="A521" s="30" t="inlineStr">
        <is>
          <t>v_marcher</t>
        </is>
      </c>
      <c r="B521" s="26">
        <f>IFERROR(INDEX(Mots!$B:$B,MATCH($A521,Mots!$A:$A,0)),"introuvable")</f>
        <v/>
      </c>
      <c r="C521" s="30" t="inlineStr">
        <is>
          <t>Nous marchons dans la forêt.</t>
        </is>
      </c>
      <c r="I521" s="30" t="inlineStr">
        <is>
          <t>marcher dans la forêt</t>
        </is>
      </c>
    </row>
    <row r="522">
      <c r="A522" s="30" t="inlineStr">
        <is>
          <t>v_mentir</t>
        </is>
      </c>
      <c r="B522" s="26">
        <f>IFERROR(INDEX(Mots!$B:$B,MATCH($A522,Mots!$A:$A,0)),"introuvable")</f>
        <v/>
      </c>
      <c r="C522" s="30" t="inlineStr">
        <is>
          <t>Il ment pour ne pas être puni.</t>
        </is>
      </c>
    </row>
    <row r="523">
      <c r="A523" s="30" t="inlineStr">
        <is>
          <t>v_montrer</t>
        </is>
      </c>
      <c r="B523" s="26">
        <f>IFERROR(INDEX(Mots!$B:$B,MATCH($A523,Mots!$A:$A,0)),"introuvable")</f>
        <v/>
      </c>
      <c r="C523" s="30" t="inlineStr">
        <is>
          <t>Il montre la montagne du doigt.</t>
        </is>
      </c>
      <c r="I523" s="30" t="inlineStr">
        <is>
          <t>montrer du doigt</t>
        </is>
      </c>
    </row>
    <row r="524">
      <c r="A524" s="30" t="inlineStr">
        <is>
          <t>v_nager</t>
        </is>
      </c>
      <c r="B524" s="26">
        <f>IFERROR(INDEX(Mots!$B:$B,MATCH($A524,Mots!$A:$A,0)),"introuvable")</f>
        <v/>
      </c>
      <c r="C524" s="30" t="inlineStr">
        <is>
          <t>En été, je nage dans le lac.</t>
        </is>
      </c>
      <c r="I524" s="30" t="inlineStr">
        <is>
          <t>nager dans le lac</t>
        </is>
      </c>
    </row>
    <row r="525">
      <c r="A525" s="30" t="inlineStr">
        <is>
          <t>v_nettoyer</t>
        </is>
      </c>
      <c r="B525" s="26">
        <f>IFERROR(INDEX(Mots!$B:$B,MATCH($A525,Mots!$A:$A,0)),"introuvable")</f>
        <v/>
      </c>
      <c r="C525" s="30" t="inlineStr">
        <is>
          <t>Je nettoie la cuisine après le repas.</t>
        </is>
      </c>
      <c r="I525" s="30" t="inlineStr">
        <is>
          <t>nettoyer la cuisine</t>
        </is>
      </c>
    </row>
    <row r="526">
      <c r="A526" s="30" t="inlineStr">
        <is>
          <t>v_ordonner</t>
        </is>
      </c>
      <c r="B526" s="26">
        <f>IFERROR(INDEX(Mots!$B:$B,MATCH($A526,Mots!$A:$A,0)),"introuvable")</f>
        <v/>
      </c>
      <c r="C526" s="30" t="inlineStr">
        <is>
          <t>Le chef ordonne de commencer.</t>
        </is>
      </c>
    </row>
    <row r="527">
      <c r="A527" s="30" t="inlineStr">
        <is>
          <t>v_oublier</t>
        </is>
      </c>
      <c r="B527" s="26">
        <f>IFERROR(INDEX(Mots!$B:$B,MATCH($A527,Mots!$A:$A,0)),"introuvable")</f>
        <v/>
      </c>
      <c r="C527" s="30" t="inlineStr">
        <is>
          <t>J'ai oublié mes clés à la maison.</t>
        </is>
      </c>
      <c r="I527" s="30" t="inlineStr">
        <is>
          <t>oublier ses clés</t>
        </is>
      </c>
    </row>
    <row r="528">
      <c r="A528" s="30" t="inlineStr">
        <is>
          <t>v_ouvrir</t>
        </is>
      </c>
      <c r="B528" s="26">
        <f>IFERROR(INDEX(Mots!$B:$B,MATCH($A528,Mots!$A:$A,0)),"introuvable")</f>
        <v/>
      </c>
      <c r="C528" s="30" t="inlineStr">
        <is>
          <t>J'ouvre la fenêtre pour aérer.</t>
        </is>
      </c>
      <c r="I528" s="30" t="inlineStr">
        <is>
          <t>ouvrir la porte</t>
        </is>
      </c>
    </row>
    <row r="529">
      <c r="A529" s="30" t="inlineStr">
        <is>
          <t>v_parler</t>
        </is>
      </c>
      <c r="B529" s="26">
        <f>IFERROR(INDEX(Mots!$B:$B,MATCH($A529,Mots!$A:$A,0)),"introuvable")</f>
        <v/>
      </c>
      <c r="C529" s="30" t="inlineStr">
        <is>
          <t>Nous parlons au téléphone tous les jours.</t>
        </is>
      </c>
      <c r="I529" s="30" t="inlineStr">
        <is>
          <t>parler fort</t>
        </is>
      </c>
    </row>
    <row r="530">
      <c r="A530" s="30" t="inlineStr">
        <is>
          <t>v_partir</t>
        </is>
      </c>
      <c r="B530" s="26">
        <f>IFERROR(INDEX(Mots!$B:$B,MATCH($A530,Mots!$A:$A,0)),"introuvable")</f>
        <v/>
      </c>
      <c r="C530" s="30" t="inlineStr">
        <is>
          <t>Nous partons en vacances lundi.</t>
        </is>
      </c>
      <c r="I530" s="30" t="inlineStr">
        <is>
          <t>partir en vacances</t>
        </is>
      </c>
    </row>
    <row r="531">
      <c r="A531" s="30" t="inlineStr">
        <is>
          <t>v_payer</t>
        </is>
      </c>
      <c r="B531" s="26">
        <f>IFERROR(INDEX(Mots!$B:$B,MATCH($A531,Mots!$A:$A,0)),"introuvable")</f>
        <v/>
      </c>
      <c r="C531" s="30" t="inlineStr">
        <is>
          <t>Je paie la facture à la poste.</t>
        </is>
      </c>
      <c r="I531" s="30" t="inlineStr">
        <is>
          <t>payer la facture</t>
        </is>
      </c>
    </row>
    <row r="532">
      <c r="A532" s="30" t="inlineStr">
        <is>
          <t>v_penser</t>
        </is>
      </c>
      <c r="B532" s="26">
        <f>IFERROR(INDEX(Mots!$B:$B,MATCH($A532,Mots!$A:$A,0)),"introuvable")</f>
        <v/>
      </c>
      <c r="C532" s="30" t="inlineStr">
        <is>
          <t>Je pense souvent à mes enfants.</t>
        </is>
      </c>
      <c r="I532" s="30" t="inlineStr">
        <is>
          <t>penser à quelqu'un</t>
        </is>
      </c>
    </row>
    <row r="533">
      <c r="A533" s="30" t="inlineStr">
        <is>
          <t>v_perdre</t>
        </is>
      </c>
      <c r="B533" s="26">
        <f>IFERROR(INDEX(Mots!$B:$B,MATCH($A533,Mots!$A:$A,0)),"introuvable")</f>
        <v/>
      </c>
      <c r="C533" s="30" t="inlineStr">
        <is>
          <t>J'ai perdu mon porte-monnaie.</t>
        </is>
      </c>
      <c r="I533" s="30" t="inlineStr">
        <is>
          <t>perdre ses clés</t>
        </is>
      </c>
    </row>
    <row r="534">
      <c r="A534" s="30" t="inlineStr">
        <is>
          <t>v_plaindre</t>
        </is>
      </c>
      <c r="B534" s="26">
        <f>IFERROR(INDEX(Mots!$B:$B,MATCH($A534,Mots!$A:$A,0)),"introuvable")</f>
        <v/>
      </c>
      <c r="C534" s="30" t="inlineStr">
        <is>
          <t>Je le plains, il a beaucoup de soucis.</t>
        </is>
      </c>
    </row>
    <row r="535">
      <c r="A535" s="30" t="inlineStr">
        <is>
          <t>v_pleurer</t>
        </is>
      </c>
      <c r="B535" s="26">
        <f>IFERROR(INDEX(Mots!$B:$B,MATCH($A535,Mots!$A:$A,0)),"introuvable")</f>
        <v/>
      </c>
      <c r="C535" s="30" t="inlineStr">
        <is>
          <t>Le bébé pleure parce qu'il a faim.</t>
        </is>
      </c>
    </row>
    <row r="536">
      <c r="A536" s="30" t="inlineStr">
        <is>
          <t>v_porter</t>
        </is>
      </c>
      <c r="B536" s="26">
        <f>IFERROR(INDEX(Mots!$B:$B,MATCH($A536,Mots!$A:$A,0)),"introuvable")</f>
        <v/>
      </c>
      <c r="C536" s="30" t="inlineStr">
        <is>
          <t>Je porte le sac jusqu'à la voiture.</t>
        </is>
      </c>
      <c r="I536" s="30" t="inlineStr">
        <is>
          <t>porter un sac</t>
        </is>
      </c>
    </row>
    <row r="537">
      <c r="A537" s="30" t="inlineStr">
        <is>
          <t>v_pousser</t>
        </is>
      </c>
      <c r="B537" s="26">
        <f>IFERROR(INDEX(Mots!$B:$B,MATCH($A537,Mots!$A:$A,0)),"introuvable")</f>
        <v/>
      </c>
      <c r="C537" s="30" t="inlineStr">
        <is>
          <t>Pousse la porte, elle est lourde.</t>
        </is>
      </c>
      <c r="I537" s="30" t="inlineStr">
        <is>
          <t>pousser la porte</t>
        </is>
      </c>
    </row>
    <row r="538">
      <c r="A538" s="30" t="inlineStr">
        <is>
          <t>v_preparer</t>
        </is>
      </c>
      <c r="B538" s="26">
        <f>IFERROR(INDEX(Mots!$B:$B,MATCH($A538,Mots!$A:$A,0)),"introuvable")</f>
        <v/>
      </c>
      <c r="C538" s="30" t="inlineStr">
        <is>
          <t>Je prépare le repas du soir.</t>
        </is>
      </c>
      <c r="I538" s="30" t="inlineStr">
        <is>
          <t>préparer le repas</t>
        </is>
      </c>
    </row>
    <row r="539">
      <c r="A539" s="30" t="inlineStr">
        <is>
          <t>v_prevenir</t>
        </is>
      </c>
      <c r="B539" s="26">
        <f>IFERROR(INDEX(Mots!$B:$B,MATCH($A539,Mots!$A:$A,0)),"introuvable")</f>
        <v/>
      </c>
      <c r="C539" s="30" t="inlineStr">
        <is>
          <t>Préviens-moi si tu arrives en retard.</t>
        </is>
      </c>
      <c r="I539" s="30" t="inlineStr">
        <is>
          <t>prévenir les voisins</t>
        </is>
      </c>
    </row>
    <row r="540">
      <c r="A540" s="30" t="inlineStr">
        <is>
          <t>v_promettre</t>
        </is>
      </c>
      <c r="B540" s="26">
        <f>IFERROR(INDEX(Mots!$B:$B,MATCH($A540,Mots!$A:$A,0)),"introuvable")</f>
        <v/>
      </c>
      <c r="C540" s="30" t="inlineStr">
        <is>
          <t>Il promet de venir dimanche.</t>
        </is>
      </c>
      <c r="I540" s="30" t="inlineStr">
        <is>
          <t>promettre de venir</t>
        </is>
      </c>
    </row>
    <row r="541">
      <c r="A541" s="30" t="inlineStr">
        <is>
          <t>v_raconter</t>
        </is>
      </c>
      <c r="B541" s="26">
        <f>IFERROR(INDEX(Mots!$B:$B,MATCH($A541,Mots!$A:$A,0)),"introuvable")</f>
        <v/>
      </c>
      <c r="C541" s="30" t="inlineStr">
        <is>
          <t>Grand-papa raconte une histoire.</t>
        </is>
      </c>
      <c r="I541" s="30" t="inlineStr">
        <is>
          <t>raconter une histoire</t>
        </is>
      </c>
    </row>
    <row r="542">
      <c r="A542" s="30" t="inlineStr">
        <is>
          <t>v_ramasser</t>
        </is>
      </c>
      <c r="B542" s="26">
        <f>IFERROR(INDEX(Mots!$B:$B,MATCH($A542,Mots!$A:$A,0)),"introuvable")</f>
        <v/>
      </c>
      <c r="C542" s="30" t="inlineStr">
        <is>
          <t>Je ramasse les feuilles au jardin.</t>
        </is>
      </c>
      <c r="I542" s="30" t="inlineStr">
        <is>
          <t>ramasser les feuilles</t>
        </is>
      </c>
    </row>
    <row r="543">
      <c r="A543" s="30" t="inlineStr">
        <is>
          <t>v_rappeler</t>
        </is>
      </c>
      <c r="B543" s="26">
        <f>IFERROR(INDEX(Mots!$B:$B,MATCH($A543,Mots!$A:$A,0)),"introuvable")</f>
        <v/>
      </c>
      <c r="C543" s="30" t="inlineStr">
        <is>
          <t>Je te rappelle ce soir.</t>
        </is>
      </c>
      <c r="I543" s="30" t="inlineStr">
        <is>
          <t>rappeler plus tard</t>
        </is>
      </c>
    </row>
    <row r="544">
      <c r="A544" s="30" t="inlineStr">
        <is>
          <t>v_reflechir</t>
        </is>
      </c>
      <c r="B544" s="26">
        <f>IFERROR(INDEX(Mots!$B:$B,MATCH($A544,Mots!$A:$A,0)),"introuvable")</f>
        <v/>
      </c>
      <c r="C544" s="30" t="inlineStr">
        <is>
          <t>Réfléchis avant de répondre.</t>
        </is>
      </c>
      <c r="I544" s="30" t="inlineStr">
        <is>
          <t>réfléchir avant de parler</t>
        </is>
      </c>
    </row>
    <row r="545">
      <c r="A545" s="30" t="inlineStr">
        <is>
          <t>v_refuser</t>
        </is>
      </c>
      <c r="B545" s="26">
        <f>IFERROR(INDEX(Mots!$B:$B,MATCH($A545,Mots!$A:$A,0)),"introuvable")</f>
        <v/>
      </c>
      <c r="C545" s="30" t="inlineStr">
        <is>
          <t>Il refuse de venir avec nous.</t>
        </is>
      </c>
      <c r="I545" s="30" t="inlineStr">
        <is>
          <t>refuser une invitation</t>
        </is>
      </c>
    </row>
    <row r="546">
      <c r="A546" s="30" t="inlineStr">
        <is>
          <t>v_regarder</t>
        </is>
      </c>
      <c r="B546" s="26">
        <f>IFERROR(INDEX(Mots!$B:$B,MATCH($A546,Mots!$A:$A,0)),"introuvable")</f>
        <v/>
      </c>
      <c r="C546" s="30" t="inlineStr">
        <is>
          <t>Nous regardons la télévision le soir.</t>
        </is>
      </c>
      <c r="I546" s="30" t="inlineStr">
        <is>
          <t>regarder la télévision</t>
        </is>
      </c>
    </row>
    <row r="547">
      <c r="A547" s="30" t="inlineStr">
        <is>
          <t>v_remarquer</t>
        </is>
      </c>
      <c r="B547" s="26">
        <f>IFERROR(INDEX(Mots!$B:$B,MATCH($A547,Mots!$A:$A,0)),"introuvable")</f>
        <v/>
      </c>
      <c r="C547" s="30" t="inlineStr">
        <is>
          <t>J'ai remarqué qu'il était fatigué.</t>
        </is>
      </c>
    </row>
    <row r="548">
      <c r="A548" s="30" t="inlineStr">
        <is>
          <t>v_remercier</t>
        </is>
      </c>
      <c r="B548" s="26">
        <f>IFERROR(INDEX(Mots!$B:$B,MATCH($A548,Mots!$A:$A,0)),"introuvable")</f>
        <v/>
      </c>
      <c r="C548" s="30" t="inlineStr">
        <is>
          <t>Je te remercie pour ton aide.</t>
        </is>
      </c>
      <c r="I548" s="30" t="inlineStr">
        <is>
          <t>remercier pour le cadeau</t>
        </is>
      </c>
    </row>
    <row r="549">
      <c r="A549" s="30" t="inlineStr">
        <is>
          <t>v_repeter</t>
        </is>
      </c>
      <c r="B549" s="26">
        <f>IFERROR(INDEX(Mots!$B:$B,MATCH($A549,Mots!$A:$A,0)),"introuvable")</f>
        <v/>
      </c>
      <c r="C549" s="30" t="inlineStr">
        <is>
          <t>Peux-tu répéter la phrase ?</t>
        </is>
      </c>
      <c r="I549" s="30" t="inlineStr">
        <is>
          <t>répéter la phrase</t>
        </is>
      </c>
    </row>
    <row r="550">
      <c r="A550" s="30" t="inlineStr">
        <is>
          <t>v_repondre</t>
        </is>
      </c>
      <c r="B550" s="26">
        <f>IFERROR(INDEX(Mots!$B:$B,MATCH($A550,Mots!$A:$A,0)),"introuvable")</f>
        <v/>
      </c>
      <c r="C550" s="30" t="inlineStr">
        <is>
          <t>Je réponds au téléphone.</t>
        </is>
      </c>
      <c r="I550" s="30" t="inlineStr">
        <is>
          <t>répondre au téléphone</t>
        </is>
      </c>
    </row>
    <row r="551">
      <c r="A551" s="30" t="inlineStr">
        <is>
          <t>v_rester</t>
        </is>
      </c>
      <c r="B551" s="26">
        <f>IFERROR(INDEX(Mots!$B:$B,MATCH($A551,Mots!$A:$A,0)),"introuvable")</f>
        <v/>
      </c>
      <c r="C551" s="30" t="inlineStr">
        <is>
          <t>Je reste à la maison aujourd'hui.</t>
        </is>
      </c>
      <c r="I551" s="30" t="inlineStr">
        <is>
          <t>rester à la maison</t>
        </is>
      </c>
    </row>
    <row r="552">
      <c r="A552" s="30" t="inlineStr">
        <is>
          <t>v_reussir</t>
        </is>
      </c>
      <c r="B552" s="26">
        <f>IFERROR(INDEX(Mots!$B:$B,MATCH($A552,Mots!$A:$A,0)),"introuvable")</f>
        <v/>
      </c>
      <c r="C552" s="30" t="inlineStr">
        <is>
          <t>Il a réussi son examen.</t>
        </is>
      </c>
      <c r="I552" s="30" t="inlineStr">
        <is>
          <t>réussir un examen</t>
        </is>
      </c>
    </row>
    <row r="553">
      <c r="A553" s="30" t="inlineStr">
        <is>
          <t>v_rire</t>
        </is>
      </c>
      <c r="B553" s="26">
        <f>IFERROR(INDEX(Mots!$B:$B,MATCH($A553,Mots!$A:$A,0)),"introuvable")</f>
        <v/>
      </c>
      <c r="C553" s="30" t="inlineStr">
        <is>
          <t>Nous rions ensemble à table.</t>
        </is>
      </c>
    </row>
    <row r="554">
      <c r="A554" s="30" t="inlineStr">
        <is>
          <t>v_saluer</t>
        </is>
      </c>
      <c r="B554" s="26">
        <f>IFERROR(INDEX(Mots!$B:$B,MATCH($A554,Mots!$A:$A,0)),"introuvable")</f>
        <v/>
      </c>
      <c r="C554" s="30" t="inlineStr">
        <is>
          <t>Il salue de la main en partant.</t>
        </is>
      </c>
      <c r="I554" s="30" t="inlineStr">
        <is>
          <t>saluer de la main</t>
        </is>
      </c>
    </row>
    <row r="555">
      <c r="A555" s="30" t="inlineStr">
        <is>
          <t>v_s_asseoir</t>
        </is>
      </c>
      <c r="B555" s="26">
        <f>IFERROR(INDEX(Mots!$B:$B,MATCH($A555,Mots!$A:$A,0)),"introuvable")</f>
        <v/>
      </c>
      <c r="C555" s="30" t="inlineStr">
        <is>
          <t>Assieds-toi à table, c'est prêt.</t>
        </is>
      </c>
      <c r="I555" s="30" t="inlineStr">
        <is>
          <t>s'asseoir à table</t>
        </is>
      </c>
    </row>
    <row r="556">
      <c r="A556" s="30" t="inlineStr">
        <is>
          <t>v_sauter</t>
        </is>
      </c>
      <c r="B556" s="26">
        <f>IFERROR(INDEX(Mots!$B:$B,MATCH($A556,Mots!$A:$A,0)),"introuvable")</f>
        <v/>
      </c>
      <c r="C556" s="30" t="inlineStr">
        <is>
          <t>L'enfant saute par-dessus la flaque.</t>
        </is>
      </c>
    </row>
    <row r="557">
      <c r="A557" s="30" t="inlineStr">
        <is>
          <t>v_savoir</t>
        </is>
      </c>
      <c r="B557" s="26">
        <f>IFERROR(INDEX(Mots!$B:$B,MATCH($A557,Mots!$A:$A,0)),"introuvable")</f>
        <v/>
      </c>
      <c r="C557" s="30" t="inlineStr">
        <is>
          <t>Je sais nager depuis tout petit.</t>
        </is>
      </c>
      <c r="I557" s="30" t="inlineStr">
        <is>
          <t>savoir nager</t>
        </is>
      </c>
    </row>
    <row r="558">
      <c r="A558" s="30" t="inlineStr">
        <is>
          <t>v_se_souvenir</t>
        </is>
      </c>
      <c r="B558" s="26">
        <f>IFERROR(INDEX(Mots!$B:$B,MATCH($A558,Mots!$A:$A,0)),"introuvable")</f>
        <v/>
      </c>
      <c r="C558" s="30" t="inlineStr">
        <is>
          <t>Je me souviens très bien de ce jour.</t>
        </is>
      </c>
      <c r="I558" s="30" t="inlineStr">
        <is>
          <t>se souvenir d'un nom</t>
        </is>
      </c>
    </row>
    <row r="559">
      <c r="A559" s="30" t="inlineStr">
        <is>
          <t>v_sentir</t>
        </is>
      </c>
      <c r="B559" s="26">
        <f>IFERROR(INDEX(Mots!$B:$B,MATCH($A559,Mots!$A:$A,0)),"introuvable")</f>
        <v/>
      </c>
      <c r="C559" s="30" t="inlineStr">
        <is>
          <t>Ça sent bon dans la cuisine.</t>
        </is>
      </c>
      <c r="I559" s="30" t="inlineStr">
        <is>
          <t>sentir bon</t>
        </is>
      </c>
    </row>
    <row r="560">
      <c r="A560" s="30" t="inlineStr">
        <is>
          <t>v_sortir</t>
        </is>
      </c>
      <c r="B560" s="26">
        <f>IFERROR(INDEX(Mots!$B:$B,MATCH($A560,Mots!$A:$A,0)),"introuvable")</f>
        <v/>
      </c>
      <c r="C560" s="30" t="inlineStr">
        <is>
          <t>Je sors le chien tous les matins.</t>
        </is>
      </c>
      <c r="I560" s="30" t="inlineStr">
        <is>
          <t>sortir le chien</t>
        </is>
      </c>
    </row>
    <row r="561">
      <c r="A561" s="30" t="inlineStr">
        <is>
          <t>v_supplier</t>
        </is>
      </c>
      <c r="B561" s="26">
        <f>IFERROR(INDEX(Mots!$B:$B,MATCH($A561,Mots!$A:$A,0)),"introuvable")</f>
        <v/>
      </c>
      <c r="C561" s="30" t="inlineStr">
        <is>
          <t>Il me supplie de rester.</t>
        </is>
      </c>
    </row>
    <row r="562">
      <c r="A562" s="30" t="inlineStr">
        <is>
          <t>v_tenir</t>
        </is>
      </c>
      <c r="B562" s="26">
        <f>IFERROR(INDEX(Mots!$B:$B,MATCH($A562,Mots!$A:$A,0)),"introuvable")</f>
        <v/>
      </c>
      <c r="C562" s="30" t="inlineStr">
        <is>
          <t>Tiens-moi la main dans la rue.</t>
        </is>
      </c>
      <c r="I562" s="30" t="inlineStr">
        <is>
          <t>tenir la main</t>
        </is>
      </c>
    </row>
    <row r="563">
      <c r="A563" s="30" t="inlineStr">
        <is>
          <t>v_tirer</t>
        </is>
      </c>
      <c r="B563" s="26">
        <f>IFERROR(INDEX(Mots!$B:$B,MATCH($A563,Mots!$A:$A,0)),"introuvable")</f>
        <v/>
      </c>
      <c r="C563" s="30" t="inlineStr">
        <is>
          <t>Il tire la porte vers lui.</t>
        </is>
      </c>
      <c r="I563" s="30" t="inlineStr">
        <is>
          <t>tirer la porte</t>
        </is>
      </c>
    </row>
    <row r="564">
      <c r="A564" s="30" t="inlineStr">
        <is>
          <t>v_tomber</t>
        </is>
      </c>
      <c r="B564" s="26">
        <f>IFERROR(INDEX(Mots!$B:$B,MATCH($A564,Mots!$A:$A,0)),"introuvable")</f>
        <v/>
      </c>
      <c r="C564" s="30" t="inlineStr">
        <is>
          <t>Attention, tu vas tomber !</t>
        </is>
      </c>
      <c r="I564" s="30" t="inlineStr">
        <is>
          <t>tomber par terre</t>
        </is>
      </c>
    </row>
    <row r="565">
      <c r="A565" s="30" t="inlineStr">
        <is>
          <t>v_toucher</t>
        </is>
      </c>
      <c r="B565" s="26">
        <f>IFERROR(INDEX(Mots!$B:$B,MATCH($A565,Mots!$A:$A,0)),"introuvable")</f>
        <v/>
      </c>
      <c r="C565" s="30" t="inlineStr">
        <is>
          <t>Ne touche pas, c'est chaud.</t>
        </is>
      </c>
    </row>
    <row r="566">
      <c r="A566" s="30" t="inlineStr">
        <is>
          <t>v_travailler</t>
        </is>
      </c>
      <c r="B566" s="26">
        <f>IFERROR(INDEX(Mots!$B:$B,MATCH($A566,Mots!$A:$A,0)),"introuvable")</f>
        <v/>
      </c>
      <c r="C566" s="30" t="inlineStr">
        <is>
          <t>Je travaille au jardin le samedi.</t>
        </is>
      </c>
      <c r="I566" s="30" t="inlineStr">
        <is>
          <t>travailler au jardin</t>
        </is>
      </c>
    </row>
    <row r="567">
      <c r="A567" s="30" t="inlineStr">
        <is>
          <t>v_trouver</t>
        </is>
      </c>
      <c r="B567" s="26">
        <f>IFERROR(INDEX(Mots!$B:$B,MATCH($A567,Mots!$A:$A,0)),"introuvable")</f>
        <v/>
      </c>
      <c r="C567" s="30" t="inlineStr">
        <is>
          <t>J'ai trouvé la solution.</t>
        </is>
      </c>
      <c r="I567" s="30" t="inlineStr">
        <is>
          <t>trouver la solution</t>
        </is>
      </c>
    </row>
    <row r="568">
      <c r="A568" s="30" t="inlineStr">
        <is>
          <t>v_vendre</t>
        </is>
      </c>
      <c r="B568" s="26">
        <f>IFERROR(INDEX(Mots!$B:$B,MATCH($A568,Mots!$A:$A,0)),"introuvable")</f>
        <v/>
      </c>
      <c r="C568" s="30" t="inlineStr">
        <is>
          <t>Il vend sa voiture.</t>
        </is>
      </c>
      <c r="I568" s="30" t="inlineStr">
        <is>
          <t>vendre sa voiture</t>
        </is>
      </c>
    </row>
    <row r="569">
      <c r="A569" s="30" t="inlineStr">
        <is>
          <t>v_venir</t>
        </is>
      </c>
      <c r="B569" s="26">
        <f>IFERROR(INDEX(Mots!$B:$B,MATCH($A569,Mots!$A:$A,0)),"introuvable")</f>
        <v/>
      </c>
      <c r="C569" s="30" t="inlineStr">
        <is>
          <t>Viens manger, c'est prêt.</t>
        </is>
      </c>
      <c r="I569" s="30" t="inlineStr">
        <is>
          <t>venir à la maison</t>
        </is>
      </c>
    </row>
    <row r="570">
      <c r="A570" s="30" t="inlineStr">
        <is>
          <t>v_voir</t>
        </is>
      </c>
      <c r="B570" s="26">
        <f>IFERROR(INDEX(Mots!$B:$B,MATCH($A570,Mots!$A:$A,0)),"introuvable")</f>
        <v/>
      </c>
      <c r="C570" s="30" t="inlineStr">
        <is>
          <t>On voit la montagne depuis la fenêtre.</t>
        </is>
      </c>
      <c r="I570" s="30" t="inlineStr">
        <is>
          <t>voir de loin</t>
        </is>
      </c>
    </row>
    <row r="571">
      <c r="A571" s="30" t="inlineStr">
        <is>
          <t>v_voler</t>
        </is>
      </c>
      <c r="B571" s="26">
        <f>IFERROR(INDEX(Mots!$B:$B,MATCH($A571,Mots!$A:$A,0)),"introuvable")</f>
        <v/>
      </c>
      <c r="C571" s="30" t="inlineStr">
        <is>
          <t>L'oiseau vole au-dessus du lac.</t>
        </is>
      </c>
      <c r="I571" s="30" t="inlineStr">
        <is>
          <t>voler dans le ciel</t>
        </is>
      </c>
    </row>
    <row r="572">
      <c r="A572" s="30" t="inlineStr">
        <is>
          <t>v_vouloir</t>
        </is>
      </c>
      <c r="B572" s="26">
        <f>IFERROR(INDEX(Mots!$B:$B,MATCH($A572,Mots!$A:$A,0)),"introuvable")</f>
        <v/>
      </c>
      <c r="C572" s="30" t="inlineStr">
        <is>
          <t>Je veux bien un café, merci.</t>
        </is>
      </c>
      <c r="I572" s="30" t="inlineStr">
        <is>
          <t>vouloir bien</t>
        </is>
      </c>
    </row>
    <row r="573">
      <c r="A573" s="30" t="inlineStr">
        <is>
          <t>v_recurrer</t>
        </is>
      </c>
      <c r="B573" s="26">
        <f>IFERROR(INDEX(Mots!$B:$B,MATCH($A573,Mots!$A:$A,0)),"introuvable")</f>
        <v/>
      </c>
      <c r="C573" s="30" t="inlineStr">
        <is>
          <t>Je récurre le sol de la cuisine.</t>
        </is>
      </c>
      <c r="I573" s="30" t="inlineStr">
        <is>
          <t>récurrer le sol</t>
        </is>
      </c>
    </row>
    <row r="574">
      <c r="A574" s="30" t="inlineStr">
        <is>
          <t>v_tousser</t>
        </is>
      </c>
      <c r="B574" s="26">
        <f>IFERROR(INDEX(Mots!$B:$B,MATCH($A574,Mots!$A:$A,0)),"introuvable")</f>
        <v/>
      </c>
      <c r="C574" s="30" t="inlineStr">
        <is>
          <t>Il tousse depuis trois jours.</t>
        </is>
      </c>
      <c r="I574" s="30" t="inlineStr">
        <is>
          <t>tousser toute la nuit</t>
        </is>
      </c>
    </row>
    <row r="575">
      <c r="A575" s="30" t="inlineStr">
        <is>
          <t>v_habiter</t>
        </is>
      </c>
      <c r="B575" s="26">
        <f>IFERROR(INDEX(Mots!$B:$B,MATCH($A575,Mots!$A:$A,0)),"introuvable")</f>
        <v/>
      </c>
      <c r="C575" s="30" t="inlineStr">
        <is>
          <t>Nous habitons au village depuis vingt ans.</t>
        </is>
      </c>
      <c r="I575" s="30" t="inlineStr">
        <is>
          <t>habiter au village</t>
        </is>
      </c>
    </row>
    <row r="576">
      <c r="A576" s="30" t="inlineStr">
        <is>
          <t>v_eclairer</t>
        </is>
      </c>
      <c r="B576" s="26">
        <f>IFERROR(INDEX(Mots!$B:$B,MATCH($A576,Mots!$A:$A,0)),"introuvable")</f>
        <v/>
      </c>
      <c r="C576" s="30" t="inlineStr">
        <is>
          <t>La lampe éclaire toute la pièce.</t>
        </is>
      </c>
      <c r="I576" s="30" t="inlineStr">
        <is>
          <t>éclairer la pièce</t>
        </is>
      </c>
    </row>
    <row r="577">
      <c r="A577" s="30" t="inlineStr">
        <is>
          <t>v_griller</t>
        </is>
      </c>
      <c r="B577" s="26">
        <f>IFERROR(INDEX(Mots!$B:$B,MATCH($A577,Mots!$A:$A,0)),"introuvable")</f>
        <v/>
      </c>
      <c r="C577" s="30" t="inlineStr">
        <is>
          <t>Je fais griller une saucisse.</t>
        </is>
      </c>
      <c r="I577" s="30" t="inlineStr">
        <is>
          <t>griller une saucisse</t>
        </is>
      </c>
    </row>
    <row r="578">
      <c r="A578" s="30" t="inlineStr">
        <is>
          <t>v_conduire</t>
        </is>
      </c>
      <c r="B578" s="26">
        <f>IFERROR(INDEX(Mots!$B:$B,MATCH($A578,Mots!$A:$A,0)),"introuvable")</f>
        <v/>
      </c>
      <c r="C578" s="30" t="inlineStr">
        <is>
          <t>Je conduis la voiture jusqu'à Sion.</t>
        </is>
      </c>
      <c r="I578" s="30" t="inlineStr">
        <is>
          <t>conduire la voiture</t>
        </is>
      </c>
    </row>
    <row r="579">
      <c r="A579" s="30" t="inlineStr">
        <is>
          <t>v_traverser</t>
        </is>
      </c>
      <c r="B579" s="26">
        <f>IFERROR(INDEX(Mots!$B:$B,MATCH($A579,Mots!$A:$A,0)),"introuvable")</f>
        <v/>
      </c>
      <c r="C579" s="30" t="inlineStr">
        <is>
          <t>On traverse la route au passage piéton.</t>
        </is>
      </c>
      <c r="I579" s="30" t="inlineStr">
        <is>
          <t>traverser la route</t>
        </is>
      </c>
    </row>
    <row r="580">
      <c r="A580" s="30" t="inlineStr">
        <is>
          <t>v_avaler</t>
        </is>
      </c>
      <c r="B580" s="26">
        <f>IFERROR(INDEX(Mots!$B:$B,MATCH($A580,Mots!$A:$A,0)),"introuvable")</f>
        <v/>
      </c>
      <c r="C580" s="30" t="inlineStr">
        <is>
          <t>J'avale le comprimé avec de l'eau.</t>
        </is>
      </c>
      <c r="I580" s="30" t="inlineStr">
        <is>
          <t>avaler de travers</t>
        </is>
      </c>
    </row>
    <row r="581">
      <c r="A581" s="30" t="inlineStr">
        <is>
          <t>v_chauffer</t>
        </is>
      </c>
      <c r="B581" s="26">
        <f>IFERROR(INDEX(Mots!$B:$B,MATCH($A581,Mots!$A:$A,0)),"introuvable")</f>
        <v/>
      </c>
      <c r="C581" s="30" t="inlineStr">
        <is>
          <t>Je fais chauffer l'eau pour le thé.</t>
        </is>
      </c>
      <c r="I581" s="30" t="inlineStr">
        <is>
          <t>chauffer l'eau</t>
        </is>
      </c>
    </row>
    <row r="582">
      <c r="A582" s="30" t="inlineStr">
        <is>
          <t>v_transporter</t>
        </is>
      </c>
      <c r="B582" s="26">
        <f>IFERROR(INDEX(Mots!$B:$B,MATCH($A582,Mots!$A:$A,0)),"introuvable")</f>
        <v/>
      </c>
      <c r="C582" s="30" t="inlineStr">
        <is>
          <t>Le camion transporte les cartons.</t>
        </is>
      </c>
      <c r="I582" s="30" t="inlineStr">
        <is>
          <t>transporter des cartons</t>
        </is>
      </c>
    </row>
    <row r="583">
      <c r="A583" s="30" t="inlineStr">
        <is>
          <t>v_ramper</t>
        </is>
      </c>
      <c r="B583" s="26">
        <f>IFERROR(INDEX(Mots!$B:$B,MATCH($A583,Mots!$A:$A,0)),"introuvable")</f>
        <v/>
      </c>
      <c r="C583" s="30" t="inlineStr">
        <is>
          <t>Le bébé rampe sur le tapis.</t>
        </is>
      </c>
      <c r="I583" s="30" t="inlineStr">
        <is>
          <t>ramper par terre</t>
        </is>
      </c>
    </row>
    <row r="584">
      <c r="A584" s="30" t="inlineStr">
        <is>
          <t>ecureuil</t>
        </is>
      </c>
      <c r="B584" s="26">
        <f>IFERROR(INDEX(Mots!$B:$B,MATCH($A584,Mots!$A:$A,0)),"introuvable")</f>
        <v/>
      </c>
      <c r="C584" s="30" t="inlineStr">
        <is>
          <t>L'écureuil grimpe dans les arbres.</t>
        </is>
      </c>
    </row>
    <row r="585">
      <c r="A585" s="30" t="inlineStr">
        <is>
          <t>marmotte</t>
        </is>
      </c>
      <c r="B585" s="26">
        <f>IFERROR(INDEX(Mots!$B:$B,MATCH($A585,Mots!$A:$A,0)),"introuvable")</f>
        <v/>
      </c>
      <c r="C585" s="30" t="inlineStr">
        <is>
          <t>La marmotte siffle quand elle a peur.</t>
        </is>
      </c>
    </row>
    <row r="586">
      <c r="A586" s="30" t="inlineStr">
        <is>
          <t>chamois</t>
        </is>
      </c>
      <c r="B586" s="26">
        <f>IFERROR(INDEX(Mots!$B:$B,MATCH($A586,Mots!$A:$A,0)),"introuvable")</f>
        <v/>
      </c>
      <c r="C586" s="30" t="inlineStr">
        <is>
          <t>Le chamois vit dans la montagne.</t>
        </is>
      </c>
    </row>
    <row r="587">
      <c r="A587" s="30" t="inlineStr">
        <is>
          <t>c_blanc</t>
        </is>
      </c>
      <c r="B587" s="26">
        <f>IFERROR(INDEX(Mots!$B:$B,MATCH($A587,Mots!$A:$A,0)),"introuvable")</f>
        <v/>
      </c>
      <c r="C587" s="30" t="inlineStr">
        <is>
          <t>La neige est toute blanche.</t>
        </is>
      </c>
      <c r="I587" s="30" t="inlineStr">
        <is>
          <t>blanc comme neige</t>
        </is>
      </c>
    </row>
    <row r="588">
      <c r="A588" s="30" t="inlineStr">
        <is>
          <t>c_bleu</t>
        </is>
      </c>
      <c r="B588" s="26">
        <f>IFERROR(INDEX(Mots!$B:$B,MATCH($A588,Mots!$A:$A,0)),"introuvable")</f>
        <v/>
      </c>
      <c r="C588" s="30" t="inlineStr">
        <is>
          <t>Le ciel est bleu aujourd'hui.</t>
        </is>
      </c>
      <c r="I588" s="30" t="inlineStr">
        <is>
          <t>bleu ciel</t>
        </is>
      </c>
    </row>
    <row r="589">
      <c r="A589" s="30" t="inlineStr">
        <is>
          <t>c_gris</t>
        </is>
      </c>
      <c r="B589" s="26">
        <f>IFERROR(INDEX(Mots!$B:$B,MATCH($A589,Mots!$A:$A,0)),"introuvable")</f>
        <v/>
      </c>
      <c r="C589" s="30" t="inlineStr">
        <is>
          <t>Le ciel est gris avant la pluie.</t>
        </is>
      </c>
      <c r="I589" s="30" t="inlineStr">
        <is>
          <t>un temps gris</t>
        </is>
      </c>
    </row>
    <row r="590">
      <c r="A590" s="30" t="inlineStr">
        <is>
          <t>c_jaune</t>
        </is>
      </c>
      <c r="B590" s="26">
        <f>IFERROR(INDEX(Mots!$B:$B,MATCH($A590,Mots!$A:$A,0)),"introuvable")</f>
        <v/>
      </c>
      <c r="C590" s="30" t="inlineStr">
        <is>
          <t>Le citron est jaune.</t>
        </is>
      </c>
    </row>
    <row r="591">
      <c r="A591" s="30" t="inlineStr">
        <is>
          <t>couleur</t>
        </is>
      </c>
      <c r="B591" s="26">
        <f>IFERROR(INDEX(Mots!$B:$B,MATCH($A591,Mots!$A:$A,0)),"introuvable")</f>
        <v/>
      </c>
      <c r="C591" s="30" t="inlineStr">
        <is>
          <t>Quelle est ta couleur préférée ?</t>
        </is>
      </c>
      <c r="I591" s="30" t="inlineStr">
        <is>
          <t>de toutes les couleurs</t>
        </is>
      </c>
    </row>
    <row r="592">
      <c r="A592" s="30" t="inlineStr">
        <is>
          <t>c_marron</t>
        </is>
      </c>
      <c r="B592" s="26">
        <f>IFERROR(INDEX(Mots!$B:$B,MATCH($A592,Mots!$A:$A,0)),"introuvable")</f>
        <v/>
      </c>
      <c r="C592" s="30" t="inlineStr">
        <is>
          <t>Le chocolat est marron.</t>
        </is>
      </c>
    </row>
    <row r="593">
      <c r="A593" s="30" t="inlineStr">
        <is>
          <t>c_noir</t>
        </is>
      </c>
      <c r="B593" s="26">
        <f>IFERROR(INDEX(Mots!$B:$B,MATCH($A593,Mots!$A:$A,0)),"introuvable")</f>
        <v/>
      </c>
      <c r="C593" s="30" t="inlineStr">
        <is>
          <t>La nuit, tout est noir.</t>
        </is>
      </c>
      <c r="I593" s="30" t="inlineStr">
        <is>
          <t>noir comme la nuit</t>
        </is>
      </c>
    </row>
    <row r="594">
      <c r="A594" s="30" t="inlineStr">
        <is>
          <t>c_orange</t>
        </is>
      </c>
      <c r="B594" s="26">
        <f>IFERROR(INDEX(Mots!$B:$B,MATCH($A594,Mots!$A:$A,0)),"introuvable")</f>
        <v/>
      </c>
      <c r="C594" s="30" t="inlineStr">
        <is>
          <t>Le feu passe à l'orange.</t>
        </is>
      </c>
    </row>
    <row r="595">
      <c r="A595" s="30" t="inlineStr">
        <is>
          <t>c_rose</t>
        </is>
      </c>
      <c r="B595" s="26">
        <f>IFERROR(INDEX(Mots!$B:$B,MATCH($A595,Mots!$A:$A,0)),"introuvable")</f>
        <v/>
      </c>
      <c r="C595" s="30" t="inlineStr">
        <is>
          <t>Les fleurs du jardin sont roses.</t>
        </is>
      </c>
    </row>
    <row r="596">
      <c r="A596" s="30" t="inlineStr">
        <is>
          <t>c_rouge</t>
        </is>
      </c>
      <c r="B596" s="26">
        <f>IFERROR(INDEX(Mots!$B:$B,MATCH($A596,Mots!$A:$A,0)),"introuvable")</f>
        <v/>
      </c>
      <c r="C596" s="30" t="inlineStr">
        <is>
          <t>La fraise est bien rouge.</t>
        </is>
      </c>
      <c r="I596" s="30" t="inlineStr">
        <is>
          <t>rouge comme une tomate</t>
        </is>
      </c>
    </row>
    <row r="597">
      <c r="A597" s="30" t="inlineStr">
        <is>
          <t>c_vert</t>
        </is>
      </c>
      <c r="B597" s="26">
        <f>IFERROR(INDEX(Mots!$B:$B,MATCH($A597,Mots!$A:$A,0)),"introuvable")</f>
        <v/>
      </c>
      <c r="C597" s="30" t="inlineStr">
        <is>
          <t>L'herbe est verte au printemps.</t>
        </is>
      </c>
      <c r="I597" s="30" t="inlineStr">
        <is>
          <t>le feu vert</t>
        </is>
      </c>
    </row>
    <row r="598">
      <c r="A598" s="30" t="inlineStr">
        <is>
          <t>c_roux</t>
        </is>
      </c>
      <c r="B598" s="26">
        <f>IFERROR(INDEX(Mots!$B:$B,MATCH($A598,Mots!$A:$A,0)),"introuvable")</f>
        <v/>
      </c>
      <c r="C598" s="30" t="inlineStr">
        <is>
          <t>L'écureuil a le poil roux.</t>
        </is>
      </c>
    </row>
    <row r="599">
      <c r="A599" s="30" t="inlineStr">
        <is>
          <t>brun</t>
        </is>
      </c>
      <c r="B599" s="26">
        <f>IFERROR(INDEX(Mots!$B:$B,MATCH($A599,Mots!$A:$A,0)),"introuvable")</f>
        <v/>
      </c>
      <c r="C599" s="30" t="inlineStr">
        <is>
          <t>Il a les cheveux bruns.</t>
        </is>
      </c>
    </row>
    <row r="600">
      <c r="A600" s="30" t="inlineStr">
        <is>
          <t>f_carre</t>
        </is>
      </c>
      <c r="B600" s="26">
        <f>IFERROR(INDEX(Mots!$B:$B,MATCH($A600,Mots!$A:$A,0)),"introuvable")</f>
        <v/>
      </c>
      <c r="C600" s="30" t="inlineStr">
        <is>
          <t>La nappe est carrée.</t>
        </is>
      </c>
    </row>
    <row r="601">
      <c r="A601" s="30" t="inlineStr">
        <is>
          <t>f_triangle</t>
        </is>
      </c>
      <c r="B601" s="26">
        <f>IFERROR(INDEX(Mots!$B:$B,MATCH($A601,Mots!$A:$A,0)),"introuvable")</f>
        <v/>
      </c>
      <c r="C601" s="30" t="inlineStr">
        <is>
          <t>Le toit forme un triangle.</t>
        </is>
      </c>
    </row>
    <row r="602">
      <c r="A602" s="30" t="inlineStr">
        <is>
          <t>courbe</t>
        </is>
      </c>
      <c r="B602" s="26">
        <f>IFERROR(INDEX(Mots!$B:$B,MATCH($A602,Mots!$A:$A,0)),"introuvable")</f>
        <v/>
      </c>
      <c r="C602" s="30" t="inlineStr">
        <is>
          <t>La route est courbe après le village.</t>
        </is>
      </c>
    </row>
    <row r="603">
      <c r="A603" s="30" t="inlineStr">
        <is>
          <t>droit</t>
        </is>
      </c>
      <c r="B603" s="26">
        <f>IFERROR(INDEX(Mots!$B:$B,MATCH($A603,Mots!$A:$A,0)),"introuvable")</f>
        <v/>
      </c>
      <c r="C603" s="30" t="inlineStr">
        <is>
          <t>Le chemin est tout droit.</t>
        </is>
      </c>
      <c r="I603" s="30" t="inlineStr">
        <is>
          <t>aller tout droit</t>
        </is>
      </c>
    </row>
    <row r="604">
      <c r="A604" s="30" t="inlineStr">
        <is>
          <t>hauteur</t>
        </is>
      </c>
      <c r="B604" s="26">
        <f>IFERROR(INDEX(Mots!$B:$B,MATCH($A604,Mots!$A:$A,0)),"introuvable")</f>
        <v/>
      </c>
      <c r="C604" s="30" t="inlineStr">
        <is>
          <t>On mesure la hauteur de l'armoire.</t>
        </is>
      </c>
      <c r="I604" s="30" t="inlineStr">
        <is>
          <t>prendre de la hauteur</t>
        </is>
      </c>
    </row>
    <row r="605">
      <c r="A605" s="30" t="inlineStr">
        <is>
          <t>largeur</t>
        </is>
      </c>
      <c r="B605" s="26">
        <f>IFERROR(INDEX(Mots!$B:$B,MATCH($A605,Mots!$A:$A,0)),"introuvable")</f>
        <v/>
      </c>
      <c r="C605" s="30" t="inlineStr">
        <is>
          <t>La largeur de la table est d'un mètre.</t>
        </is>
      </c>
    </row>
    <row r="606">
      <c r="A606" s="30" t="inlineStr">
        <is>
          <t>longueur</t>
        </is>
      </c>
      <c r="B606" s="26">
        <f>IFERROR(INDEX(Mots!$B:$B,MATCH($A606,Mots!$A:$A,0)),"introuvable")</f>
        <v/>
      </c>
      <c r="C606" s="30" t="inlineStr">
        <is>
          <t>On mesure la longueur du tissu.</t>
        </is>
      </c>
    </row>
    <row r="607">
      <c r="A607" s="30" t="inlineStr">
        <is>
          <t>cercle</t>
        </is>
      </c>
      <c r="B607" s="26">
        <f>IFERROR(INDEX(Mots!$B:$B,MATCH($A607,Mots!$A:$A,0)),"introuvable")</f>
        <v/>
      </c>
      <c r="C607" s="30" t="inlineStr">
        <is>
          <t>Les enfants font un cercle.</t>
        </is>
      </c>
      <c r="I607" s="30" t="inlineStr">
        <is>
          <t>en cercle</t>
        </is>
      </c>
    </row>
    <row r="608">
      <c r="A608" s="30" t="inlineStr">
        <is>
          <t>rectangle</t>
        </is>
      </c>
      <c r="B608" s="26">
        <f>IFERROR(INDEX(Mots!$B:$B,MATCH($A608,Mots!$A:$A,0)),"introuvable")</f>
        <v/>
      </c>
      <c r="C608" s="30" t="inlineStr">
        <is>
          <t>La porte a la forme d'un rectangle.</t>
        </is>
      </c>
    </row>
    <row r="609">
      <c r="A609" s="30" t="inlineStr">
        <is>
          <t>epaisseur</t>
        </is>
      </c>
      <c r="B609" s="26">
        <f>IFERROR(INDEX(Mots!$B:$B,MATCH($A609,Mots!$A:$A,0)),"introuvable")</f>
        <v/>
      </c>
      <c r="C609" s="30" t="inlineStr">
        <is>
          <t>L'épaisseur du mur est de vingt centimètres.</t>
        </is>
      </c>
    </row>
    <row r="610">
      <c r="A610" s="30" t="inlineStr">
        <is>
          <t>pointu</t>
        </is>
      </c>
      <c r="B610" s="26">
        <f>IFERROR(INDEX(Mots!$B:$B,MATCH($A610,Mots!$A:$A,0)),"introuvable")</f>
        <v/>
      </c>
      <c r="C610" s="30" t="inlineStr">
        <is>
          <t>Le crayon est bien pointu.</t>
        </is>
      </c>
    </row>
    <row r="611">
      <c r="A611" s="30" t="inlineStr">
        <is>
          <t>rond</t>
        </is>
      </c>
      <c r="B611" s="26">
        <f>IFERROR(INDEX(Mots!$B:$B,MATCH($A611,Mots!$A:$A,0)),"introuvable")</f>
        <v/>
      </c>
      <c r="C611" s="30" t="inlineStr">
        <is>
          <t>L'assiette est ronde.</t>
        </is>
      </c>
    </row>
    <row r="612">
      <c r="A612" s="30" t="inlineStr">
        <is>
          <t>arrondi</t>
        </is>
      </c>
      <c r="B612" s="26">
        <f>IFERROR(INDEX(Mots!$B:$B,MATCH($A612,Mots!$A:$A,0)),"introuvable")</f>
        <v/>
      </c>
      <c r="C612" s="30" t="inlineStr">
        <is>
          <t>Le bord de la table est arrondi.</t>
        </is>
      </c>
    </row>
    <row r="613">
      <c r="A613" s="30" t="inlineStr">
        <is>
          <t>a_chaud_froid</t>
        </is>
      </c>
      <c r="B613" s="26">
        <f>IFERROR(INDEX(Mots!$B:$B,MATCH($A613,Mots!$A:$A,0)),"introuvable")</f>
        <v/>
      </c>
      <c r="I613" s="30" t="inlineStr">
        <is>
          <t>avoir froid</t>
        </is>
      </c>
    </row>
    <row r="614">
      <c r="A614" s="30" t="inlineStr">
        <is>
          <t>a_grand_petit</t>
        </is>
      </c>
      <c r="B614" s="26">
        <f>IFERROR(INDEX(Mots!$B:$B,MATCH($A614,Mots!$A:$A,0)),"introuvable")</f>
        <v/>
      </c>
      <c r="I614" s="30" t="inlineStr">
        <is>
          <t>devenir grand</t>
        </is>
      </c>
    </row>
    <row r="615">
      <c r="A615" s="30" t="inlineStr">
        <is>
          <t>a_propre_sale</t>
        </is>
      </c>
      <c r="B615" s="26">
        <f>IFERROR(INDEX(Mots!$B:$B,MATCH($A615,Mots!$A:$A,0)),"introuvable")</f>
        <v/>
      </c>
      <c r="I615" s="30" t="inlineStr">
        <is>
          <t>les mains propres</t>
        </is>
      </c>
    </row>
    <row r="616">
      <c r="A616" s="30" t="inlineStr">
        <is>
          <t>a_fort_faible</t>
        </is>
      </c>
      <c r="B616" s="26">
        <f>IFERROR(INDEX(Mots!$B:$B,MATCH($A616,Mots!$A:$A,0)),"introuvable")</f>
        <v/>
      </c>
      <c r="I616" s="30" t="inlineStr">
        <is>
          <t>être fort</t>
        </is>
      </c>
    </row>
    <row r="617">
      <c r="A617" s="30" t="inlineStr">
        <is>
          <t>a_jeune_vieux</t>
        </is>
      </c>
      <c r="B617" s="26">
        <f>IFERROR(INDEX(Mots!$B:$B,MATCH($A617,Mots!$A:$A,0)),"introuvable")</f>
        <v/>
      </c>
      <c r="I617" s="30" t="inlineStr">
        <is>
          <t>un vieux monsieur</t>
        </is>
      </c>
    </row>
    <row r="618">
      <c r="A618" s="30" t="inlineStr">
        <is>
          <t>a_vide_plein</t>
        </is>
      </c>
      <c r="B618" s="26">
        <f>IFERROR(INDEX(Mots!$B:$B,MATCH($A618,Mots!$A:$A,0)),"introuvable")</f>
        <v/>
      </c>
      <c r="I618" s="30" t="inlineStr">
        <is>
          <t>un verre plein</t>
        </is>
      </c>
    </row>
    <row r="619">
      <c r="A619" s="30" t="inlineStr">
        <is>
          <t>a_ferme_ouvert</t>
        </is>
      </c>
      <c r="B619" s="26">
        <f>IFERROR(INDEX(Mots!$B:$B,MATCH($A619,Mots!$A:$A,0)),"introuvable")</f>
        <v/>
      </c>
      <c r="I619" s="30" t="inlineStr">
        <is>
          <t>la porte est ouverte</t>
        </is>
      </c>
    </row>
    <row r="620">
      <c r="A620" s="30" t="inlineStr">
        <is>
          <t>a_sec_mouille</t>
        </is>
      </c>
      <c r="B620" s="26">
        <f>IFERROR(INDEX(Mots!$B:$B,MATCH($A620,Mots!$A:$A,0)),"introuvable")</f>
        <v/>
      </c>
      <c r="I620" s="30" t="inlineStr">
        <is>
          <t>être trempé</t>
        </is>
      </c>
    </row>
    <row r="621">
      <c r="A621" s="30" t="inlineStr">
        <is>
          <t>a_lourd_leger</t>
        </is>
      </c>
      <c r="B621" s="26">
        <f>IFERROR(INDEX(Mots!$B:$B,MATCH($A621,Mots!$A:$A,0)),"introuvable")</f>
        <v/>
      </c>
      <c r="I621" s="30" t="inlineStr">
        <is>
          <t>c'est trop lourd</t>
        </is>
      </c>
    </row>
    <row r="622">
      <c r="A622" s="30" t="inlineStr">
        <is>
          <t>a_cher_bon_marche</t>
        </is>
      </c>
      <c r="B622" s="26">
        <f>IFERROR(INDEX(Mots!$B:$B,MATCH($A622,Mots!$A:$A,0)),"introuvable")</f>
        <v/>
      </c>
      <c r="I622" s="30" t="inlineStr">
        <is>
          <t>coûter cher</t>
        </is>
      </c>
    </row>
    <row r="623">
      <c r="A623" s="30" t="inlineStr">
        <is>
          <t>a_sain_malade</t>
        </is>
      </c>
      <c r="B623" s="26">
        <f>IFERROR(INDEX(Mots!$B:$B,MATCH($A623,Mots!$A:$A,0)),"introuvable")</f>
        <v/>
      </c>
      <c r="I623" s="30" t="inlineStr">
        <is>
          <t>tomber malade</t>
        </is>
      </c>
    </row>
    <row r="624">
      <c r="A624" s="30" t="inlineStr">
        <is>
          <t>a_sucre_sale</t>
        </is>
      </c>
      <c r="B624" s="26">
        <f>IFERROR(INDEX(Mots!$B:$B,MATCH($A624,Mots!$A:$A,0)),"introuvable")</f>
        <v/>
      </c>
      <c r="I624" s="30" t="inlineStr">
        <is>
          <t>trop salé</t>
        </is>
      </c>
    </row>
    <row r="625">
      <c r="A625" s="30" t="inlineStr">
        <is>
          <t>a_clair_sombre</t>
        </is>
      </c>
      <c r="B625" s="26">
        <f>IFERROR(INDEX(Mots!$B:$B,MATCH($A625,Mots!$A:$A,0)),"introuvable")</f>
        <v/>
      </c>
      <c r="I625" s="30" t="inlineStr">
        <is>
          <t>il fait sombre</t>
        </is>
      </c>
    </row>
    <row r="626">
      <c r="A626" s="30" t="inlineStr">
        <is>
          <t>a_long_court</t>
        </is>
      </c>
      <c r="B626" s="26">
        <f>IFERROR(INDEX(Mots!$B:$B,MATCH($A626,Mots!$A:$A,0)),"introuvable")</f>
        <v/>
      </c>
      <c r="I626" s="30" t="inlineStr">
        <is>
          <t>un long moment</t>
        </is>
      </c>
    </row>
    <row r="627">
      <c r="A627" s="30" t="inlineStr">
        <is>
          <t>a_gentil_mechant</t>
        </is>
      </c>
      <c r="B627" s="26">
        <f>IFERROR(INDEX(Mots!$B:$B,MATCH($A627,Mots!$A:$A,0)),"introuvable")</f>
        <v/>
      </c>
      <c r="I627" s="30" t="inlineStr">
        <is>
          <t>être gentil</t>
        </is>
      </c>
    </row>
    <row r="628">
      <c r="A628" s="30" t="inlineStr">
        <is>
          <t>a_vrai_faux</t>
        </is>
      </c>
      <c r="B628" s="26">
        <f>IFERROR(INDEX(Mots!$B:$B,MATCH($A628,Mots!$A:$A,0)),"introuvable")</f>
        <v/>
      </c>
      <c r="I628" s="30" t="inlineStr">
        <is>
          <t>c'est vrai</t>
        </is>
      </c>
    </row>
    <row r="629">
      <c r="A629" s="30" t="inlineStr">
        <is>
          <t>a_bon_mauvais</t>
        </is>
      </c>
      <c r="B629" s="26">
        <f>IFERROR(INDEX(Mots!$B:$B,MATCH($A629,Mots!$A:$A,0)),"introuvable")</f>
        <v/>
      </c>
      <c r="I629" s="30" t="inlineStr">
        <is>
          <t>c'est bon</t>
        </is>
      </c>
    </row>
    <row r="630">
      <c r="A630" s="30" t="inlineStr">
        <is>
          <t>a_calme_agite</t>
        </is>
      </c>
      <c r="B630" s="26">
        <f>IFERROR(INDEX(Mots!$B:$B,MATCH($A630,Mots!$A:$A,0)),"introuvable")</f>
        <v/>
      </c>
      <c r="I630" s="30" t="inlineStr">
        <is>
          <t>rester calme</t>
        </is>
      </c>
    </row>
    <row r="631">
      <c r="A631" s="30" t="inlineStr">
        <is>
          <t>a_libre_occupe</t>
        </is>
      </c>
      <c r="B631" s="26">
        <f>IFERROR(INDEX(Mots!$B:$B,MATCH($A631,Mots!$A:$A,0)),"introuvable")</f>
        <v/>
      </c>
      <c r="I631" s="30" t="inlineStr">
        <is>
          <t>la place est libre</t>
        </is>
      </c>
    </row>
    <row r="632">
      <c r="A632" s="30" t="inlineStr">
        <is>
          <t>a_premier_dernier</t>
        </is>
      </c>
      <c r="B632" s="26">
        <f>IFERROR(INDEX(Mots!$B:$B,MATCH($A632,Mots!$A:$A,0)),"introuvable")</f>
        <v/>
      </c>
      <c r="I632" s="30" t="inlineStr">
        <is>
          <t>le premier jour</t>
        </is>
      </c>
    </row>
    <row r="633">
      <c r="A633" s="30" t="inlineStr">
        <is>
          <t>a_proche_eloigne</t>
        </is>
      </c>
      <c r="B633" s="26">
        <f>IFERROR(INDEX(Mots!$B:$B,MATCH($A633,Mots!$A:$A,0)),"introuvable")</f>
        <v/>
      </c>
      <c r="I633" s="30" t="inlineStr">
        <is>
          <t>tout proche</t>
        </is>
      </c>
    </row>
    <row r="634">
      <c r="A634" s="30" t="inlineStr">
        <is>
          <t>a_riche_pauvre</t>
        </is>
      </c>
      <c r="B634" s="26">
        <f>IFERROR(INDEX(Mots!$B:$B,MATCH($A634,Mots!$A:$A,0)),"introuvable")</f>
        <v/>
      </c>
    </row>
    <row r="635">
      <c r="A635" s="30" t="inlineStr">
        <is>
          <t>a_epais_fin</t>
        </is>
      </c>
      <c r="B635" s="26">
        <f>IFERROR(INDEX(Mots!$B:$B,MATCH($A635,Mots!$A:$A,0)),"introuvable")</f>
        <v/>
      </c>
    </row>
    <row r="636">
      <c r="A636" s="30" t="inlineStr">
        <is>
          <t>a_gros_mince</t>
        </is>
      </c>
      <c r="B636" s="26">
        <f>IFERROR(INDEX(Mots!$B:$B,MATCH($A636,Mots!$A:$A,0)),"introuvable")</f>
        <v/>
      </c>
    </row>
    <row r="637">
      <c r="A637" s="30" t="inlineStr">
        <is>
          <t>a_large_etroit</t>
        </is>
      </c>
      <c r="B637" s="26">
        <f>IFERROR(INDEX(Mots!$B:$B,MATCH($A637,Mots!$A:$A,0)),"introuvable")</f>
        <v/>
      </c>
    </row>
    <row r="638">
      <c r="A638" s="30" t="inlineStr">
        <is>
          <t>a_neuf_use</t>
        </is>
      </c>
      <c r="B638" s="26">
        <f>IFERROR(INDEX(Mots!$B:$B,MATCH($A638,Mots!$A:$A,0)),"introuvable")</f>
        <v/>
      </c>
      <c r="I638" s="30" t="inlineStr">
        <is>
          <t>tout neuf</t>
        </is>
      </c>
    </row>
    <row r="639">
      <c r="A639" s="30" t="inlineStr">
        <is>
          <t>a_nouveau_ancien</t>
        </is>
      </c>
      <c r="B639" s="26">
        <f>IFERROR(INDEX(Mots!$B:$B,MATCH($A639,Mots!$A:$A,0)),"introuvable")</f>
        <v/>
      </c>
      <c r="I639" s="30" t="inlineStr">
        <is>
          <t>quoi de neuf ?</t>
        </is>
      </c>
    </row>
    <row r="640">
      <c r="A640" s="30" t="inlineStr">
        <is>
          <t>a_drole_serieux</t>
        </is>
      </c>
      <c r="B640" s="26">
        <f>IFERROR(INDEX(Mots!$B:$B,MATCH($A640,Mots!$A:$A,0)),"introuvable")</f>
        <v/>
      </c>
      <c r="I640" s="30" t="inlineStr">
        <is>
          <t>c'est drôle</t>
        </is>
      </c>
    </row>
    <row r="641">
      <c r="A641" s="30" t="inlineStr">
        <is>
          <t>a_courageux_peureux</t>
        </is>
      </c>
      <c r="B641" s="26">
        <f>IFERROR(INDEX(Mots!$B:$B,MATCH($A641,Mots!$A:$A,0)),"introuvable")</f>
        <v/>
      </c>
      <c r="I641" s="30" t="inlineStr">
        <is>
          <t>avoir du courage</t>
        </is>
      </c>
    </row>
    <row r="642">
      <c r="A642" s="30" t="inlineStr">
        <is>
          <t>a_intelligent_bete</t>
        </is>
      </c>
      <c r="B642" s="26">
        <f>IFERROR(INDEX(Mots!$B:$B,MATCH($A642,Mots!$A:$A,0)),"introuvable")</f>
        <v/>
      </c>
    </row>
    <row r="643">
      <c r="A643" s="30" t="inlineStr">
        <is>
          <t>a_amer_acide</t>
        </is>
      </c>
      <c r="B643" s="26">
        <f>IFERROR(INDEX(Mots!$B:$B,MATCH($A643,Mots!$A:$A,0)),"introuvable")</f>
        <v/>
      </c>
    </row>
    <row r="644">
      <c r="A644" s="30" t="inlineStr">
        <is>
          <t>a_brillant_terne</t>
        </is>
      </c>
      <c r="B644" s="26">
        <f>IFERROR(INDEX(Mots!$B:$B,MATCH($A644,Mots!$A:$A,0)),"introuvable")</f>
        <v/>
      </c>
    </row>
    <row r="645">
      <c r="A645" s="30" t="inlineStr">
        <is>
          <t>a_dessus_dessous</t>
        </is>
      </c>
      <c r="B645" s="26">
        <f>IFERROR(INDEX(Mots!$B:$B,MATCH($A645,Mots!$A:$A,0)),"introuvable")</f>
        <v/>
      </c>
      <c r="I645" s="30" t="inlineStr">
        <is>
          <t>par-dessus</t>
        </is>
      </c>
    </row>
    <row r="646">
      <c r="A646" s="30" t="inlineStr">
        <is>
          <t>a_devant_derriere</t>
        </is>
      </c>
      <c r="B646" s="26">
        <f>IFERROR(INDEX(Mots!$B:$B,MATCH($A646,Mots!$A:$A,0)),"introuvable")</f>
        <v/>
      </c>
      <c r="I646" s="30" t="inlineStr">
        <is>
          <t>juste devant</t>
        </is>
      </c>
    </row>
    <row r="647">
      <c r="A647" s="30" t="inlineStr">
        <is>
          <t>adulte</t>
        </is>
      </c>
      <c r="B647" s="26">
        <f>IFERROR(INDEX(Mots!$B:$B,MATCH($A647,Mots!$A:$A,0)),"introuvable")</f>
        <v/>
      </c>
      <c r="C647" s="30" t="inlineStr">
        <is>
          <t>Mes enfants sont adultes maintenant.</t>
        </is>
      </c>
    </row>
    <row r="648">
      <c r="A648" s="30" t="inlineStr">
        <is>
          <t>a_desagreable</t>
        </is>
      </c>
      <c r="B648" s="26">
        <f>IFERROR(INDEX(Mots!$B:$B,MATCH($A648,Mots!$A:$A,0)),"introuvable")</f>
        <v/>
      </c>
      <c r="C648" s="30" t="inlineStr">
        <is>
          <t>Cette odeur est désagréable.</t>
        </is>
      </c>
    </row>
    <row r="649">
      <c r="A649" s="30" t="inlineStr">
        <is>
          <t>aimable</t>
        </is>
      </c>
      <c r="B649" s="26">
        <f>IFERROR(INDEX(Mots!$B:$B,MATCH($A649,Mots!$A:$A,0)),"introuvable")</f>
        <v/>
      </c>
      <c r="C649" s="30" t="inlineStr">
        <is>
          <t>La vendeuse est très aimable.</t>
        </is>
      </c>
    </row>
    <row r="650">
      <c r="A650" s="30" t="inlineStr">
        <is>
          <t>a_arme</t>
        </is>
      </c>
      <c r="B650" s="26">
        <f>IFERROR(INDEX(Mots!$B:$B,MATCH($A650,Mots!$A:$A,0)),"introuvable")</f>
        <v/>
      </c>
      <c r="C650" s="30" t="inlineStr">
        <is>
          <t>Le béton armé est très solide.</t>
        </is>
      </c>
      <c r="I650" s="30" t="inlineStr">
        <is>
          <t>le béton armé</t>
        </is>
      </c>
    </row>
    <row r="651">
      <c r="A651" s="30" t="inlineStr">
        <is>
          <t>brusquement</t>
        </is>
      </c>
      <c r="B651" s="26">
        <f>IFERROR(INDEX(Mots!$B:$B,MATCH($A651,Mots!$A:$A,0)),"introuvable")</f>
        <v/>
      </c>
      <c r="C651" s="30" t="inlineStr">
        <is>
          <t>Il s'est arrêté brusquement.</t>
        </is>
      </c>
    </row>
    <row r="652">
      <c r="A652" s="30" t="inlineStr">
        <is>
          <t>casse</t>
        </is>
      </c>
      <c r="B652" s="26">
        <f>IFERROR(INDEX(Mots!$B:$B,MATCH($A652,Mots!$A:$A,0)),"introuvable")</f>
        <v/>
      </c>
      <c r="C652" s="30" t="inlineStr">
        <is>
          <t>Le verre est cassé.</t>
        </is>
      </c>
      <c r="I652" s="30" t="inlineStr">
        <is>
          <t>c'est cassé</t>
        </is>
      </c>
    </row>
    <row r="653">
      <c r="A653" s="30" t="inlineStr">
        <is>
          <t>certain</t>
        </is>
      </c>
      <c r="B653" s="26">
        <f>IFERROR(INDEX(Mots!$B:$B,MATCH($A653,Mots!$A:$A,0)),"introuvable")</f>
        <v/>
      </c>
      <c r="C653" s="30" t="inlineStr">
        <is>
          <t>Je suis certain de l'avoir vu.</t>
        </is>
      </c>
      <c r="I653" s="30" t="inlineStr">
        <is>
          <t>être certain</t>
        </is>
      </c>
    </row>
    <row r="654">
      <c r="A654" s="30" t="inlineStr">
        <is>
          <t>collant</t>
        </is>
      </c>
      <c r="B654" s="26">
        <f>IFERROR(INDEX(Mots!$B:$B,MATCH($A654,Mots!$A:$A,0)),"introuvable")</f>
        <v/>
      </c>
      <c r="C654" s="30" t="inlineStr">
        <is>
          <t>Le miel est collant.</t>
        </is>
      </c>
    </row>
    <row r="655">
      <c r="A655" s="30" t="inlineStr">
        <is>
          <t>coloree</t>
        </is>
      </c>
      <c r="B655" s="26">
        <f>IFERROR(INDEX(Mots!$B:$B,MATCH($A655,Mots!$A:$A,0)),"introuvable")</f>
        <v/>
      </c>
      <c r="C655" s="30" t="inlineStr">
        <is>
          <t>La chambre est très colorée.</t>
        </is>
      </c>
    </row>
    <row r="656">
      <c r="A656" s="30" t="inlineStr">
        <is>
          <t>complet</t>
        </is>
      </c>
      <c r="B656" s="26">
        <f>IFERROR(INDEX(Mots!$B:$B,MATCH($A656,Mots!$A:$A,0)),"introuvable")</f>
        <v/>
      </c>
      <c r="C656" s="30" t="inlineStr">
        <is>
          <t>Le train est complet.</t>
        </is>
      </c>
      <c r="I656" s="30" t="inlineStr">
        <is>
          <t>c'est complet</t>
        </is>
      </c>
    </row>
    <row r="657">
      <c r="A657" s="30" t="inlineStr">
        <is>
          <t>confortable</t>
        </is>
      </c>
      <c r="B657" s="26">
        <f>IFERROR(INDEX(Mots!$B:$B,MATCH($A657,Mots!$A:$A,0)),"introuvable")</f>
        <v/>
      </c>
      <c r="C657" s="30" t="inlineStr">
        <is>
          <t>Ce fauteuil est très confortable.</t>
        </is>
      </c>
    </row>
    <row r="658">
      <c r="A658" s="30" t="inlineStr">
        <is>
          <t>correct</t>
        </is>
      </c>
      <c r="B658" s="26">
        <f>IFERROR(INDEX(Mots!$B:$B,MATCH($A658,Mots!$A:$A,0)),"introuvable")</f>
        <v/>
      </c>
      <c r="C658" s="30" t="inlineStr">
        <is>
          <t>Ta réponse est correcte.</t>
        </is>
      </c>
      <c r="I658" s="30" t="inlineStr">
        <is>
          <t>c'est correct</t>
        </is>
      </c>
    </row>
    <row r="659">
      <c r="A659" s="30" t="inlineStr">
        <is>
          <t>creux</t>
        </is>
      </c>
      <c r="B659" s="26">
        <f>IFERROR(INDEX(Mots!$B:$B,MATCH($A659,Mots!$A:$A,0)),"introuvable")</f>
        <v/>
      </c>
      <c r="C659" s="30" t="inlineStr">
        <is>
          <t>Le tuyau est creux à l'intérieur.</t>
        </is>
      </c>
    </row>
    <row r="660">
      <c r="A660" s="30" t="inlineStr">
        <is>
          <t>dangereux</t>
        </is>
      </c>
      <c r="B660" s="26">
        <f>IFERROR(INDEX(Mots!$B:$B,MATCH($A660,Mots!$A:$A,0)),"introuvable")</f>
        <v/>
      </c>
      <c r="C660" s="30" t="inlineStr">
        <is>
          <t>Cette route est dangereuse la nuit.</t>
        </is>
      </c>
      <c r="I660" s="30" t="inlineStr">
        <is>
          <t>c'est dangereux</t>
        </is>
      </c>
    </row>
    <row r="661">
      <c r="A661" s="30" t="inlineStr">
        <is>
          <t>différent</t>
        </is>
      </c>
      <c r="B661" s="26">
        <f>IFERROR(INDEX(Mots!$B:$B,MATCH($A661,Mots!$A:$A,0)),"introuvable")</f>
        <v/>
      </c>
      <c r="C661" s="30" t="inlineStr">
        <is>
          <t>Chaque jour est différent.</t>
        </is>
      </c>
    </row>
    <row r="662">
      <c r="A662" s="30" t="inlineStr">
        <is>
          <t>disponible</t>
        </is>
      </c>
      <c r="B662" s="26">
        <f>IFERROR(INDEX(Mots!$B:$B,MATCH($A662,Mots!$A:$A,0)),"introuvable")</f>
        <v/>
      </c>
      <c r="C662" s="30" t="inlineStr">
        <is>
          <t>Le médecin est disponible ce matin.</t>
        </is>
      </c>
      <c r="I662" s="30" t="inlineStr">
        <is>
          <t>être disponible</t>
        </is>
      </c>
    </row>
    <row r="663">
      <c r="A663" s="30" t="inlineStr">
        <is>
          <t>douce</t>
        </is>
      </c>
      <c r="B663" s="26">
        <f>IFERROR(INDEX(Mots!$B:$B,MATCH($A663,Mots!$A:$A,0)),"introuvable")</f>
        <v/>
      </c>
      <c r="C663" s="30" t="inlineStr">
        <is>
          <t>La laine est douce au toucher.</t>
        </is>
      </c>
      <c r="I663" s="30" t="inlineStr">
        <is>
          <t>tout doux</t>
        </is>
      </c>
    </row>
    <row r="664">
      <c r="A664" s="30" t="inlineStr">
        <is>
          <t>a_electrique</t>
        </is>
      </c>
      <c r="B664" s="26">
        <f>IFERROR(INDEX(Mots!$B:$B,MATCH($A664,Mots!$A:$A,0)),"introuvable")</f>
        <v/>
      </c>
      <c r="C664" s="30" t="inlineStr">
        <is>
          <t>La tondeuse est électrique.</t>
        </is>
      </c>
    </row>
    <row r="665">
      <c r="A665" s="30" t="inlineStr">
        <is>
          <t>a_enflamme</t>
        </is>
      </c>
      <c r="B665" s="26">
        <f>IFERROR(INDEX(Mots!$B:$B,MATCH($A665,Mots!$A:$A,0)),"introuvable")</f>
        <v/>
      </c>
      <c r="C665" s="30" t="inlineStr">
        <is>
          <t>J'ai la gorge enflammée.</t>
        </is>
      </c>
      <c r="I665" s="30" t="inlineStr">
        <is>
          <t>la gorge enflammée</t>
        </is>
      </c>
    </row>
    <row r="666">
      <c r="A666" s="30" t="inlineStr">
        <is>
          <t>entier</t>
        </is>
      </c>
      <c r="B666" s="26">
        <f>IFERROR(INDEX(Mots!$B:$B,MATCH($A666,Mots!$A:$A,0)),"introuvable")</f>
        <v/>
      </c>
      <c r="C666" s="30" t="inlineStr">
        <is>
          <t>J'ai mangé le gâteau entier.</t>
        </is>
      </c>
    </row>
    <row r="667">
      <c r="A667" s="30" t="inlineStr">
        <is>
          <t>a_equitable</t>
        </is>
      </c>
      <c r="B667" s="26">
        <f>IFERROR(INDEX(Mots!$B:$B,MATCH($A667,Mots!$A:$A,0)),"introuvable")</f>
        <v/>
      </c>
      <c r="C667" s="30" t="inlineStr">
        <is>
          <t>Le partage est équitable.</t>
        </is>
      </c>
    </row>
    <row r="668">
      <c r="A668" s="30" t="inlineStr">
        <is>
          <t>exact</t>
        </is>
      </c>
      <c r="B668" s="26">
        <f>IFERROR(INDEX(Mots!$B:$B,MATCH($A668,Mots!$A:$A,0)),"introuvable")</f>
        <v/>
      </c>
      <c r="C668" s="30" t="inlineStr">
        <is>
          <t>Quelle est l'heure exacte ?</t>
        </is>
      </c>
      <c r="I668" s="30" t="inlineStr">
        <is>
          <t>l'heure exacte</t>
        </is>
      </c>
    </row>
    <row r="669">
      <c r="A669" s="30" t="inlineStr">
        <is>
          <t>exterieur</t>
        </is>
      </c>
      <c r="B669" s="26">
        <f>IFERROR(INDEX(Mots!$B:$B,MATCH($A669,Mots!$A:$A,0)),"introuvable")</f>
        <v/>
      </c>
      <c r="C669" s="30" t="inlineStr">
        <is>
          <t>Le mur extérieur est mouillé.</t>
        </is>
      </c>
    </row>
    <row r="670">
      <c r="A670" s="30" t="inlineStr">
        <is>
          <t>a_fatigue</t>
        </is>
      </c>
      <c r="B670" s="26">
        <f>IFERROR(INDEX(Mots!$B:$B,MATCH($A670,Mots!$A:$A,0)),"introuvable")</f>
        <v/>
      </c>
      <c r="C670" s="30" t="inlineStr">
        <is>
          <t>Je suis fatigué ce soir.</t>
        </is>
      </c>
      <c r="I670" s="30" t="inlineStr">
        <is>
          <t>être fatigué</t>
        </is>
      </c>
    </row>
    <row r="671">
      <c r="A671" s="30" t="inlineStr">
        <is>
          <t>feminin</t>
        </is>
      </c>
      <c r="B671" s="26">
        <f>IFERROR(INDEX(Mots!$B:$B,MATCH($A671,Mots!$A:$A,0)),"introuvable")</f>
        <v/>
      </c>
      <c r="C671" s="30" t="inlineStr">
        <is>
          <t>« La table » est un mot féminin.</t>
        </is>
      </c>
    </row>
    <row r="672">
      <c r="A672" s="30" t="inlineStr">
        <is>
          <t>a_frais</t>
        </is>
      </c>
      <c r="B672" s="26">
        <f>IFERROR(INDEX(Mots!$B:$B,MATCH($A672,Mots!$A:$A,0)),"introuvable")</f>
        <v/>
      </c>
      <c r="C672" s="30" t="inlineStr">
        <is>
          <t>L'eau du robinet est fraîche.</t>
        </is>
      </c>
      <c r="I672" s="30" t="inlineStr">
        <is>
          <t>au frais</t>
        </is>
      </c>
    </row>
    <row r="673">
      <c r="A673" s="30" t="inlineStr">
        <is>
          <t>gras</t>
        </is>
      </c>
      <c r="B673" s="26">
        <f>IFERROR(INDEX(Mots!$B:$B,MATCH($A673,Mots!$A:$A,0)),"introuvable")</f>
        <v/>
      </c>
      <c r="C673" s="30" t="inlineStr">
        <is>
          <t>La sauce est trop grasse.</t>
        </is>
      </c>
    </row>
    <row r="674">
      <c r="A674" s="30" t="inlineStr">
        <is>
          <t>gratuit</t>
        </is>
      </c>
      <c r="B674" s="26">
        <f>IFERROR(INDEX(Mots!$B:$B,MATCH($A674,Mots!$A:$A,0)),"introuvable")</f>
        <v/>
      </c>
      <c r="C674" s="30" t="inlineStr">
        <is>
          <t>L'entrée est gratuite pour les enfants.</t>
        </is>
      </c>
      <c r="I674" s="30" t="inlineStr">
        <is>
          <t>c'est gratuit</t>
        </is>
      </c>
    </row>
    <row r="675">
      <c r="A675" s="30" t="inlineStr">
        <is>
          <t>a_habituel</t>
        </is>
      </c>
      <c r="B675" s="26">
        <f>IFERROR(INDEX(Mots!$B:$B,MATCH($A675,Mots!$A:$A,0)),"introuvable")</f>
        <v/>
      </c>
      <c r="C675" s="30" t="inlineStr">
        <is>
          <t>Il fait sa promenade habituelle.</t>
        </is>
      </c>
      <c r="I675" s="30" t="inlineStr">
        <is>
          <t>comme d'habitude</t>
        </is>
      </c>
    </row>
    <row r="676">
      <c r="A676" s="30" t="inlineStr">
        <is>
          <t>heureux</t>
        </is>
      </c>
      <c r="B676" s="26">
        <f>IFERROR(INDEX(Mots!$B:$B,MATCH($A676,Mots!$A:$A,0)),"introuvable")</f>
        <v/>
      </c>
      <c r="C676" s="30" t="inlineStr">
        <is>
          <t>Je suis heureux de te voir.</t>
        </is>
      </c>
      <c r="I676" s="30" t="inlineStr">
        <is>
          <t>être heureux</t>
        </is>
      </c>
    </row>
    <row r="677">
      <c r="A677" s="30" t="inlineStr">
        <is>
          <t>a_humain</t>
        </is>
      </c>
      <c r="B677" s="26">
        <f>IFERROR(INDEX(Mots!$B:$B,MATCH($A677,Mots!$A:$A,0)),"introuvable")</f>
        <v/>
      </c>
      <c r="C677" s="30" t="inlineStr">
        <is>
          <t>Le corps humain a deux cent six os.</t>
        </is>
      </c>
      <c r="I677" s="30" t="inlineStr">
        <is>
          <t>le corps humain</t>
        </is>
      </c>
    </row>
    <row r="678">
      <c r="A678" s="30" t="inlineStr">
        <is>
          <t>a_important</t>
        </is>
      </c>
      <c r="B678" s="26">
        <f>IFERROR(INDEX(Mots!$B:$B,MATCH($A678,Mots!$A:$A,0)),"introuvable")</f>
        <v/>
      </c>
      <c r="C678" s="30" t="inlineStr">
        <is>
          <t>C'est un rendez-vous important.</t>
        </is>
      </c>
      <c r="I678" s="30" t="inlineStr">
        <is>
          <t>c'est important</t>
        </is>
      </c>
    </row>
    <row r="679">
      <c r="A679" s="30" t="inlineStr">
        <is>
          <t>interieur</t>
        </is>
      </c>
      <c r="B679" s="26">
        <f>IFERROR(INDEX(Mots!$B:$B,MATCH($A679,Mots!$A:$A,0)),"introuvable")</f>
        <v/>
      </c>
      <c r="C679" s="30" t="inlineStr">
        <is>
          <t>La poche intérieure est plus sûre.</t>
        </is>
      </c>
    </row>
    <row r="680">
      <c r="A680" s="30" t="inlineStr">
        <is>
          <t>invisible</t>
        </is>
      </c>
      <c r="B680" s="26">
        <f>IFERROR(INDEX(Mots!$B:$B,MATCH($A680,Mots!$A:$A,0)),"introuvable")</f>
        <v/>
      </c>
      <c r="C680" s="30" t="inlineStr">
        <is>
          <t>Le vent est invisible.</t>
        </is>
      </c>
    </row>
    <row r="681">
      <c r="A681" s="30" t="inlineStr">
        <is>
          <t>irrite</t>
        </is>
      </c>
      <c r="B681" s="26">
        <f>IFERROR(INDEX(Mots!$B:$B,MATCH($A681,Mots!$A:$A,0)),"introuvable")</f>
        <v/>
      </c>
      <c r="C681" s="30" t="inlineStr">
        <is>
          <t>J'ai les yeux irrités.</t>
        </is>
      </c>
    </row>
    <row r="682">
      <c r="A682" s="30" t="inlineStr">
        <is>
          <t>joyeux</t>
        </is>
      </c>
      <c r="B682" s="26">
        <f>IFERROR(INDEX(Mots!$B:$B,MATCH($A682,Mots!$A:$A,0)),"introuvable")</f>
        <v/>
      </c>
      <c r="C682" s="30" t="inlineStr">
        <is>
          <t>Les enfants sont joyeux.</t>
        </is>
      </c>
      <c r="I682" s="30" t="inlineStr">
        <is>
          <t>joyeux anniversaire</t>
        </is>
      </c>
    </row>
    <row r="683">
      <c r="A683" s="30" t="inlineStr">
        <is>
          <t>juste</t>
        </is>
      </c>
      <c r="B683" s="26">
        <f>IFERROR(INDEX(Mots!$B:$B,MATCH($A683,Mots!$A:$A,0)),"introuvable")</f>
        <v/>
      </c>
      <c r="C683" s="30" t="inlineStr">
        <is>
          <t>Ta réponse est juste.</t>
        </is>
      </c>
      <c r="I683" s="30" t="inlineStr">
        <is>
          <t>c'est juste</t>
        </is>
      </c>
    </row>
    <row r="684">
      <c r="A684" s="30" t="inlineStr">
        <is>
          <t>a_malin</t>
        </is>
      </c>
      <c r="B684" s="26">
        <f>IFERROR(INDEX(Mots!$B:$B,MATCH($A684,Mots!$A:$A,0)),"introuvable")</f>
        <v/>
      </c>
      <c r="C684" s="30" t="inlineStr">
        <is>
          <t>Le renard est malin.</t>
        </is>
      </c>
    </row>
    <row r="685">
      <c r="A685" s="30" t="inlineStr">
        <is>
          <t>masculin</t>
        </is>
      </c>
      <c r="B685" s="26">
        <f>IFERROR(INDEX(Mots!$B:$B,MATCH($A685,Mots!$A:$A,0)),"introuvable")</f>
        <v/>
      </c>
      <c r="C685" s="30" t="inlineStr">
        <is>
          <t>« Le chien » est un mot masculin.</t>
        </is>
      </c>
    </row>
    <row r="686">
      <c r="A686" s="30" t="inlineStr">
        <is>
          <t>merveilleux</t>
        </is>
      </c>
      <c r="B686" s="26">
        <f>IFERROR(INDEX(Mots!$B:$B,MATCH($A686,Mots!$A:$A,0)),"introuvable")</f>
        <v/>
      </c>
      <c r="C686" s="30" t="inlineStr">
        <is>
          <t>Nous avons passé une soirée merveilleuse.</t>
        </is>
      </c>
    </row>
    <row r="687">
      <c r="A687" s="30" t="inlineStr">
        <is>
          <t>a_nombreux</t>
        </is>
      </c>
      <c r="B687" s="26">
        <f>IFERROR(INDEX(Mots!$B:$B,MATCH($A687,Mots!$A:$A,0)),"introuvable")</f>
        <v/>
      </c>
      <c r="C687" s="30" t="inlineStr">
        <is>
          <t>Les invités sont nombreux.</t>
        </is>
      </c>
    </row>
    <row r="688">
      <c r="A688" s="30" t="inlineStr">
        <is>
          <t>nu</t>
        </is>
      </c>
      <c r="B688" s="26">
        <f>IFERROR(INDEX(Mots!$B:$B,MATCH($A688,Mots!$A:$A,0)),"introuvable")</f>
        <v/>
      </c>
      <c r="C688" s="30" t="inlineStr">
        <is>
          <t>Il marche pieds nus dans l'herbe.</t>
        </is>
      </c>
      <c r="I688" s="30" t="inlineStr">
        <is>
          <t>pieds nus</t>
        </is>
      </c>
    </row>
    <row r="689">
      <c r="A689" s="30" t="inlineStr">
        <is>
          <t>pareil</t>
        </is>
      </c>
      <c r="B689" s="26">
        <f>IFERROR(INDEX(Mots!$B:$B,MATCH($A689,Mots!$A:$A,0)),"introuvable")</f>
        <v/>
      </c>
      <c r="C689" s="30" t="inlineStr">
        <is>
          <t>Nos deux vestes sont pareilles.</t>
        </is>
      </c>
      <c r="I689" s="30" t="inlineStr">
        <is>
          <t>c'est pareil</t>
        </is>
      </c>
    </row>
    <row r="690">
      <c r="A690" s="30" t="inlineStr">
        <is>
          <t>adv_partout</t>
        </is>
      </c>
      <c r="B690" s="26">
        <f>IFERROR(INDEX(Mots!$B:$B,MATCH($A690,Mots!$A:$A,0)),"introuvable")</f>
        <v/>
      </c>
      <c r="C690" s="30" t="inlineStr">
        <is>
          <t>J'ai cherché mes lunettes partout.</t>
        </is>
      </c>
      <c r="I690" s="30" t="inlineStr">
        <is>
          <t>chercher partout</t>
        </is>
      </c>
    </row>
    <row r="691">
      <c r="A691" s="30" t="inlineStr">
        <is>
          <t>piquant</t>
        </is>
      </c>
      <c r="B691" s="26">
        <f>IFERROR(INDEX(Mots!$B:$B,MATCH($A691,Mots!$A:$A,0)),"introuvable")</f>
        <v/>
      </c>
      <c r="C691" s="30" t="inlineStr">
        <is>
          <t>La sauce est trop piquante.</t>
        </is>
      </c>
    </row>
    <row r="692">
      <c r="A692" s="30" t="inlineStr">
        <is>
          <t>possible</t>
        </is>
      </c>
      <c r="B692" s="26">
        <f>IFERROR(INDEX(Mots!$B:$B,MATCH($A692,Mots!$A:$A,0)),"introuvable")</f>
        <v/>
      </c>
      <c r="C692" s="30" t="inlineStr">
        <is>
          <t>Ce n'est pas possible !</t>
        </is>
      </c>
      <c r="I692" s="30" t="inlineStr">
        <is>
          <t>si possible</t>
        </is>
      </c>
    </row>
    <row r="693">
      <c r="A693" s="30" t="inlineStr">
        <is>
          <t>a_pratique</t>
        </is>
      </c>
      <c r="B693" s="26">
        <f>IFERROR(INDEX(Mots!$B:$B,MATCH($A693,Mots!$A:$A,0)),"introuvable")</f>
        <v/>
      </c>
      <c r="C693" s="30" t="inlineStr">
        <is>
          <t>Ce sac est très pratique.</t>
        </is>
      </c>
      <c r="I693" s="30" t="inlineStr">
        <is>
          <t>c'est pratique</t>
        </is>
      </c>
    </row>
    <row r="694">
      <c r="A694" s="30" t="inlineStr">
        <is>
          <t>a_precis</t>
        </is>
      </c>
      <c r="B694" s="26">
        <f>IFERROR(INDEX(Mots!$B:$B,MATCH($A694,Mots!$A:$A,0)),"introuvable")</f>
        <v/>
      </c>
      <c r="C694" s="30" t="inlineStr">
        <is>
          <t>Donne-moi l'heure précise.</t>
        </is>
      </c>
    </row>
    <row r="695">
      <c r="A695" s="30" t="inlineStr">
        <is>
          <t>a_prefere</t>
        </is>
      </c>
      <c r="B695" s="26">
        <f>IFERROR(INDEX(Mots!$B:$B,MATCH($A695,Mots!$A:$A,0)),"introuvable")</f>
        <v/>
      </c>
      <c r="C695" s="30" t="inlineStr">
        <is>
          <t>C'est mon plat préféré.</t>
        </is>
      </c>
      <c r="I695" s="30" t="inlineStr">
        <is>
          <t>mon plat préféré</t>
        </is>
      </c>
    </row>
    <row r="696">
      <c r="A696" s="30" t="inlineStr">
        <is>
          <t>pret</t>
        </is>
      </c>
      <c r="B696" s="26">
        <f>IFERROR(INDEX(Mots!$B:$B,MATCH($A696,Mots!$A:$A,0)),"introuvable")</f>
        <v/>
      </c>
      <c r="C696" s="30" t="inlineStr">
        <is>
          <t>Le repas est prêt.</t>
        </is>
      </c>
      <c r="I696" s="30" t="inlineStr">
        <is>
          <t>être prêt</t>
        </is>
      </c>
    </row>
    <row r="697">
      <c r="A697" s="30" t="inlineStr">
        <is>
          <t>a_profond</t>
        </is>
      </c>
      <c r="B697" s="26">
        <f>IFERROR(INDEX(Mots!$B:$B,MATCH($A697,Mots!$A:$A,0)),"introuvable")</f>
        <v/>
      </c>
      <c r="C697" s="30" t="inlineStr">
        <is>
          <t>Le lac est très profond ici.</t>
        </is>
      </c>
    </row>
    <row r="698">
      <c r="A698" s="30" t="inlineStr">
        <is>
          <t>adv_rarement</t>
        </is>
      </c>
      <c r="B698" s="26">
        <f>IFERROR(INDEX(Mots!$B:$B,MATCH($A698,Mots!$A:$A,0)),"introuvable")</f>
        <v/>
      </c>
      <c r="C698" s="30" t="inlineStr">
        <is>
          <t>Il vient rarement au village.</t>
        </is>
      </c>
    </row>
    <row r="699">
      <c r="A699" s="30" t="inlineStr">
        <is>
          <t>a_regulier</t>
        </is>
      </c>
      <c r="B699" s="26">
        <f>IFERROR(INDEX(Mots!$B:$B,MATCH($A699,Mots!$A:$A,0)),"introuvable")</f>
        <v/>
      </c>
      <c r="C699" s="30" t="inlineStr">
        <is>
          <t>Il fait une promenade régulière.</t>
        </is>
      </c>
    </row>
    <row r="700">
      <c r="A700" s="30" t="inlineStr">
        <is>
          <t>a_resistant</t>
        </is>
      </c>
      <c r="B700" s="26">
        <f>IFERROR(INDEX(Mots!$B:$B,MATCH($A700,Mots!$A:$A,0)),"introuvable")</f>
        <v/>
      </c>
      <c r="C700" s="30" t="inlineStr">
        <is>
          <t>Ce tissu est très résistant.</t>
        </is>
      </c>
    </row>
    <row r="701">
      <c r="A701" s="30" t="inlineStr">
        <is>
          <t>a_rude</t>
        </is>
      </c>
      <c r="B701" s="26">
        <f>IFERROR(INDEX(Mots!$B:$B,MATCH($A701,Mots!$A:$A,0)),"introuvable")</f>
        <v/>
      </c>
      <c r="C701" s="30" t="inlineStr">
        <is>
          <t>L'hiver a été rude cette année.</t>
        </is>
      </c>
    </row>
    <row r="702">
      <c r="A702" s="30" t="inlineStr">
        <is>
          <t>a_ruse</t>
        </is>
      </c>
      <c r="B702" s="26">
        <f>IFERROR(INDEX(Mots!$B:$B,MATCH($A702,Mots!$A:$A,0)),"introuvable")</f>
        <v/>
      </c>
      <c r="C702" s="30" t="inlineStr">
        <is>
          <t>Le chat est rusé pour attraper les souris.</t>
        </is>
      </c>
    </row>
    <row r="703">
      <c r="A703" s="30" t="inlineStr">
        <is>
          <t>sauvage</t>
        </is>
      </c>
      <c r="B703" s="26">
        <f>IFERROR(INDEX(Mots!$B:$B,MATCH($A703,Mots!$A:$A,0)),"introuvable")</f>
        <v/>
      </c>
      <c r="C703" s="30" t="inlineStr">
        <is>
          <t>Le chamois est un animal sauvage.</t>
        </is>
      </c>
      <c r="I703" s="30" t="inlineStr">
        <is>
          <t>un animal sauvage</t>
        </is>
      </c>
    </row>
    <row r="704">
      <c r="A704" s="30" t="inlineStr">
        <is>
          <t>seul</t>
        </is>
      </c>
      <c r="B704" s="26">
        <f>IFERROR(INDEX(Mots!$B:$B,MATCH($A704,Mots!$A:$A,0)),"introuvable")</f>
        <v/>
      </c>
      <c r="C704" s="30" t="inlineStr">
        <is>
          <t>Il habite seul depuis un an.</t>
        </is>
      </c>
      <c r="I704" s="30" t="inlineStr">
        <is>
          <t>tout seul</t>
        </is>
      </c>
    </row>
    <row r="705">
      <c r="A705" s="30" t="inlineStr">
        <is>
          <t>adv_seulement</t>
        </is>
      </c>
      <c r="B705" s="26">
        <f>IFERROR(INDEX(Mots!$B:$B,MATCH($A705,Mots!$A:$A,0)),"introuvable")</f>
        <v/>
      </c>
      <c r="C705" s="30" t="inlineStr">
        <is>
          <t>Il reste seulement deux places.</t>
        </is>
      </c>
    </row>
    <row r="706">
      <c r="A706" s="30" t="inlineStr">
        <is>
          <t>soudain</t>
        </is>
      </c>
      <c r="B706" s="26">
        <f>IFERROR(INDEX(Mots!$B:$B,MATCH($A706,Mots!$A:$A,0)),"introuvable")</f>
        <v/>
      </c>
      <c r="C706" s="30" t="inlineStr">
        <is>
          <t>Un bruit soudain nous a réveillés.</t>
        </is>
      </c>
      <c r="I706" s="30" t="inlineStr">
        <is>
          <t>tout à coup</t>
        </is>
      </c>
    </row>
    <row r="707">
      <c r="A707" s="30" t="inlineStr">
        <is>
          <t>souple</t>
        </is>
      </c>
      <c r="B707" s="26">
        <f>IFERROR(INDEX(Mots!$B:$B,MATCH($A707,Mots!$A:$A,0)),"introuvable")</f>
        <v/>
      </c>
      <c r="C707" s="30" t="inlineStr">
        <is>
          <t>Le tuyau est souple, il se plie bien.</t>
        </is>
      </c>
    </row>
    <row r="708">
      <c r="A708" s="30" t="inlineStr">
        <is>
          <t>a_touffu</t>
        </is>
      </c>
      <c r="B708" s="26">
        <f>IFERROR(INDEX(Mots!$B:$B,MATCH($A708,Mots!$A:$A,0)),"introuvable")</f>
        <v/>
      </c>
      <c r="C708" s="30" t="inlineStr">
        <is>
          <t>La haie est très touffue.</t>
        </is>
      </c>
    </row>
    <row r="709">
      <c r="A709" s="30" t="inlineStr">
        <is>
          <t>tranquille</t>
        </is>
      </c>
      <c r="B709" s="26">
        <f>IFERROR(INDEX(Mots!$B:$B,MATCH($A709,Mots!$A:$A,0)),"introuvable")</f>
        <v/>
      </c>
      <c r="C709" s="30" t="inlineStr">
        <is>
          <t>Le village est tranquille le dimanche.</t>
        </is>
      </c>
      <c r="I709" s="30" t="inlineStr">
        <is>
          <t>rester tranquille</t>
        </is>
      </c>
    </row>
    <row r="710">
      <c r="A710" s="30" t="inlineStr">
        <is>
          <t>transparent</t>
        </is>
      </c>
      <c r="B710" s="26">
        <f>IFERROR(INDEX(Mots!$B:$B,MATCH($A710,Mots!$A:$A,0)),"introuvable")</f>
        <v/>
      </c>
      <c r="C710" s="30" t="inlineStr">
        <is>
          <t>La vitre est transparente.</t>
        </is>
      </c>
    </row>
    <row r="711">
      <c r="A711" s="30" t="inlineStr">
        <is>
          <t>baguette</t>
        </is>
      </c>
      <c r="B711" s="26">
        <f>IFERROR(INDEX(Mots!$B:$B,MATCH($A711,Mots!$A:$A,0)),"introuvable")</f>
        <v/>
      </c>
      <c r="C711" s="30" t="inlineStr">
        <is>
          <t>Le tambour se joue avec deux baguettes.</t>
        </is>
      </c>
    </row>
    <row r="712">
      <c r="A712" s="30" t="inlineStr">
        <is>
          <t>chanson</t>
        </is>
      </c>
      <c r="B712" s="26">
        <f>IFERROR(INDEX(Mots!$B:$B,MATCH($A712,Mots!$A:$A,0)),"introuvable")</f>
        <v/>
      </c>
      <c r="C712" s="30" t="inlineStr">
        <is>
          <t>Nous chantons une chanson connue.</t>
        </is>
      </c>
      <c r="I712" s="30" t="inlineStr">
        <is>
          <t>chanter une chanson</t>
        </is>
      </c>
    </row>
    <row r="713">
      <c r="A713" s="30" t="inlineStr">
        <is>
          <t>danse</t>
        </is>
      </c>
      <c r="B713" s="26">
        <f>IFERROR(INDEX(Mots!$B:$B,MATCH($A713,Mots!$A:$A,0)),"introuvable")</f>
        <v/>
      </c>
      <c r="C713" s="30" t="inlineStr">
        <is>
          <t>La danse commence après le repas.</t>
        </is>
      </c>
    </row>
    <row r="714">
      <c r="A714" s="30" t="inlineStr">
        <is>
          <t>melodie</t>
        </is>
      </c>
      <c r="B714" s="26">
        <f>IFERROR(INDEX(Mots!$B:$B,MATCH($A714,Mots!$A:$A,0)),"introuvable")</f>
        <v/>
      </c>
      <c r="C714" s="30" t="inlineStr">
        <is>
          <t>Cette mélodie est très douce.</t>
        </is>
      </c>
    </row>
    <row r="715">
      <c r="A715" s="30" t="inlineStr">
        <is>
          <t>partition</t>
        </is>
      </c>
      <c r="B715" s="26">
        <f>IFERROR(INDEX(Mots!$B:$B,MATCH($A715,Mots!$A:$A,0)),"introuvable")</f>
        <v/>
      </c>
      <c r="C715" s="30" t="inlineStr">
        <is>
          <t>Je pose la partition sur le pupitre.</t>
        </is>
      </c>
      <c r="I715" s="30" t="inlineStr">
        <is>
          <t>lire une partition</t>
        </is>
      </c>
    </row>
    <row r="716">
      <c r="A716" s="30" t="inlineStr">
        <is>
          <t>repetition</t>
        </is>
      </c>
      <c r="B716" s="26">
        <f>IFERROR(INDEX(Mots!$B:$B,MATCH($A716,Mots!$A:$A,0)),"introuvable")</f>
        <v/>
      </c>
      <c r="C716" s="30" t="inlineStr">
        <is>
          <t>La répétition a lieu le mardi soir.</t>
        </is>
      </c>
      <c r="I716" s="30" t="inlineStr">
        <is>
          <t>aller à la répétition</t>
        </is>
      </c>
    </row>
    <row r="717">
      <c r="A717" s="30" t="inlineStr">
        <is>
          <t>scene</t>
        </is>
      </c>
      <c r="B717" s="26">
        <f>IFERROR(INDEX(Mots!$B:$B,MATCH($A717,Mots!$A:$A,0)),"introuvable")</f>
        <v/>
      </c>
      <c r="C717" s="30" t="inlineStr">
        <is>
          <t>Les musiciens montent sur la scène.</t>
        </is>
      </c>
      <c r="I717" s="30" t="inlineStr">
        <is>
          <t>monter sur scène</t>
        </is>
      </c>
    </row>
    <row r="718">
      <c r="A718" s="30" t="inlineStr">
        <is>
          <t>concert</t>
        </is>
      </c>
      <c r="B718" s="26">
        <f>IFERROR(INDEX(Mots!$B:$B,MATCH($A718,Mots!$A:$A,0)),"introuvable")</f>
        <v/>
      </c>
      <c r="C718" s="30" t="inlineStr">
        <is>
          <t>Le concert commence à vingt heures.</t>
        </is>
      </c>
      <c r="I718" s="30" t="inlineStr">
        <is>
          <t>donner un concert</t>
        </is>
      </c>
    </row>
    <row r="719">
      <c r="A719" s="30" t="inlineStr">
        <is>
          <t>public</t>
        </is>
      </c>
      <c r="B719" s="26">
        <f>IFERROR(INDEX(Mots!$B:$B,MATCH($A719,Mots!$A:$A,0)),"introuvable")</f>
        <v/>
      </c>
      <c r="C719" s="30" t="inlineStr">
        <is>
          <t>Le public applaudit très fort.</t>
        </is>
      </c>
    </row>
    <row r="720">
      <c r="A720" s="30" t="inlineStr">
        <is>
          <t>son</t>
        </is>
      </c>
      <c r="B720" s="26">
        <f>IFERROR(INDEX(Mots!$B:$B,MATCH($A720,Mots!$A:$A,0)),"introuvable")</f>
        <v/>
      </c>
      <c r="C720" s="30" t="inlineStr">
        <is>
          <t>Le son du cornet porte loin.</t>
        </is>
      </c>
    </row>
    <row r="721">
      <c r="A721" s="30" t="inlineStr">
        <is>
          <t>souffle</t>
        </is>
      </c>
      <c r="B721" s="26">
        <f>IFERROR(INDEX(Mots!$B:$B,MATCH($A721,Mots!$A:$A,0)),"introuvable")</f>
        <v/>
      </c>
      <c r="C721" s="30" t="inlineStr">
        <is>
          <t>Il reprend son souffle après la montée.</t>
        </is>
      </c>
      <c r="I721" s="30" t="inlineStr">
        <is>
          <t>reprendre son souffle</t>
        </is>
      </c>
    </row>
    <row r="722">
      <c r="A722" s="30" t="inlineStr">
        <is>
          <t>applaudissements</t>
        </is>
      </c>
      <c r="B722" s="26">
        <f>IFERROR(INDEX(Mots!$B:$B,MATCH($A722,Mots!$A:$A,0)),"introuvable")</f>
        <v/>
      </c>
      <c r="C722" s="30" t="inlineStr">
        <is>
          <t>Les applaudissements durent longtemps.</t>
        </is>
      </c>
    </row>
    <row r="723">
      <c r="A723" s="30" t="inlineStr">
        <is>
          <t>paroles</t>
        </is>
      </c>
      <c r="B723" s="26">
        <f>IFERROR(INDEX(Mots!$B:$B,MATCH($A723,Mots!$A:$A,0)),"introuvable")</f>
        <v/>
      </c>
      <c r="C723" s="30" t="inlineStr">
        <is>
          <t>Je connais les paroles par cœur.</t>
        </is>
      </c>
      <c r="I723" s="30" t="inlineStr">
        <is>
          <t>connaître les paroles</t>
        </is>
      </c>
    </row>
    <row r="724">
      <c r="A724" s="30" t="inlineStr">
        <is>
          <t>harmonie</t>
        </is>
      </c>
      <c r="B724" s="26">
        <f>IFERROR(INDEX(Mots!$B:$B,MATCH($A724,Mots!$A:$A,0)),"introuvable")</f>
        <v/>
      </c>
      <c r="C724" s="30" t="inlineStr">
        <is>
          <t>L'harmonie joue juste ce soir.</t>
        </is>
      </c>
    </row>
    <row r="725">
      <c r="A725" s="30" t="inlineStr">
        <is>
          <t>portee_et_mesures</t>
        </is>
      </c>
      <c r="B725" s="26">
        <f>IFERROR(INDEX(Mots!$B:$B,MATCH($A725,Mots!$A:$A,0)),"introuvable")</f>
        <v/>
      </c>
      <c r="C725" s="30" t="inlineStr">
        <is>
          <t>Les notes s'écrivent sur la portée.</t>
        </is>
      </c>
    </row>
    <row r="726">
      <c r="A726" s="30" t="inlineStr">
        <is>
          <t>cle_de_sol</t>
        </is>
      </c>
      <c r="B726" s="26">
        <f>IFERROR(INDEX(Mots!$B:$B,MATCH($A726,Mots!$A:$A,0)),"introuvable")</f>
        <v/>
      </c>
      <c r="C726" s="30" t="inlineStr">
        <is>
          <t>La clé de sol se met au début de la portée.</t>
        </is>
      </c>
    </row>
    <row r="727">
      <c r="A727" s="30" t="inlineStr">
        <is>
          <t>figures_notes</t>
        </is>
      </c>
      <c r="B727" s="26">
        <f>IFERROR(INDEX(Mots!$B:$B,MATCH($A727,Mots!$A:$A,0)),"introuvable")</f>
        <v/>
      </c>
      <c r="C727" s="30" t="inlineStr">
        <is>
          <t>Chaque figure de note a sa durée.</t>
        </is>
      </c>
    </row>
    <row r="728">
      <c r="A728" s="30" t="inlineStr">
        <is>
          <t>alterations</t>
        </is>
      </c>
      <c r="B728" s="26">
        <f>IFERROR(INDEX(Mots!$B:$B,MATCH($A728,Mots!$A:$A,0)),"introuvable")</f>
        <v/>
      </c>
      <c r="C728" s="30" t="inlineStr">
        <is>
          <t>Les altérations changent la hauteur de la note.</t>
        </is>
      </c>
    </row>
    <row r="729">
      <c r="A729" s="30" t="inlineStr">
        <is>
          <t>silences</t>
        </is>
      </c>
      <c r="B729" s="26">
        <f>IFERROR(INDEX(Mots!$B:$B,MATCH($A729,Mots!$A:$A,0)),"introuvable")</f>
        <v/>
      </c>
      <c r="C729" s="30" t="inlineStr">
        <is>
          <t>Un silence dure autant qu'une note.</t>
        </is>
      </c>
    </row>
    <row r="730">
      <c r="A730" s="30" t="inlineStr">
        <is>
          <t>les_nuances</t>
        </is>
      </c>
      <c r="B730" s="26">
        <f>IFERROR(INDEX(Mots!$B:$B,MATCH($A730,Mots!$A:$A,0)),"introuvable")</f>
        <v/>
      </c>
      <c r="C730" s="30" t="inlineStr">
        <is>
          <t>Les nuances disent s'il faut jouer fort ou doux.</t>
        </is>
      </c>
    </row>
    <row r="731">
      <c r="A731" s="30" t="inlineStr">
        <is>
          <t>crescendo_decrescendo</t>
        </is>
      </c>
      <c r="B731" s="26">
        <f>IFERROR(INDEX(Mots!$B:$B,MATCH($A731,Mots!$A:$A,0)),"introuvable")</f>
        <v/>
      </c>
      <c r="C731" s="30" t="inlineStr">
        <is>
          <t>Le crescendo demande de jouer de plus en plus fort.</t>
        </is>
      </c>
    </row>
    <row r="732">
      <c r="A732" s="30" t="inlineStr">
        <is>
          <t>le_defile</t>
        </is>
      </c>
      <c r="B732" s="26">
        <f>IFERROR(INDEX(Mots!$B:$B,MATCH($A732,Mots!$A:$A,0)),"introuvable")</f>
        <v/>
      </c>
      <c r="C732" s="30" t="inlineStr">
        <is>
          <t>Le défilé traverse tout le village.</t>
        </is>
      </c>
      <c r="I732" s="30" t="inlineStr">
        <is>
          <t>défiler dans la rue</t>
        </is>
      </c>
    </row>
    <row r="733">
      <c r="A733" s="30" t="inlineStr">
        <is>
          <t>guitare</t>
        </is>
      </c>
      <c r="B733" s="26">
        <f>IFERROR(INDEX(Mots!$B:$B,MATCH($A733,Mots!$A:$A,0)),"introuvable")</f>
        <v/>
      </c>
      <c r="C733" s="30" t="inlineStr">
        <is>
          <t>Il joue de la guitare le soir.</t>
        </is>
      </c>
      <c r="I733" s="30" t="inlineStr">
        <is>
          <t>jouer de la guitare</t>
        </is>
      </c>
    </row>
    <row r="734">
      <c r="A734" s="30" t="inlineStr">
        <is>
          <t>piano</t>
        </is>
      </c>
      <c r="B734" s="26">
        <f>IFERROR(INDEX(Mots!$B:$B,MATCH($A734,Mots!$A:$A,0)),"introuvable")</f>
        <v/>
      </c>
      <c r="C734" s="30" t="inlineStr">
        <is>
          <t>Elle apprend le piano depuis deux ans.</t>
        </is>
      </c>
      <c r="I734" s="30" t="inlineStr">
        <is>
          <t>jouer du piano</t>
        </is>
      </c>
    </row>
    <row r="735">
      <c r="A735" s="30" t="inlineStr">
        <is>
          <t>tambour</t>
        </is>
      </c>
      <c r="B735" s="26">
        <f>IFERROR(INDEX(Mots!$B:$B,MATCH($A735,Mots!$A:$A,0)),"introuvable")</f>
        <v/>
      </c>
      <c r="C735" s="30" t="inlineStr">
        <is>
          <t>Le tambour donne le rythme.</t>
        </is>
      </c>
      <c r="I735" s="30" t="inlineStr">
        <is>
          <t>battre le tambour</t>
        </is>
      </c>
    </row>
    <row r="736">
      <c r="A736" s="30" t="inlineStr">
        <is>
          <t>don_honneur</t>
        </is>
      </c>
      <c r="B736" s="26">
        <f>IFERROR(INDEX(Mots!$B:$B,MATCH($A736,Mots!$A:$A,0)),"introuvable")</f>
        <v/>
      </c>
      <c r="C736" s="30" t="inlineStr">
        <is>
          <t>Le village offre un don d'honneur à la fanfare.</t>
        </is>
      </c>
    </row>
    <row r="737">
      <c r="A737" s="30" t="inlineStr">
        <is>
          <t>loto</t>
        </is>
      </c>
      <c r="B737" s="26">
        <f>IFERROR(INDEX(Mots!$B:$B,MATCH($A737,Mots!$A:$A,0)),"introuvable")</f>
        <v/>
      </c>
      <c r="C737" s="30" t="inlineStr">
        <is>
          <t>Le loto de la fanfare a lieu en novembre.</t>
        </is>
      </c>
      <c r="I737" s="30" t="inlineStr">
        <is>
          <t>faire un loto</t>
        </is>
      </c>
    </row>
    <row r="738">
      <c r="A738" s="30" t="inlineStr">
        <is>
          <t>loisir</t>
        </is>
      </c>
      <c r="B738" s="26">
        <f>IFERROR(INDEX(Mots!$B:$B,MATCH($A738,Mots!$A:$A,0)),"introuvable")</f>
        <v/>
      </c>
      <c r="C738" s="30" t="inlineStr">
        <is>
          <t>La musique est mon loisir préféré.</t>
        </is>
      </c>
    </row>
    <row r="739">
      <c r="A739" s="30" t="inlineStr">
        <is>
          <t>dossier</t>
        </is>
      </c>
      <c r="B739" s="26">
        <f>IFERROR(INDEX(Mots!$B:$B,MATCH($A739,Mots!$A:$A,0)),"introuvable")</f>
        <v/>
      </c>
      <c r="C739" s="30" t="inlineStr">
        <is>
          <t>Je m'appuie contre le dossier de la chaise.</t>
        </is>
      </c>
    </row>
    <row r="740">
      <c r="A740" s="30" t="inlineStr">
        <is>
          <t>four_a_raclette</t>
        </is>
      </c>
      <c r="B740" s="26">
        <f>IFERROR(INDEX(Mots!$B:$B,MATCH($A740,Mots!$A:$A,0)),"introuvable")</f>
        <v/>
      </c>
      <c r="C740" s="30" t="inlineStr">
        <is>
          <t>On pose le four à raclette au milieu de la table.</t>
        </is>
      </c>
    </row>
    <row r="741">
      <c r="A741" s="30" t="inlineStr">
        <is>
          <t>chargeur_phone</t>
        </is>
      </c>
      <c r="B741" s="26">
        <f>IFERROR(INDEX(Mots!$B:$B,MATCH($A741,Mots!$A:$A,0)),"introuvable")</f>
        <v/>
      </c>
      <c r="C741" s="30" t="inlineStr">
        <is>
          <t>Le chargeur est resté dans la voiture.</t>
        </is>
      </c>
    </row>
    <row r="742">
      <c r="A742" s="30" t="inlineStr">
        <is>
          <t>calculatrice</t>
        </is>
      </c>
      <c r="B742" s="26">
        <f>IFERROR(INDEX(Mots!$B:$B,MATCH($A742,Mots!$A:$A,0)),"introuvable")</f>
        <v/>
      </c>
      <c r="C742" s="30" t="inlineStr">
        <is>
          <t>Je prends la calculatrice pour faire les comptes.</t>
        </is>
      </c>
    </row>
    <row r="743">
      <c r="A743" s="30" t="inlineStr">
        <is>
          <t>stores</t>
        </is>
      </c>
      <c r="B743" s="26">
        <f>IFERROR(INDEX(Mots!$B:$B,MATCH($A743,Mots!$A:$A,0)),"introuvable")</f>
        <v/>
      </c>
      <c r="C743" s="30" t="inlineStr">
        <is>
          <t>Je baisse les stores quand il fait chaud.</t>
        </is>
      </c>
      <c r="I743" s="30" t="inlineStr">
        <is>
          <t>baisser les stores</t>
        </is>
      </c>
    </row>
    <row r="744">
      <c r="A744" s="30" t="inlineStr">
        <is>
          <t>volets</t>
        </is>
      </c>
      <c r="B744" s="26">
        <f>IFERROR(INDEX(Mots!$B:$B,MATCH($A744,Mots!$A:$A,0)),"introuvable")</f>
        <v/>
      </c>
      <c r="C744" s="30" t="inlineStr">
        <is>
          <t>On ferme les volets le soir.</t>
        </is>
      </c>
      <c r="I744" s="30" t="inlineStr">
        <is>
          <t>fermer les volets</t>
        </is>
      </c>
    </row>
    <row r="745">
      <c r="A745" s="30" t="inlineStr">
        <is>
          <t>barriere</t>
        </is>
      </c>
      <c r="B745" s="26">
        <f>IFERROR(INDEX(Mots!$B:$B,MATCH($A745,Mots!$A:$A,0)),"introuvable")</f>
        <v/>
      </c>
      <c r="C745" s="30" t="inlineStr">
        <is>
          <t>La barrière empêche les vaches de sortir.</t>
        </is>
      </c>
    </row>
    <row r="746">
      <c r="A746" s="30" t="inlineStr">
        <is>
          <t>prise</t>
        </is>
      </c>
      <c r="B746" s="26">
        <f>IFERROR(INDEX(Mots!$B:$B,MATCH($A746,Mots!$A:$A,0)),"introuvable")</f>
        <v/>
      </c>
      <c r="C746" s="30" t="inlineStr">
        <is>
          <t>Je branche la lampe à la prise.</t>
        </is>
      </c>
      <c r="I746" s="30" t="inlineStr">
        <is>
          <t>brancher à la prise</t>
        </is>
      </c>
    </row>
    <row r="747">
      <c r="A747" s="30" t="inlineStr">
        <is>
          <t>serrure</t>
        </is>
      </c>
      <c r="B747" s="26">
        <f>IFERROR(INDEX(Mots!$B:$B,MATCH($A747,Mots!$A:$A,0)),"introuvable")</f>
        <v/>
      </c>
      <c r="C747" s="30" t="inlineStr">
        <is>
          <t>La clé tourne mal dans la serrure.</t>
        </is>
      </c>
    </row>
    <row r="748">
      <c r="A748" s="30" t="inlineStr">
        <is>
          <t>fourneau_bois</t>
        </is>
      </c>
      <c r="B748" s="26">
        <f>IFERROR(INDEX(Mots!$B:$B,MATCH($A748,Mots!$A:$A,0)),"introuvable")</f>
        <v/>
      </c>
      <c r="C748" s="30" t="inlineStr">
        <is>
          <t>Le fourneau à bois chauffe tout le salon.</t>
        </is>
      </c>
    </row>
    <row r="749">
      <c r="A749" s="30" t="inlineStr">
        <is>
          <t>fourneau_pellets</t>
        </is>
      </c>
      <c r="B749" s="26">
        <f>IFERROR(INDEX(Mots!$B:$B,MATCH($A749,Mots!$A:$A,0)),"introuvable")</f>
        <v/>
      </c>
      <c r="C749" s="30" t="inlineStr">
        <is>
          <t>Le fourneau à pellets se remplit une fois par semaine.</t>
        </is>
      </c>
    </row>
    <row r="750">
      <c r="A750" s="30" t="inlineStr">
        <is>
          <t>boite</t>
        </is>
      </c>
      <c r="B750" s="26">
        <f>IFERROR(INDEX(Mots!$B:$B,MATCH($A750,Mots!$A:$A,0)),"introuvable")</f>
        <v/>
      </c>
      <c r="C750" s="30" t="inlineStr">
        <is>
          <t>Je range les vis dans une boîte.</t>
        </is>
      </c>
      <c r="I750" s="30" t="inlineStr">
        <is>
          <t>une boîte à outils</t>
        </is>
      </c>
    </row>
    <row r="751">
      <c r="A751" s="30" t="inlineStr">
        <is>
          <t>bougie</t>
        </is>
      </c>
      <c r="B751" s="26">
        <f>IFERROR(INDEX(Mots!$B:$B,MATCH($A751,Mots!$A:$A,0)),"introuvable")</f>
        <v/>
      </c>
      <c r="C751" s="30" t="inlineStr">
        <is>
          <t>On allume une bougie pour l'anniversaire.</t>
        </is>
      </c>
      <c r="I751" s="30" t="inlineStr">
        <is>
          <t>allumer une bougie</t>
        </is>
      </c>
    </row>
    <row r="752">
      <c r="A752" s="30" t="inlineStr">
        <is>
          <t>colle</t>
        </is>
      </c>
      <c r="B752" s="26">
        <f>IFERROR(INDEX(Mots!$B:$B,MATCH($A752,Mots!$A:$A,0)),"introuvable")</f>
        <v/>
      </c>
      <c r="C752" s="30" t="inlineStr">
        <is>
          <t>Je répare le vase avec de la colle.</t>
        </is>
      </c>
      <c r="I752" s="30" t="inlineStr">
        <is>
          <t>un tube de colle</t>
        </is>
      </c>
    </row>
    <row r="753">
      <c r="A753" s="30" t="inlineStr">
        <is>
          <t>couverture</t>
        </is>
      </c>
      <c r="B753" s="26">
        <f>IFERROR(INDEX(Mots!$B:$B,MATCH($A753,Mots!$A:$A,0)),"introuvable")</f>
        <v/>
      </c>
      <c r="C753" s="30" t="inlineStr">
        <is>
          <t>Je mets une couverture sur le lit.</t>
        </is>
      </c>
      <c r="I753" s="30" t="inlineStr">
        <is>
          <t>sous la couverture</t>
        </is>
      </c>
    </row>
    <row r="754">
      <c r="A754" s="30" t="inlineStr">
        <is>
          <t>corde</t>
        </is>
      </c>
      <c r="B754" s="26">
        <f>IFERROR(INDEX(Mots!$B:$B,MATCH($A754,Mots!$A:$A,0)),"introuvable")</f>
        <v/>
      </c>
      <c r="C754" s="30" t="inlineStr">
        <is>
          <t>En montagne, on s'attache avec une corde.</t>
        </is>
      </c>
    </row>
    <row r="755">
      <c r="A755" s="30" t="inlineStr">
        <is>
          <t>grille</t>
        </is>
      </c>
      <c r="B755" s="26">
        <f>IFERROR(INDEX(Mots!$B:$B,MATCH($A755,Mots!$A:$A,0)),"introuvable")</f>
        <v/>
      </c>
      <c r="C755" s="30" t="inlineStr">
        <is>
          <t>La grille du jardin est fermée.</t>
        </is>
      </c>
    </row>
    <row r="756">
      <c r="A756" s="30" t="inlineStr">
        <is>
          <t>cloture</t>
        </is>
      </c>
      <c r="B756" s="26">
        <f>IFERROR(INDEX(Mots!$B:$B,MATCH($A756,Mots!$A:$A,0)),"introuvable")</f>
        <v/>
      </c>
      <c r="C756" s="30" t="inlineStr">
        <is>
          <t>La clôture entoure tout le pré.</t>
        </is>
      </c>
    </row>
    <row r="757">
      <c r="A757" s="30" t="inlineStr">
        <is>
          <t>lame</t>
        </is>
      </c>
      <c r="B757" s="26">
        <f>IFERROR(INDEX(Mots!$B:$B,MATCH($A757,Mots!$A:$A,0)),"introuvable")</f>
        <v/>
      </c>
      <c r="C757" s="30" t="inlineStr">
        <is>
          <t>La lame du couteau est bien aiguisée.</t>
        </is>
      </c>
    </row>
    <row r="758">
      <c r="A758" s="30" t="inlineStr">
        <is>
          <t>loupe</t>
        </is>
      </c>
      <c r="B758" s="26">
        <f>IFERROR(INDEX(Mots!$B:$B,MATCH($A758,Mots!$A:$A,0)),"introuvable")</f>
        <v/>
      </c>
      <c r="C758" s="30" t="inlineStr">
        <is>
          <t>Je lis les petits caractères avec une loupe.</t>
        </is>
      </c>
    </row>
    <row r="759">
      <c r="A759" s="30" t="inlineStr">
        <is>
          <t>machine</t>
        </is>
      </c>
      <c r="B759" s="26">
        <f>IFERROR(INDEX(Mots!$B:$B,MATCH($A759,Mots!$A:$A,0)),"introuvable")</f>
        <v/>
      </c>
      <c r="C759" s="30" t="inlineStr">
        <is>
          <t>La machine fait le travail toute seule.</t>
        </is>
      </c>
    </row>
    <row r="760">
      <c r="A760" s="30" t="inlineStr">
        <is>
          <t>manche</t>
        </is>
      </c>
      <c r="B760" s="26">
        <f>IFERROR(INDEX(Mots!$B:$B,MATCH($A760,Mots!$A:$A,0)),"introuvable")</f>
        <v/>
      </c>
      <c r="C760" s="30" t="inlineStr">
        <is>
          <t>Je remonte les manches de ma chemise.</t>
        </is>
      </c>
      <c r="I760" s="30" t="inlineStr">
        <is>
          <t>retrousser ses manches</t>
        </is>
      </c>
    </row>
    <row r="761">
      <c r="A761" s="30" t="inlineStr">
        <is>
          <t>balance</t>
        </is>
      </c>
      <c r="B761" s="26">
        <f>IFERROR(INDEX(Mots!$B:$B,MATCH($A761,Mots!$A:$A,0)),"introuvable")</f>
        <v/>
      </c>
      <c r="C761" s="30" t="inlineStr">
        <is>
          <t>Je pèse la farine sur la balance.</t>
        </is>
      </c>
    </row>
    <row r="762">
      <c r="A762" s="30" t="inlineStr">
        <is>
          <t>balle</t>
        </is>
      </c>
      <c r="B762" s="26">
        <f>IFERROR(INDEX(Mots!$B:$B,MATCH($A762,Mots!$A:$A,0)),"introuvable")</f>
        <v/>
      </c>
      <c r="C762" s="30" t="inlineStr">
        <is>
          <t>Le chien court après la balle.</t>
        </is>
      </c>
      <c r="I762" s="30" t="inlineStr">
        <is>
          <t>jouer à la balle</t>
        </is>
      </c>
    </row>
    <row r="763">
      <c r="A763" s="30" t="inlineStr">
        <is>
          <t>cave</t>
        </is>
      </c>
      <c r="B763" s="26">
        <f>IFERROR(INDEX(Mots!$B:$B,MATCH($A763,Mots!$A:$A,0)),"introuvable")</f>
        <v/>
      </c>
      <c r="C763" s="30" t="inlineStr">
        <is>
          <t>Le vin se garde à la cave.</t>
        </is>
      </c>
      <c r="I763" s="30" t="inlineStr">
        <is>
          <t>descendre à la cave</t>
        </is>
      </c>
    </row>
    <row r="764">
      <c r="A764" s="30" t="inlineStr">
        <is>
          <t>cuves</t>
        </is>
      </c>
      <c r="B764" s="26">
        <f>IFERROR(INDEX(Mots!$B:$B,MATCH($A764,Mots!$A:$A,0)),"introuvable")</f>
        <v/>
      </c>
      <c r="C764" s="30" t="inlineStr">
        <is>
          <t>Le vin repose dans les cuves.</t>
        </is>
      </c>
    </row>
    <row r="765">
      <c r="A765" s="30" t="inlineStr">
        <is>
          <t>boule</t>
        </is>
      </c>
      <c r="B765" s="26">
        <f>IFERROR(INDEX(Mots!$B:$B,MATCH($A765,Mots!$A:$A,0)),"introuvable")</f>
        <v/>
      </c>
      <c r="C765" s="30" t="inlineStr">
        <is>
          <t>L'enfant fait une boule de neige.</t>
        </is>
      </c>
      <c r="I765" s="30" t="inlineStr">
        <is>
          <t>une boule de neige</t>
        </is>
      </c>
    </row>
    <row r="766">
      <c r="A766" s="30" t="inlineStr">
        <is>
          <t>branche</t>
        </is>
      </c>
      <c r="B766" s="26">
        <f>IFERROR(INDEX(Mots!$B:$B,MATCH($A766,Mots!$A:$A,0)),"introuvable")</f>
        <v/>
      </c>
      <c r="C766" s="30" t="inlineStr">
        <is>
          <t>L'oiseau se pose sur une branche.</t>
        </is>
      </c>
    </row>
    <row r="767">
      <c r="A767" s="30" t="inlineStr">
        <is>
          <t>feuilles</t>
        </is>
      </c>
      <c r="B767" s="26">
        <f>IFERROR(INDEX(Mots!$B:$B,MATCH($A767,Mots!$A:$A,0)),"introuvable")</f>
        <v/>
      </c>
      <c r="C767" s="30" t="inlineStr">
        <is>
          <t>Les feuilles tombent en automne.</t>
        </is>
      </c>
    </row>
    <row r="768">
      <c r="A768" s="30" t="inlineStr">
        <is>
          <t>feuille</t>
        </is>
      </c>
      <c r="B768" s="26">
        <f>IFERROR(INDEX(Mots!$B:$B,MATCH($A768,Mots!$A:$A,0)),"introuvable")</f>
        <v/>
      </c>
      <c r="C768" s="30" t="inlineStr">
        <is>
          <t>La feuille est toute verte au printemps.</t>
        </is>
      </c>
    </row>
    <row r="769">
      <c r="A769" s="30" t="inlineStr">
        <is>
          <t>brise</t>
        </is>
      </c>
      <c r="B769" s="26">
        <f>IFERROR(INDEX(Mots!$B:$B,MATCH($A769,Mots!$A:$A,0)),"introuvable")</f>
        <v/>
      </c>
      <c r="C769" s="30" t="inlineStr">
        <is>
          <t>Une brise légère rafraîchit la terrasse.</t>
        </is>
      </c>
    </row>
    <row r="770">
      <c r="A770" s="30" t="inlineStr">
        <is>
          <t>campagne</t>
        </is>
      </c>
      <c r="B770" s="26">
        <f>IFERROR(INDEX(Mots!$B:$B,MATCH($A770,Mots!$A:$A,0)),"introuvable")</f>
        <v/>
      </c>
      <c r="C770" s="30" t="inlineStr">
        <is>
          <t>Nous habitons à la campagne.</t>
        </is>
      </c>
      <c r="I770" s="30" t="inlineStr">
        <is>
          <t>à la campagne</t>
        </is>
      </c>
    </row>
    <row r="771">
      <c r="A771" s="30" t="inlineStr">
        <is>
          <t>cascade</t>
        </is>
      </c>
      <c r="B771" s="26">
        <f>IFERROR(INDEX(Mots!$B:$B,MATCH($A771,Mots!$A:$A,0)),"introuvable")</f>
        <v/>
      </c>
      <c r="C771" s="30" t="inlineStr">
        <is>
          <t>La cascade fait beaucoup de bruit.</t>
        </is>
      </c>
    </row>
    <row r="772">
      <c r="A772" s="30" t="inlineStr">
        <is>
          <t>colline</t>
        </is>
      </c>
      <c r="B772" s="26">
        <f>IFERROR(INDEX(Mots!$B:$B,MATCH($A772,Mots!$A:$A,0)),"introuvable")</f>
        <v/>
      </c>
      <c r="C772" s="30" t="inlineStr">
        <is>
          <t>La maison est en haut de la colline.</t>
        </is>
      </c>
    </row>
    <row r="773">
      <c r="A773" s="30" t="inlineStr">
        <is>
          <t>falaise</t>
        </is>
      </c>
      <c r="B773" s="26">
        <f>IFERROR(INDEX(Mots!$B:$B,MATCH($A773,Mots!$A:$A,0)),"introuvable")</f>
        <v/>
      </c>
      <c r="C773" s="30" t="inlineStr">
        <is>
          <t>La falaise tombe droit dans la mer.</t>
        </is>
      </c>
    </row>
    <row r="774">
      <c r="A774" s="30" t="inlineStr">
        <is>
          <t>fontaine</t>
        </is>
      </c>
      <c r="B774" s="26">
        <f>IFERROR(INDEX(Mots!$B:$B,MATCH($A774,Mots!$A:$A,0)),"introuvable")</f>
        <v/>
      </c>
      <c r="C774" s="30" t="inlineStr">
        <is>
          <t>L'eau coule de la fontaine du village.</t>
        </is>
      </c>
    </row>
    <row r="775">
      <c r="A775" s="30" t="inlineStr">
        <is>
          <t>glace</t>
        </is>
      </c>
      <c r="B775" s="26">
        <f>IFERROR(INDEX(Mots!$B:$B,MATCH($A775,Mots!$A:$A,0)),"introuvable")</f>
        <v/>
      </c>
      <c r="C775" s="30" t="inlineStr">
        <is>
          <t>L'eau du bassin s'est changée en glace.</t>
        </is>
      </c>
    </row>
    <row r="776">
      <c r="A776" s="30" t="inlineStr">
        <is>
          <t>goutte</t>
        </is>
      </c>
      <c r="B776" s="26">
        <f>IFERROR(INDEX(Mots!$B:$B,MATCH($A776,Mots!$A:$A,0)),"introuvable")</f>
        <v/>
      </c>
      <c r="C776" s="30" t="inlineStr">
        <is>
          <t>Une goutte de pluie est tombée.</t>
        </is>
      </c>
      <c r="I776" s="30" t="inlineStr">
        <is>
          <t>une goutte d'eau</t>
        </is>
      </c>
    </row>
    <row r="777">
      <c r="A777" s="30" t="inlineStr">
        <is>
          <t>graine</t>
        </is>
      </c>
      <c r="B777" s="26">
        <f>IFERROR(INDEX(Mots!$B:$B,MATCH($A777,Mots!$A:$A,0)),"introuvable")</f>
        <v/>
      </c>
      <c r="C777" s="30" t="inlineStr">
        <is>
          <t>On met les graines dans la terre.</t>
        </is>
      </c>
      <c r="I777" s="30" t="inlineStr">
        <is>
          <t>semer des graines</t>
        </is>
      </c>
    </row>
    <row r="778">
      <c r="A778" s="30" t="inlineStr">
        <is>
          <t>grotte</t>
        </is>
      </c>
      <c r="B778" s="26">
        <f>IFERROR(INDEX(Mots!$B:$B,MATCH($A778,Mots!$A:$A,0)),"introuvable")</f>
        <v/>
      </c>
      <c r="C778" s="30" t="inlineStr">
        <is>
          <t>La grotte reste fraîche même en été.</t>
        </is>
      </c>
    </row>
    <row r="779">
      <c r="A779" s="30" t="inlineStr">
        <is>
          <t>maree</t>
        </is>
      </c>
      <c r="B779" s="26">
        <f>IFERROR(INDEX(Mots!$B:$B,MATCH($A779,Mots!$A:$A,0)),"introuvable")</f>
        <v/>
      </c>
      <c r="C779" s="30" t="inlineStr">
        <is>
          <t>La marée monte deux fois par jour.</t>
        </is>
      </c>
    </row>
    <row r="780">
      <c r="A780" s="30" t="inlineStr">
        <is>
          <t>meteo</t>
        </is>
      </c>
      <c r="B780" s="26">
        <f>IFERROR(INDEX(Mots!$B:$B,MATCH($A780,Mots!$A:$A,0)),"introuvable")</f>
        <v/>
      </c>
      <c r="C780" s="30" t="inlineStr">
        <is>
          <t>Je regarde la météo avant de partir.</t>
        </is>
      </c>
      <c r="I780" s="30" t="inlineStr">
        <is>
          <t>regarder la météo</t>
        </is>
      </c>
    </row>
    <row r="781">
      <c r="A781" s="30" t="inlineStr">
        <is>
          <t>p_terre</t>
        </is>
      </c>
      <c r="B781" s="26">
        <f>IFERROR(INDEX(Mots!$B:$B,MATCH($A781,Mots!$A:$A,0)),"introuvable")</f>
        <v/>
      </c>
      <c r="C781" s="30" t="inlineStr">
        <is>
          <t>La Terre tourne autour du Soleil.</t>
        </is>
      </c>
    </row>
    <row r="782">
      <c r="A782" s="30" t="inlineStr">
        <is>
          <t>chaleur</t>
        </is>
      </c>
      <c r="B782" s="26">
        <f>IFERROR(INDEX(Mots!$B:$B,MATCH($A782,Mots!$A:$A,0)),"introuvable")</f>
        <v/>
      </c>
      <c r="C782" s="30" t="inlineStr">
        <is>
          <t>La chaleur est difficile à supporter en été.</t>
        </is>
      </c>
      <c r="I782" s="30" t="inlineStr">
        <is>
          <t>supporter la chaleur</t>
        </is>
      </c>
    </row>
    <row r="783">
      <c r="A783" s="30" t="inlineStr">
        <is>
          <t>chair</t>
        </is>
      </c>
      <c r="B783" s="26">
        <f>IFERROR(INDEX(Mots!$B:$B,MATCH($A783,Mots!$A:$A,0)),"introuvable")</f>
        <v/>
      </c>
      <c r="C783" s="30" t="inlineStr">
        <is>
          <t>La chair de la pêche est juteuse.</t>
        </is>
      </c>
    </row>
    <row r="784">
      <c r="A784" s="30" t="inlineStr">
        <is>
          <t>douleur</t>
        </is>
      </c>
      <c r="B784" s="26">
        <f>IFERROR(INDEX(Mots!$B:$B,MATCH($A784,Mots!$A:$A,0)),"introuvable")</f>
        <v/>
      </c>
      <c r="C784" s="30" t="inlineStr">
        <is>
          <t>La douleur est passée avec le médicament.</t>
        </is>
      </c>
      <c r="I784" s="30" t="inlineStr">
        <is>
          <t>avoir une douleur</t>
        </is>
      </c>
    </row>
    <row r="785">
      <c r="A785" s="30" t="inlineStr">
        <is>
          <t>fievre</t>
        </is>
      </c>
      <c r="B785" s="26">
        <f>IFERROR(INDEX(Mots!$B:$B,MATCH($A785,Mots!$A:$A,0)),"introuvable")</f>
        <v/>
      </c>
      <c r="C785" s="30" t="inlineStr">
        <is>
          <t>Il a de la fièvre depuis hier.</t>
        </is>
      </c>
      <c r="I785" s="30" t="inlineStr">
        <is>
          <t>avoir de la fièvre</t>
        </is>
      </c>
    </row>
    <row r="786">
      <c r="A786" s="30" t="inlineStr">
        <is>
          <t>gorge</t>
        </is>
      </c>
      <c r="B786" s="26">
        <f>IFERROR(INDEX(Mots!$B:$B,MATCH($A786,Mots!$A:$A,0)),"introuvable")</f>
        <v/>
      </c>
      <c r="C786" s="30" t="inlineStr">
        <is>
          <t>J'ai mal à la gorge ce matin.</t>
        </is>
      </c>
      <c r="I786" s="30" t="inlineStr">
        <is>
          <t>avoir mal à la gorge</t>
        </is>
      </c>
    </row>
    <row r="787">
      <c r="A787" s="30" t="inlineStr">
        <is>
          <t>larme</t>
        </is>
      </c>
      <c r="B787" s="26">
        <f>IFERROR(INDEX(Mots!$B:$B,MATCH($A787,Mots!$A:$A,0)),"introuvable")</f>
        <v/>
      </c>
      <c r="C787" s="30" t="inlineStr">
        <is>
          <t>Une larme coule sur sa joue.</t>
        </is>
      </c>
      <c r="I787" s="30" t="inlineStr">
        <is>
          <t>avoir les larmes aux yeux</t>
        </is>
      </c>
    </row>
    <row r="788">
      <c r="A788" s="30" t="inlineStr">
        <is>
          <t>maladie</t>
        </is>
      </c>
      <c r="B788" s="26">
        <f>IFERROR(INDEX(Mots!$B:$B,MATCH($A788,Mots!$A:$A,0)),"introuvable")</f>
        <v/>
      </c>
      <c r="C788" s="30" t="inlineStr">
        <is>
          <t>La maladie l'a beaucoup fatigué.</t>
        </is>
      </c>
    </row>
    <row r="789">
      <c r="A789" s="30" t="inlineStr">
        <is>
          <t>memoire</t>
        </is>
      </c>
      <c r="B789" s="26">
        <f>IFERROR(INDEX(Mots!$B:$B,MATCH($A789,Mots!$A:$A,0)),"introuvable")</f>
        <v/>
      </c>
      <c r="C789" s="30" t="inlineStr">
        <is>
          <t>J'ai une bonne mémoire des visages.</t>
        </is>
      </c>
      <c r="I789" s="30" t="inlineStr">
        <is>
          <t>avoir de la mémoire</t>
        </is>
      </c>
    </row>
    <row r="790">
      <c r="A790" s="30" t="inlineStr">
        <is>
          <t>graisse</t>
        </is>
      </c>
      <c r="B790" s="26">
        <f>IFERROR(INDEX(Mots!$B:$B,MATCH($A790,Mots!$A:$A,0)),"introuvable")</f>
        <v/>
      </c>
      <c r="C790" s="30" t="inlineStr">
        <is>
          <t>Il enlève la graisse de la viande.</t>
        </is>
      </c>
    </row>
    <row r="791">
      <c r="A791" s="30" t="inlineStr">
        <is>
          <t>confiture</t>
        </is>
      </c>
      <c r="B791" s="26">
        <f>IFERROR(INDEX(Mots!$B:$B,MATCH($A791,Mots!$A:$A,0)),"introuvable")</f>
        <v/>
      </c>
      <c r="C791" s="30" t="inlineStr">
        <is>
          <t>Je mets de la confiture sur le pain.</t>
        </is>
      </c>
      <c r="I791" s="30" t="inlineStr">
        <is>
          <t>un pot de confiture</t>
        </is>
      </c>
    </row>
    <row r="792">
      <c r="A792" s="30" t="inlineStr">
        <is>
          <t>creme</t>
        </is>
      </c>
      <c r="B792" s="26">
        <f>IFERROR(INDEX(Mots!$B:$B,MATCH($A792,Mots!$A:$A,0)),"introuvable")</f>
        <v/>
      </c>
      <c r="C792" s="30" t="inlineStr">
        <is>
          <t>On met de la crème dans le café.</t>
        </is>
      </c>
    </row>
    <row r="793">
      <c r="A793" s="30" t="inlineStr">
        <is>
          <t>farine</t>
        </is>
      </c>
      <c r="B793" s="26">
        <f>IFERROR(INDEX(Mots!$B:$B,MATCH($A793,Mots!$A:$A,0)),"introuvable")</f>
        <v/>
      </c>
      <c r="C793" s="30" t="inlineStr">
        <is>
          <t>Il faut de la farine pour faire le gâteau.</t>
        </is>
      </c>
    </row>
    <row r="794">
      <c r="A794" s="30" t="inlineStr">
        <is>
          <t>friandise</t>
        </is>
      </c>
      <c r="B794" s="26">
        <f>IFERROR(INDEX(Mots!$B:$B,MATCH($A794,Mots!$A:$A,0)),"introuvable")</f>
        <v/>
      </c>
      <c r="C794" s="30" t="inlineStr">
        <is>
          <t>Les enfants aiment les friandises.</t>
        </is>
      </c>
    </row>
    <row r="795">
      <c r="A795" s="30" t="inlineStr">
        <is>
          <t>rapport</t>
        </is>
      </c>
      <c r="B795" s="26">
        <f>IFERROR(INDEX(Mots!$B:$B,MATCH($A795,Mots!$A:$A,0)),"introuvable")</f>
        <v/>
      </c>
      <c r="C795" s="30" t="inlineStr">
        <is>
          <t>J'écris le rapport à la fin de la journée.</t>
        </is>
      </c>
      <c r="I795" s="30" t="inlineStr">
        <is>
          <t>écrire un rapport</t>
        </is>
      </c>
    </row>
    <row r="796">
      <c r="A796" s="30" t="inlineStr">
        <is>
          <t>bagarre</t>
        </is>
      </c>
      <c r="B796" s="26">
        <f>IFERROR(INDEX(Mots!$B:$B,MATCH($A796,Mots!$A:$A,0)),"introuvable")</f>
        <v/>
      </c>
      <c r="C796" s="30" t="inlineStr">
        <is>
          <t>La bagarre s'est arrêtée très vite.</t>
        </is>
      </c>
    </row>
    <row r="797">
      <c r="A797" s="30" t="inlineStr">
        <is>
          <t>bataille</t>
        </is>
      </c>
      <c r="B797" s="26">
        <f>IFERROR(INDEX(Mots!$B:$B,MATCH($A797,Mots!$A:$A,0)),"introuvable")</f>
        <v/>
      </c>
      <c r="C797" s="30" t="inlineStr">
        <is>
          <t>La bataille a duré toute la journée.</t>
        </is>
      </c>
    </row>
    <row r="798">
      <c r="A798" s="30" t="inlineStr">
        <is>
          <t>bande</t>
        </is>
      </c>
      <c r="B798" s="26">
        <f>IFERROR(INDEX(Mots!$B:$B,MATCH($A798,Mots!$A:$A,0)),"introuvable")</f>
        <v/>
      </c>
      <c r="C798" s="30" t="inlineStr">
        <is>
          <t>Une bande de copains se retrouve au café.</t>
        </is>
      </c>
      <c r="I798" s="30" t="inlineStr">
        <is>
          <t>une bande de copains</t>
        </is>
      </c>
    </row>
    <row r="799">
      <c r="A799" s="30" t="inlineStr">
        <is>
          <t>categorie</t>
        </is>
      </c>
      <c r="B799" s="26">
        <f>IFERROR(INDEX(Mots!$B:$B,MATCH($A799,Mots!$A:$A,0)),"introuvable")</f>
        <v/>
      </c>
      <c r="C799" s="30" t="inlineStr">
        <is>
          <t>On range les mots par catégorie.</t>
        </is>
      </c>
    </row>
    <row r="800">
      <c r="A800" s="30" t="inlineStr">
        <is>
          <t>circulation</t>
        </is>
      </c>
      <c r="B800" s="26">
        <f>IFERROR(INDEX(Mots!$B:$B,MATCH($A800,Mots!$A:$A,0)),"introuvable")</f>
        <v/>
      </c>
      <c r="C800" s="30" t="inlineStr">
        <is>
          <t>La circulation est dense le matin.</t>
        </is>
      </c>
    </row>
    <row r="801">
      <c r="A801" s="30" t="inlineStr">
        <is>
          <t>compagnie</t>
        </is>
      </c>
      <c r="B801" s="26">
        <f>IFERROR(INDEX(Mots!$B:$B,MATCH($A801,Mots!$A:$A,0)),"introuvable")</f>
        <v/>
      </c>
      <c r="C801" s="30" t="inlineStr">
        <is>
          <t>J'aime la compagnie de mes petits-enfants.</t>
        </is>
      </c>
      <c r="I801" s="30" t="inlineStr">
        <is>
          <t>tenir compagnie</t>
        </is>
      </c>
    </row>
    <row r="802">
      <c r="A802" s="30" t="inlineStr">
        <is>
          <t>consigne</t>
        </is>
      </c>
      <c r="B802" s="26">
        <f>IFERROR(INDEX(Mots!$B:$B,MATCH($A802,Mots!$A:$A,0)),"introuvable")</f>
        <v/>
      </c>
      <c r="C802" s="30" t="inlineStr">
        <is>
          <t>Il faut suivre la consigne.</t>
        </is>
      </c>
      <c r="I802" s="30" t="inlineStr">
        <is>
          <t>suivre la consigne</t>
        </is>
      </c>
    </row>
    <row r="803">
      <c r="A803" s="30" t="inlineStr">
        <is>
          <t>construction</t>
        </is>
      </c>
      <c r="B803" s="26">
        <f>IFERROR(INDEX(Mots!$B:$B,MATCH($A803,Mots!$A:$A,0)),"introuvable")</f>
        <v/>
      </c>
      <c r="C803" s="30" t="inlineStr">
        <is>
          <t>La construction de la maison a duré un an.</t>
        </is>
      </c>
    </row>
    <row r="804">
      <c r="A804" s="30" t="inlineStr">
        <is>
          <t>course</t>
        </is>
      </c>
      <c r="B804" s="26">
        <f>IFERROR(INDEX(Mots!$B:$B,MATCH($A804,Mots!$A:$A,0)),"introuvable")</f>
        <v/>
      </c>
      <c r="C804" s="30" t="inlineStr">
        <is>
          <t>Il a gagné la course de montagne.</t>
        </is>
      </c>
      <c r="I804" s="30" t="inlineStr">
        <is>
          <t>faire une course</t>
        </is>
      </c>
    </row>
    <row r="805">
      <c r="A805" s="30" t="inlineStr">
        <is>
          <t>curiosite</t>
        </is>
      </c>
      <c r="B805" s="26">
        <f>IFERROR(INDEX(Mots!$B:$B,MATCH($A805,Mots!$A:$A,0)),"introuvable")</f>
        <v/>
      </c>
      <c r="C805" s="30" t="inlineStr">
        <is>
          <t>La curiosité pousse à apprendre.</t>
        </is>
      </c>
    </row>
    <row r="806">
      <c r="A806" s="30" t="inlineStr">
        <is>
          <t>difference</t>
        </is>
      </c>
      <c r="B806" s="26">
        <f>IFERROR(INDEX(Mots!$B:$B,MATCH($A806,Mots!$A:$A,0)),"introuvable")</f>
        <v/>
      </c>
      <c r="C806" s="30" t="inlineStr">
        <is>
          <t>Je ne vois pas la différence.</t>
        </is>
      </c>
      <c r="I806" s="30" t="inlineStr">
        <is>
          <t>faire la différence</t>
        </is>
      </c>
    </row>
    <row r="807">
      <c r="A807" s="30" t="inlineStr">
        <is>
          <t>facture</t>
        </is>
      </c>
      <c r="B807" s="26">
        <f>IFERROR(INDEX(Mots!$B:$B,MATCH($A807,Mots!$A:$A,0)),"introuvable")</f>
        <v/>
      </c>
      <c r="C807" s="30" t="inlineStr">
        <is>
          <t>La facture arrive à la fin du mois.</t>
        </is>
      </c>
      <c r="I807" s="30" t="inlineStr">
        <is>
          <t>payer une facture</t>
        </is>
      </c>
    </row>
    <row r="808">
      <c r="A808" s="30" t="inlineStr">
        <is>
          <t>faute</t>
        </is>
      </c>
      <c r="B808" s="26">
        <f>IFERROR(INDEX(Mots!$B:$B,MATCH($A808,Mots!$A:$A,0)),"introuvable")</f>
        <v/>
      </c>
      <c r="C808" s="30" t="inlineStr">
        <is>
          <t>Ce n'est pas ma faute.</t>
        </is>
      </c>
      <c r="I808" s="30" t="inlineStr">
        <is>
          <t>faire une faute</t>
        </is>
      </c>
    </row>
    <row r="809">
      <c r="A809" s="30" t="inlineStr">
        <is>
          <t>flamme</t>
        </is>
      </c>
      <c r="B809" s="26">
        <f>IFERROR(INDEX(Mots!$B:$B,MATCH($A809,Mots!$A:$A,0)),"introuvable")</f>
        <v/>
      </c>
      <c r="C809" s="30" t="inlineStr">
        <is>
          <t>La flamme de la bougie tremble.</t>
        </is>
      </c>
    </row>
    <row r="810">
      <c r="A810" s="30" t="inlineStr">
        <is>
          <t>fois</t>
        </is>
      </c>
      <c r="B810" s="26">
        <f>IFERROR(INDEX(Mots!$B:$B,MATCH($A810,Mots!$A:$A,0)),"introuvable")</f>
        <v/>
      </c>
      <c r="C810" s="30" t="inlineStr">
        <is>
          <t>Je te le dis pour la dernière fois.</t>
        </is>
      </c>
      <c r="I810" s="30" t="inlineStr">
        <is>
          <t>encore une fois</t>
        </is>
      </c>
    </row>
    <row r="811">
      <c r="A811" s="30" t="inlineStr">
        <is>
          <t>force</t>
        </is>
      </c>
      <c r="B811" s="26">
        <f>IFERROR(INDEX(Mots!$B:$B,MATCH($A811,Mots!$A:$A,0)),"introuvable")</f>
        <v/>
      </c>
      <c r="C811" s="30" t="inlineStr">
        <is>
          <t>Il n'a plus la force de porter les sacs.</t>
        </is>
      </c>
      <c r="I811" s="30" t="inlineStr">
        <is>
          <t>avoir de la force</t>
        </is>
      </c>
    </row>
    <row r="812">
      <c r="A812" s="30" t="inlineStr">
        <is>
          <t>forme</t>
        </is>
      </c>
      <c r="B812" s="26">
        <f>IFERROR(INDEX(Mots!$B:$B,MATCH($A812,Mots!$A:$A,0)),"introuvable")</f>
        <v/>
      </c>
      <c r="C812" s="30" t="inlineStr">
        <is>
          <t>La table a une forme ronde.</t>
        </is>
      </c>
      <c r="I812" s="30" t="inlineStr">
        <is>
          <t>être en forme</t>
        </is>
      </c>
    </row>
    <row r="813">
      <c r="A813" s="30" t="inlineStr">
        <is>
          <t>gaiete</t>
        </is>
      </c>
      <c r="B813" s="26">
        <f>IFERROR(INDEX(Mots!$B:$B,MATCH($A813,Mots!$A:$A,0)),"introuvable")</f>
        <v/>
      </c>
      <c r="C813" s="30" t="inlineStr">
        <is>
          <t>Sa gaieté fait plaisir à voir.</t>
        </is>
      </c>
    </row>
    <row r="814">
      <c r="A814" s="30" t="inlineStr">
        <is>
          <t>garantie</t>
        </is>
      </c>
      <c r="B814" s="26">
        <f>IFERROR(INDEX(Mots!$B:$B,MATCH($A814,Mots!$A:$A,0)),"introuvable")</f>
        <v/>
      </c>
      <c r="C814" s="30" t="inlineStr">
        <is>
          <t>L'appareil a deux ans de garantie.</t>
        </is>
      </c>
      <c r="I814" s="30" t="inlineStr">
        <is>
          <t>sous garantie</t>
        </is>
      </c>
    </row>
    <row r="815">
      <c r="A815" s="30" t="inlineStr">
        <is>
          <t>gentillesse</t>
        </is>
      </c>
      <c r="B815" s="26">
        <f>IFERROR(INDEX(Mots!$B:$B,MATCH($A815,Mots!$A:$A,0)),"introuvable")</f>
        <v/>
      </c>
      <c r="C815" s="30" t="inlineStr">
        <is>
          <t>Merci pour ta gentillesse.</t>
        </is>
      </c>
    </row>
    <row r="816">
      <c r="A816" s="30" t="inlineStr">
        <is>
          <t>guerre</t>
        </is>
      </c>
      <c r="B816" s="26">
        <f>IFERROR(INDEX(Mots!$B:$B,MATCH($A816,Mots!$A:$A,0)),"introuvable")</f>
        <v/>
      </c>
      <c r="C816" s="30" t="inlineStr">
        <is>
          <t>La guerre a duré quatre ans.</t>
        </is>
      </c>
    </row>
    <row r="817">
      <c r="A817" s="30" t="inlineStr">
        <is>
          <t>journee</t>
        </is>
      </c>
      <c r="B817" s="26">
        <f>IFERROR(INDEX(Mots!$B:$B,MATCH($A817,Mots!$A:$A,0)),"introuvable")</f>
        <v/>
      </c>
      <c r="C817" s="30" t="inlineStr">
        <is>
          <t>La journée a passé très vite.</t>
        </is>
      </c>
      <c r="I817" s="30" t="inlineStr">
        <is>
          <t>toute la journée</t>
        </is>
      </c>
    </row>
    <row r="818">
      <c r="A818" s="30" t="inlineStr">
        <is>
          <t>lecture</t>
        </is>
      </c>
      <c r="B818" s="26">
        <f>IFERROR(INDEX(Mots!$B:$B,MATCH($A818,Mots!$A:$A,0)),"introuvable")</f>
        <v/>
      </c>
      <c r="C818" s="30" t="inlineStr">
        <is>
          <t>La lecture le détend le soir.</t>
        </is>
      </c>
    </row>
    <row r="819">
      <c r="A819" s="30" t="inlineStr">
        <is>
          <t>ligne</t>
        </is>
      </c>
      <c r="B819" s="26">
        <f>IFERROR(INDEX(Mots!$B:$B,MATCH($A819,Mots!$A:$A,0)),"introuvable")</f>
        <v/>
      </c>
      <c r="C819" s="30" t="inlineStr">
        <is>
          <t>Je trace une ligne droite.</t>
        </is>
      </c>
      <c r="I819" s="30" t="inlineStr">
        <is>
          <t>une ligne droite</t>
        </is>
      </c>
    </row>
    <row r="820">
      <c r="A820" s="30" t="inlineStr">
        <is>
          <t>liste</t>
        </is>
      </c>
      <c r="B820" s="26">
        <f>IFERROR(INDEX(Mots!$B:$B,MATCH($A820,Mots!$A:$A,0)),"introuvable")</f>
        <v/>
      </c>
      <c r="C820" s="30" t="inlineStr">
        <is>
          <t>Je fais la liste des courses.</t>
        </is>
      </c>
      <c r="I820" s="30" t="inlineStr">
        <is>
          <t>faire une liste</t>
        </is>
      </c>
    </row>
    <row r="821">
      <c r="A821" s="30" t="inlineStr">
        <is>
          <t>loi</t>
        </is>
      </c>
      <c r="B821" s="26">
        <f>IFERROR(INDEX(Mots!$B:$B,MATCH($A821,Mots!$A:$A,0)),"introuvable")</f>
        <v/>
      </c>
      <c r="C821" s="30" t="inlineStr">
        <is>
          <t>La loi est la même pour tout le monde.</t>
        </is>
      </c>
    </row>
    <row r="822">
      <c r="A822" s="30" t="inlineStr">
        <is>
          <t>lutte</t>
        </is>
      </c>
      <c r="B822" s="26">
        <f>IFERROR(INDEX(Mots!$B:$B,MATCH($A822,Mots!$A:$A,0)),"introuvable")</f>
        <v/>
      </c>
      <c r="C822" s="30" t="inlineStr">
        <is>
          <t>La lutte suisse est un sport de tradition.</t>
        </is>
      </c>
    </row>
    <row r="823">
      <c r="A823" s="30" t="inlineStr">
        <is>
          <t>maniere</t>
        </is>
      </c>
      <c r="B823" s="26">
        <f>IFERROR(INDEX(Mots!$B:$B,MATCH($A823,Mots!$A:$A,0)),"introuvable")</f>
        <v/>
      </c>
      <c r="C823" s="30" t="inlineStr">
        <is>
          <t>Il a une drôle de manière de parler.</t>
        </is>
      </c>
      <c r="I823" s="30" t="inlineStr">
        <is>
          <t>de cette manière</t>
        </is>
      </c>
    </row>
    <row r="824">
      <c r="A824" s="30" t="inlineStr">
        <is>
          <t>masse</t>
        </is>
      </c>
      <c r="B824" s="26">
        <f>IFERROR(INDEX(Mots!$B:$B,MATCH($A824,Mots!$A:$A,0)),"introuvable")</f>
        <v/>
      </c>
      <c r="C824" s="30" t="inlineStr">
        <is>
          <t>Une masse de neige est tombée du toit.</t>
        </is>
      </c>
    </row>
    <row r="825">
      <c r="A825" s="30" t="inlineStr">
        <is>
          <t>matiere</t>
        </is>
      </c>
      <c r="B825" s="26">
        <f>IFERROR(INDEX(Mots!$B:$B,MATCH($A825,Mots!$A:$A,0)),"introuvable")</f>
        <v/>
      </c>
      <c r="C825" s="30" t="inlineStr">
        <is>
          <t>Le bois est une matière solide.</t>
        </is>
      </c>
    </row>
    <row r="826">
      <c r="A826" s="30" t="inlineStr">
        <is>
          <t>moitie</t>
        </is>
      </c>
      <c r="B826" s="26">
        <f>IFERROR(INDEX(Mots!$B:$B,MATCH($A826,Mots!$A:$A,0)),"introuvable")</f>
        <v/>
      </c>
      <c r="C826" s="30" t="inlineStr">
        <is>
          <t>Je prends la moitié du gâteau.</t>
        </is>
      </c>
      <c r="I826" s="30" t="inlineStr">
        <is>
          <t>la moitié du temps</t>
        </is>
      </c>
    </row>
    <row r="827">
      <c r="A827" s="30" t="inlineStr">
        <is>
          <t>interet</t>
        </is>
      </c>
      <c r="B827" s="26">
        <f>IFERROR(INDEX(Mots!$B:$B,MATCH($A827,Mots!$A:$A,0)),"introuvable")</f>
        <v/>
      </c>
      <c r="C827" s="30" t="inlineStr">
        <is>
          <t>La banque prend des intérêts sur le prêt.</t>
        </is>
      </c>
    </row>
    <row r="828">
      <c r="A828" s="30" t="inlineStr">
        <is>
          <t>recolte</t>
        </is>
      </c>
      <c r="B828" s="26">
        <f>IFERROR(INDEX(Mots!$B:$B,MATCH($A828,Mots!$A:$A,0)),"introuvable")</f>
        <v/>
      </c>
      <c r="C828" s="30" t="inlineStr">
        <is>
          <t>La récolte du raisin commence en septembre.</t>
        </is>
      </c>
      <c r="I828" s="30" t="inlineStr">
        <is>
          <t>faire la récolte</t>
        </is>
      </c>
    </row>
    <row r="829">
      <c r="A829" s="30" t="inlineStr">
        <is>
          <t>reconciliation</t>
        </is>
      </c>
      <c r="B829" s="26">
        <f>IFERROR(INDEX(Mots!$B:$B,MATCH($A829,Mots!$A:$A,0)),"introuvable")</f>
        <v/>
      </c>
      <c r="C829" s="30" t="inlineStr">
        <is>
          <t>Après la dispute, la réconciliation a été rapide.</t>
        </is>
      </c>
    </row>
    <row r="830">
      <c r="A830" s="30" t="inlineStr">
        <is>
          <t>reparation</t>
        </is>
      </c>
      <c r="B830" s="26">
        <f>IFERROR(INDEX(Mots!$B:$B,MATCH($A830,Mots!$A:$A,0)),"introuvable")</f>
        <v/>
      </c>
      <c r="C830" s="30" t="inlineStr">
        <is>
          <t>La réparation de la voiture coûte cher.</t>
        </is>
      </c>
    </row>
    <row r="831">
      <c r="A831" s="30" t="inlineStr">
        <is>
          <t>reponse</t>
        </is>
      </c>
      <c r="B831" s="26">
        <f>IFERROR(INDEX(Mots!$B:$B,MATCH($A831,Mots!$A:$A,0)),"introuvable")</f>
        <v/>
      </c>
      <c r="C831" s="30" t="inlineStr">
        <is>
          <t>J'attends ta réponse avant de partir.</t>
        </is>
      </c>
      <c r="I831" s="30" t="inlineStr">
        <is>
          <t>donner une réponse</t>
        </is>
      </c>
    </row>
    <row r="832">
      <c r="A832" s="30" t="inlineStr">
        <is>
          <t>robe</t>
        </is>
      </c>
      <c r="B832" s="26">
        <f>IFERROR(INDEX(Mots!$B:$B,MATCH($A832,Mots!$A:$A,0)),"introuvable")</f>
        <v/>
      </c>
      <c r="C832" s="30" t="inlineStr">
        <is>
          <t>Elle met une robe pour la fête.</t>
        </is>
      </c>
      <c r="I832" s="30" t="inlineStr">
        <is>
          <t>mettre une robe</t>
        </is>
      </c>
    </row>
    <row r="833">
      <c r="A833" s="30" t="inlineStr">
        <is>
          <t>roche</t>
        </is>
      </c>
      <c r="B833" s="26">
        <f>IFERROR(INDEX(Mots!$B:$B,MATCH($A833,Mots!$A:$A,0)),"introuvable")</f>
        <v/>
      </c>
      <c r="C833" s="30" t="inlineStr">
        <is>
          <t>Le chemin passe entre les roches.</t>
        </is>
      </c>
    </row>
    <row r="834">
      <c r="A834" s="30" t="inlineStr">
        <is>
          <t>rosee</t>
        </is>
      </c>
      <c r="B834" s="26">
        <f>IFERROR(INDEX(Mots!$B:$B,MATCH($A834,Mots!$A:$A,0)),"introuvable")</f>
        <v/>
      </c>
      <c r="C834" s="30" t="inlineStr">
        <is>
          <t>L'herbe est mouillée par la rosée du matin.</t>
        </is>
      </c>
    </row>
    <row r="835">
      <c r="A835" s="30" t="inlineStr">
        <is>
          <t>roue</t>
        </is>
      </c>
      <c r="B835" s="26">
        <f>IFERROR(INDEX(Mots!$B:$B,MATCH($A835,Mots!$A:$A,0)),"introuvable")</f>
        <v/>
      </c>
      <c r="C835" s="30" t="inlineStr">
        <is>
          <t>La roue avant est crevée.</t>
        </is>
      </c>
      <c r="I835" s="30" t="inlineStr">
        <is>
          <t>changer une roue</t>
        </is>
      </c>
    </row>
    <row r="836">
      <c r="A836" s="30" t="inlineStr">
        <is>
          <t>salete</t>
        </is>
      </c>
      <c r="B836" s="26">
        <f>IFERROR(INDEX(Mots!$B:$B,MATCH($A836,Mots!$A:$A,0)),"introuvable")</f>
        <v/>
      </c>
      <c r="C836" s="30" t="inlineStr">
        <is>
          <t>Il y a de la saleté sous le meuble.</t>
        </is>
      </c>
    </row>
    <row r="837">
      <c r="A837" s="30" t="inlineStr">
        <is>
          <t>sante</t>
        </is>
      </c>
      <c r="B837" s="26">
        <f>IFERROR(INDEX(Mots!$B:$B,MATCH($A837,Mots!$A:$A,0)),"introuvable")</f>
        <v/>
      </c>
      <c r="C837" s="30" t="inlineStr">
        <is>
          <t>Il est en bonne santé.</t>
        </is>
      </c>
      <c r="I837" s="30" t="inlineStr">
        <is>
          <t>être en bonne santé</t>
        </is>
      </c>
    </row>
    <row r="838">
      <c r="A838" s="30" t="inlineStr">
        <is>
          <t>sauce</t>
        </is>
      </c>
      <c r="B838" s="26">
        <f>IFERROR(INDEX(Mots!$B:$B,MATCH($A838,Mots!$A:$A,0)),"introuvable")</f>
        <v/>
      </c>
      <c r="C838" s="30" t="inlineStr">
        <is>
          <t>La sauce accompagne la viande.</t>
        </is>
      </c>
      <c r="I838" s="30" t="inlineStr">
        <is>
          <t>faire une sauce</t>
        </is>
      </c>
    </row>
    <row r="839">
      <c r="A839" s="30" t="inlineStr">
        <is>
          <t>serviette</t>
        </is>
      </c>
      <c r="B839" s="26">
        <f>IFERROR(INDEX(Mots!$B:$B,MATCH($A839,Mots!$A:$A,0)),"introuvable")</f>
        <v/>
      </c>
      <c r="C839" s="30" t="inlineStr">
        <is>
          <t>Je m'essuie les mains avec la serviette.</t>
        </is>
      </c>
    </row>
    <row r="840">
      <c r="A840" s="30" t="inlineStr">
        <is>
          <t>signature</t>
        </is>
      </c>
      <c r="B840" s="26">
        <f>IFERROR(INDEX(Mots!$B:$B,MATCH($A840,Mots!$A:$A,0)),"introuvable")</f>
        <v/>
      </c>
      <c r="C840" s="30" t="inlineStr">
        <is>
          <t>Il manque votre signature au bas du papier.</t>
        </is>
      </c>
      <c r="I840" s="30" t="inlineStr">
        <is>
          <t>mettre sa signature</t>
        </is>
      </c>
    </row>
    <row r="841">
      <c r="A841" s="30" t="inlineStr">
        <is>
          <t>situation</t>
        </is>
      </c>
      <c r="B841" s="26">
        <f>IFERROR(INDEX(Mots!$B:$B,MATCH($A841,Mots!$A:$A,0)),"introuvable")</f>
        <v/>
      </c>
      <c r="C841" s="30" t="inlineStr">
        <is>
          <t>La situation est plus simple qu'avant.</t>
        </is>
      </c>
    </row>
    <row r="842">
      <c r="A842" s="30" t="inlineStr">
        <is>
          <t>societe</t>
        </is>
      </c>
      <c r="B842" s="26">
        <f>IFERROR(INDEX(Mots!$B:$B,MATCH($A842,Mots!$A:$A,0)),"introuvable")</f>
        <v/>
      </c>
      <c r="C842" s="30" t="inlineStr">
        <is>
          <t>La société change avec le temps.</t>
        </is>
      </c>
    </row>
    <row r="843">
      <c r="A843" s="30" t="inlineStr">
        <is>
          <t>somme</t>
        </is>
      </c>
      <c r="B843" s="26">
        <f>IFERROR(INDEX(Mots!$B:$B,MATCH($A843,Mots!$A:$A,0)),"introuvable")</f>
        <v/>
      </c>
      <c r="C843" s="30" t="inlineStr">
        <is>
          <t>La somme de deux et trois fait cinq.</t>
        </is>
      </c>
      <c r="I843" s="30" t="inlineStr">
        <is>
          <t>faire la somme</t>
        </is>
      </c>
    </row>
    <row r="844">
      <c r="A844" s="30" t="inlineStr">
        <is>
          <t>sorte</t>
        </is>
      </c>
      <c r="B844" s="26">
        <f>IFERROR(INDEX(Mots!$B:$B,MATCH($A844,Mots!$A:$A,0)),"introuvable")</f>
        <v/>
      </c>
      <c r="C844" s="30" t="inlineStr">
        <is>
          <t>Il y a plusieurs sortes de fromages.</t>
        </is>
      </c>
      <c r="I844" s="30" t="inlineStr">
        <is>
          <t>une sorte de</t>
        </is>
      </c>
    </row>
    <row r="845">
      <c r="A845" s="30" t="inlineStr">
        <is>
          <t>surface</t>
        </is>
      </c>
      <c r="B845" s="26">
        <f>IFERROR(INDEX(Mots!$B:$B,MATCH($A845,Mots!$A:$A,0)),"introuvable")</f>
        <v/>
      </c>
      <c r="C845" s="30" t="inlineStr">
        <is>
          <t>La surface de la table est lisse.</t>
        </is>
      </c>
    </row>
    <row r="846">
      <c r="A846" s="30" t="inlineStr">
        <is>
          <t>tache</t>
        </is>
      </c>
      <c r="B846" s="26">
        <f>IFERROR(INDEX(Mots!$B:$B,MATCH($A846,Mots!$A:$A,0)),"introuvable")</f>
        <v/>
      </c>
      <c r="C846" s="30" t="inlineStr">
        <is>
          <t>Chacun a sa tâche à la maison.</t>
        </is>
      </c>
    </row>
    <row r="847">
      <c r="A847" s="30" t="inlineStr">
        <is>
          <t>tempete</t>
        </is>
      </c>
      <c r="B847" s="26">
        <f>IFERROR(INDEX(Mots!$B:$B,MATCH($A847,Mots!$A:$A,0)),"introuvable")</f>
        <v/>
      </c>
      <c r="C847" s="30" t="inlineStr">
        <is>
          <t>La tempête a cassé des branches.</t>
        </is>
      </c>
    </row>
    <row r="848">
      <c r="A848" s="30" t="inlineStr">
        <is>
          <t>tendresse</t>
        </is>
      </c>
      <c r="B848" s="26">
        <f>IFERROR(INDEX(Mots!$B:$B,MATCH($A848,Mots!$A:$A,0)),"introuvable")</f>
        <v/>
      </c>
      <c r="C848" s="30" t="inlineStr">
        <is>
          <t>Il regarde ses petits-enfants avec tendresse.</t>
        </is>
      </c>
      <c r="I848" s="30" t="inlineStr">
        <is>
          <t>avec tendresse</t>
        </is>
      </c>
    </row>
    <row r="849">
      <c r="A849" s="30" t="inlineStr">
        <is>
          <t>tente</t>
        </is>
      </c>
      <c r="B849" s="26">
        <f>IFERROR(INDEX(Mots!$B:$B,MATCH($A849,Mots!$A:$A,0)),"introuvable")</f>
        <v/>
      </c>
      <c r="C849" s="30" t="inlineStr">
        <is>
          <t>On monte la tente avant la nuit.</t>
        </is>
      </c>
      <c r="I849" s="30" t="inlineStr">
        <is>
          <t>monter la tente</t>
        </is>
      </c>
    </row>
    <row r="850">
      <c r="A850" s="30" t="inlineStr">
        <is>
          <t>toux</t>
        </is>
      </c>
      <c r="B850" s="26">
        <f>IFERROR(INDEX(Mots!$B:$B,MATCH($A850,Mots!$A:$A,0)),"introuvable")</f>
        <v/>
      </c>
      <c r="C850" s="30" t="inlineStr">
        <is>
          <t>Cette toux dure depuis une semaine.</t>
        </is>
      </c>
    </row>
    <row r="851">
      <c r="A851" s="30" t="inlineStr">
        <is>
          <t>vague</t>
        </is>
      </c>
      <c r="B851" s="26">
        <f>IFERROR(INDEX(Mots!$B:$B,MATCH($A851,Mots!$A:$A,0)),"introuvable")</f>
        <v/>
      </c>
      <c r="C851" s="30" t="inlineStr">
        <is>
          <t>Les vagues arrivent sur la plage.</t>
        </is>
      </c>
    </row>
    <row r="852">
      <c r="A852" s="30" t="inlineStr">
        <is>
          <t>valise</t>
        </is>
      </c>
      <c r="B852" s="26">
        <f>IFERROR(INDEX(Mots!$B:$B,MATCH($A852,Mots!$A:$A,0)),"introuvable")</f>
        <v/>
      </c>
      <c r="C852" s="30" t="inlineStr">
        <is>
          <t>Je fais ma valise la veille du départ.</t>
        </is>
      </c>
      <c r="I852" s="30" t="inlineStr">
        <is>
          <t>faire sa valise</t>
        </is>
      </c>
    </row>
    <row r="853">
      <c r="A853" s="30" t="inlineStr">
        <is>
          <t>vallee</t>
        </is>
      </c>
      <c r="B853" s="26">
        <f>IFERROR(INDEX(Mots!$B:$B,MATCH($A853,Mots!$A:$A,0)),"introuvable")</f>
        <v/>
      </c>
      <c r="C853" s="30" t="inlineStr">
        <is>
          <t>La vallée est encore dans l'ombre.</t>
        </is>
      </c>
    </row>
    <row r="854">
      <c r="A854" s="30" t="inlineStr">
        <is>
          <t>vente</t>
        </is>
      </c>
      <c r="B854" s="26">
        <f>IFERROR(INDEX(Mots!$B:$B,MATCH($A854,Mots!$A:$A,0)),"introuvable")</f>
        <v/>
      </c>
      <c r="C854" s="30" t="inlineStr">
        <is>
          <t>La vente de la maison est terminée.</t>
        </is>
      </c>
    </row>
    <row r="855">
      <c r="A855" s="30" t="inlineStr">
        <is>
          <t>vie</t>
        </is>
      </c>
      <c r="B855" s="26">
        <f>IFERROR(INDEX(Mots!$B:$B,MATCH($A855,Mots!$A:$A,0)),"introuvable")</f>
        <v/>
      </c>
      <c r="C855" s="30" t="inlineStr">
        <is>
          <t>Il a passé toute sa vie au village.</t>
        </is>
      </c>
      <c r="I855" s="30" t="inlineStr">
        <is>
          <t>toute la vie</t>
        </is>
      </c>
    </row>
    <row r="856">
      <c r="A856" s="30" t="inlineStr">
        <is>
          <t>vis</t>
        </is>
      </c>
      <c r="B856" s="26">
        <f>IFERROR(INDEX(Mots!$B:$B,MATCH($A856,Mots!$A:$A,0)),"introuvable")</f>
        <v/>
      </c>
      <c r="C856" s="30" t="inlineStr">
        <is>
          <t>Je serre la vis avec le tournevis.</t>
        </is>
      </c>
      <c r="I856" s="30" t="inlineStr">
        <is>
          <t>serrer une vis</t>
        </is>
      </c>
    </row>
    <row r="857">
      <c r="A857" s="30" t="inlineStr">
        <is>
          <t>visite</t>
        </is>
      </c>
      <c r="B857" s="26">
        <f>IFERROR(INDEX(Mots!$B:$B,MATCH($A857,Mots!$A:$A,0)),"introuvable")</f>
        <v/>
      </c>
      <c r="C857" s="30" t="inlineStr">
        <is>
          <t>Nous avons de la visite dimanche.</t>
        </is>
      </c>
      <c r="I857" s="30" t="inlineStr">
        <is>
          <t>rendre visite</t>
        </is>
      </c>
    </row>
    <row r="858">
      <c r="A858" s="30" t="inlineStr">
        <is>
          <t>zone</t>
        </is>
      </c>
      <c r="B858" s="26">
        <f>IFERROR(INDEX(Mots!$B:$B,MATCH($A858,Mots!$A:$A,0)),"introuvable")</f>
        <v/>
      </c>
      <c r="C858" s="30" t="inlineStr">
        <is>
          <t>C'est une zone tranquille du village.</t>
        </is>
      </c>
    </row>
    <row r="859">
      <c r="A859" s="30" t="inlineStr">
        <is>
          <t>accident</t>
        </is>
      </c>
      <c r="B859" s="26">
        <f>IFERROR(INDEX(Mots!$B:$B,MATCH($A859,Mots!$A:$A,0)),"introuvable")</f>
        <v/>
      </c>
      <c r="C859" s="30" t="inlineStr">
        <is>
          <t>Il y a eu un accident au carrefour.</t>
        </is>
      </c>
      <c r="I859" s="30" t="inlineStr">
        <is>
          <t>avoir un accident</t>
        </is>
      </c>
    </row>
    <row r="860">
      <c r="A860" s="30" t="inlineStr">
        <is>
          <t>accord</t>
        </is>
      </c>
      <c r="B860" s="26">
        <f>IFERROR(INDEX(Mots!$B:$B,MATCH($A860,Mots!$A:$A,0)),"introuvable")</f>
        <v/>
      </c>
      <c r="C860" s="30" t="inlineStr">
        <is>
          <t>Nous sommes tombés d'accord.</t>
        </is>
      </c>
      <c r="I860" s="30" t="inlineStr">
        <is>
          <t>être d'accord</t>
        </is>
      </c>
    </row>
    <row r="861">
      <c r="A861" s="30" t="inlineStr">
        <is>
          <t>achat</t>
        </is>
      </c>
      <c r="B861" s="26">
        <f>IFERROR(INDEX(Mots!$B:$B,MATCH($A861,Mots!$A:$A,0)),"introuvable")</f>
        <v/>
      </c>
      <c r="C861" s="30" t="inlineStr">
        <is>
          <t>Je note mes achats dans un carnet.</t>
        </is>
      </c>
      <c r="I861" s="30" t="inlineStr">
        <is>
          <t>faire un achat</t>
        </is>
      </c>
    </row>
    <row r="862">
      <c r="A862" s="30" t="inlineStr">
        <is>
          <t>affaires</t>
        </is>
      </c>
      <c r="B862" s="26">
        <f>IFERROR(INDEX(Mots!$B:$B,MATCH($A862,Mots!$A:$A,0)),"introuvable")</f>
        <v/>
      </c>
      <c r="C862" s="30" t="inlineStr">
        <is>
          <t>Je prends mes affaires et je pars.</t>
        </is>
      </c>
      <c r="I862" s="30" t="inlineStr">
        <is>
          <t>ranger ses affaires</t>
        </is>
      </c>
    </row>
    <row r="863">
      <c r="A863" s="30" t="inlineStr">
        <is>
          <t>agitation</t>
        </is>
      </c>
      <c r="B863" s="26">
        <f>IFERROR(INDEX(Mots!$B:$B,MATCH($A863,Mots!$A:$A,0)),"introuvable")</f>
        <v/>
      </c>
      <c r="C863" s="30" t="inlineStr">
        <is>
          <t>Il y a beaucoup d'agitation avant le concert.</t>
        </is>
      </c>
    </row>
    <row r="864">
      <c r="A864" s="30" t="inlineStr">
        <is>
          <t>aide</t>
        </is>
      </c>
      <c r="B864" s="26">
        <f>IFERROR(INDEX(Mots!$B:$B,MATCH($A864,Mots!$A:$A,0)),"introuvable")</f>
        <v/>
      </c>
      <c r="C864" s="30" t="inlineStr">
        <is>
          <t>Merci pour ton aide.</t>
        </is>
      </c>
      <c r="I864" s="30" t="inlineStr">
        <is>
          <t>demander de l'aide</t>
        </is>
      </c>
    </row>
    <row r="865">
      <c r="A865" s="30" t="inlineStr">
        <is>
          <t>aiguille</t>
        </is>
      </c>
      <c r="B865" s="26">
        <f>IFERROR(INDEX(Mots!$B:$B,MATCH($A865,Mots!$A:$A,0)),"introuvable")</f>
        <v/>
      </c>
      <c r="C865" s="30" t="inlineStr">
        <is>
          <t>La petite aiguille montre les heures.</t>
        </is>
      </c>
    </row>
    <row r="866">
      <c r="A866" s="30" t="inlineStr">
        <is>
          <t>air</t>
        </is>
      </c>
      <c r="B866" s="26">
        <f>IFERROR(INDEX(Mots!$B:$B,MATCH($A866,Mots!$A:$A,0)),"introuvable")</f>
        <v/>
      </c>
      <c r="C866" s="30" t="inlineStr">
        <is>
          <t>J'ouvre la fenêtre pour changer l'air.</t>
        </is>
      </c>
      <c r="I866" s="30" t="inlineStr">
        <is>
          <t>prendre l'air</t>
        </is>
      </c>
    </row>
    <row r="867">
      <c r="A867" s="30" t="inlineStr">
        <is>
          <t>allergie</t>
        </is>
      </c>
      <c r="B867" s="26">
        <f>IFERROR(INDEX(Mots!$B:$B,MATCH($A867,Mots!$A:$A,0)),"introuvable")</f>
        <v/>
      </c>
      <c r="C867" s="30" t="inlineStr">
        <is>
          <t>Il a une allergie au pollen.</t>
        </is>
      </c>
      <c r="I867" s="30" t="inlineStr">
        <is>
          <t>avoir une allergie</t>
        </is>
      </c>
    </row>
    <row r="868">
      <c r="A868" s="30" t="inlineStr">
        <is>
          <t>allumette</t>
        </is>
      </c>
      <c r="B868" s="26">
        <f>IFERROR(INDEX(Mots!$B:$B,MATCH($A868,Mots!$A:$A,0)),"introuvable")</f>
        <v/>
      </c>
      <c r="C868" s="30" t="inlineStr">
        <is>
          <t>J'allume le feu avec une allumette.</t>
        </is>
      </c>
      <c r="I868" s="30" t="inlineStr">
        <is>
          <t>craquer une allumette</t>
        </is>
      </c>
    </row>
    <row r="869">
      <c r="A869" s="30" t="inlineStr">
        <is>
          <t>amitié</t>
        </is>
      </c>
      <c r="B869" s="26">
        <f>IFERROR(INDEX(Mots!$B:$B,MATCH($A869,Mots!$A:$A,0)),"introuvable")</f>
        <v/>
      </c>
      <c r="C869" s="30" t="inlineStr">
        <is>
          <t>Leur amitié dure depuis l'école.</t>
        </is>
      </c>
    </row>
    <row r="870">
      <c r="A870" s="30" t="inlineStr">
        <is>
          <t>appartement</t>
        </is>
      </c>
      <c r="B870" s="26">
        <f>IFERROR(INDEX(Mots!$B:$B,MATCH($A870,Mots!$A:$A,0)),"introuvable")</f>
        <v/>
      </c>
      <c r="C870" s="30" t="inlineStr">
        <is>
          <t>L'appartement est au deuxième étage.</t>
        </is>
      </c>
    </row>
    <row r="871">
      <c r="A871" s="30" t="inlineStr">
        <is>
          <t>arc_en_ciel</t>
        </is>
      </c>
      <c r="B871" s="26">
        <f>IFERROR(INDEX(Mots!$B:$B,MATCH($A871,Mots!$A:$A,0)),"introuvable")</f>
        <v/>
      </c>
      <c r="C871" s="30" t="inlineStr">
        <is>
          <t>Un arc-en-ciel est apparu après l'averse.</t>
        </is>
      </c>
    </row>
    <row r="872">
      <c r="A872" s="30" t="inlineStr">
        <is>
          <t>attention</t>
        </is>
      </c>
      <c r="B872" s="26">
        <f>IFERROR(INDEX(Mots!$B:$B,MATCH($A872,Mots!$A:$A,0)),"introuvable")</f>
        <v/>
      </c>
      <c r="C872" s="30" t="inlineStr">
        <is>
          <t>Fais attention en traversant.</t>
        </is>
      </c>
      <c r="I872" s="30" t="inlineStr">
        <is>
          <t>faire attention</t>
        </is>
      </c>
    </row>
    <row r="873">
      <c r="A873" s="30" t="inlineStr">
        <is>
          <t>autoroute</t>
        </is>
      </c>
      <c r="B873" s="26">
        <f>IFERROR(INDEX(Mots!$B:$B,MATCH($A873,Mots!$A:$A,0)),"introuvable")</f>
        <v/>
      </c>
      <c r="C873" s="30" t="inlineStr">
        <is>
          <t>On prend l'autoroute jusqu'à Sion.</t>
        </is>
      </c>
      <c r="I873" s="30" t="inlineStr">
        <is>
          <t>prendre l'autoroute</t>
        </is>
      </c>
    </row>
    <row r="874">
      <c r="A874" s="30" t="inlineStr">
        <is>
          <t>aventure</t>
        </is>
      </c>
      <c r="B874" s="26">
        <f>IFERROR(INDEX(Mots!$B:$B,MATCH($A874,Mots!$A:$A,0)),"introuvable")</f>
        <v/>
      </c>
      <c r="C874" s="30" t="inlineStr">
        <is>
          <t>Ce voyage a été une vraie aventure.</t>
        </is>
      </c>
    </row>
    <row r="875">
      <c r="A875" s="30" t="inlineStr">
        <is>
          <t>bagage</t>
        </is>
      </c>
      <c r="B875" s="26">
        <f>IFERROR(INDEX(Mots!$B:$B,MATCH($A875,Mots!$A:$A,0)),"introuvable")</f>
        <v/>
      </c>
      <c r="C875" s="30" t="inlineStr">
        <is>
          <t>Je pose les bagages dans le coffre.</t>
        </is>
      </c>
    </row>
    <row r="876">
      <c r="A876" s="30" t="inlineStr">
        <is>
          <t>bain</t>
        </is>
      </c>
      <c r="B876" s="26">
        <f>IFERROR(INDEX(Mots!$B:$B,MATCH($A876,Mots!$A:$A,0)),"introuvable")</f>
        <v/>
      </c>
      <c r="C876" s="30" t="inlineStr">
        <is>
          <t>Le soir, je prends un bain.</t>
        </is>
      </c>
      <c r="I876" s="30" t="inlineStr">
        <is>
          <t>prendre un bain</t>
        </is>
      </c>
    </row>
    <row r="877">
      <c r="A877" s="30" t="inlineStr">
        <is>
          <t>balai</t>
        </is>
      </c>
      <c r="B877" s="26">
        <f>IFERROR(INDEX(Mots!$B:$B,MATCH($A877,Mots!$A:$A,0)),"introuvable")</f>
        <v/>
      </c>
      <c r="C877" s="30" t="inlineStr">
        <is>
          <t>Je passe le balai dans la cuisine.</t>
        </is>
      </c>
      <c r="I877" s="30" t="inlineStr">
        <is>
          <t>passer le balai</t>
        </is>
      </c>
    </row>
    <row r="878">
      <c r="A878" s="30" t="inlineStr">
        <is>
          <t>balcon</t>
        </is>
      </c>
      <c r="B878" s="26">
        <f>IFERROR(INDEX(Mots!$B:$B,MATCH($A878,Mots!$A:$A,0)),"introuvable")</f>
        <v/>
      </c>
      <c r="C878" s="30" t="inlineStr">
        <is>
          <t>Les fleurs sont sur le balcon.</t>
        </is>
      </c>
    </row>
    <row r="879">
      <c r="A879" s="30" t="inlineStr">
        <is>
          <t>ballon</t>
        </is>
      </c>
      <c r="B879" s="26">
        <f>IFERROR(INDEX(Mots!$B:$B,MATCH($A879,Mots!$A:$A,0)),"introuvable")</f>
        <v/>
      </c>
      <c r="C879" s="30" t="inlineStr">
        <is>
          <t>Les enfants jouent au ballon.</t>
        </is>
      </c>
      <c r="I879" s="30" t="inlineStr">
        <is>
          <t>jouer au ballon</t>
        </is>
      </c>
    </row>
    <row r="880">
      <c r="A880" s="30" t="inlineStr">
        <is>
          <t>bandage</t>
        </is>
      </c>
      <c r="B880" s="26">
        <f>IFERROR(INDEX(Mots!$B:$B,MATCH($A880,Mots!$A:$A,0)),"introuvable")</f>
        <v/>
      </c>
      <c r="C880" s="30" t="inlineStr">
        <is>
          <t>L'infirmière met un bandage autour du bras.</t>
        </is>
      </c>
    </row>
    <row r="881">
      <c r="A881" s="30" t="inlineStr">
        <is>
          <t>batiment</t>
        </is>
      </c>
      <c r="B881" s="26">
        <f>IFERROR(INDEX(Mots!$B:$B,MATCH($A881,Mots!$A:$A,0)),"introuvable")</f>
        <v/>
      </c>
      <c r="C881" s="30" t="inlineStr">
        <is>
          <t>Le bâtiment de la poste est ancien.</t>
        </is>
      </c>
    </row>
    <row r="882">
      <c r="A882" s="30" t="inlineStr">
        <is>
          <t>besoin</t>
        </is>
      </c>
      <c r="B882" s="26">
        <f>IFERROR(INDEX(Mots!$B:$B,MATCH($A882,Mots!$A:$A,0)),"introuvable")</f>
        <v/>
      </c>
      <c r="C882" s="30" t="inlineStr">
        <is>
          <t>J'ai besoin d'un coup de main.</t>
        </is>
      </c>
      <c r="I882" s="30" t="inlineStr">
        <is>
          <t>avoir besoin de</t>
        </is>
      </c>
    </row>
    <row r="883">
      <c r="A883" s="30" t="inlineStr">
        <is>
          <t>beurre</t>
        </is>
      </c>
      <c r="B883" s="26">
        <f>IFERROR(INDEX(Mots!$B:$B,MATCH($A883,Mots!$A:$A,0)),"introuvable")</f>
        <v/>
      </c>
      <c r="C883" s="30" t="inlineStr">
        <is>
          <t>Je mets du beurre sur le pain.</t>
        </is>
      </c>
      <c r="I883" s="30" t="inlineStr">
        <is>
          <t>une tartine de beurre</t>
        </is>
      </c>
    </row>
    <row r="884">
      <c r="A884" s="30" t="inlineStr">
        <is>
          <t>billet</t>
        </is>
      </c>
      <c r="B884" s="26">
        <f>IFERROR(INDEX(Mots!$B:$B,MATCH($A884,Mots!$A:$A,0)),"introuvable")</f>
        <v/>
      </c>
      <c r="C884" s="30" t="inlineStr">
        <is>
          <t>J'achète un billet de train.</t>
        </is>
      </c>
      <c r="I884" s="30" t="inlineStr">
        <is>
          <t>prendre un billet</t>
        </is>
      </c>
    </row>
    <row r="885">
      <c r="A885" s="30" t="inlineStr">
        <is>
          <t>ble</t>
        </is>
      </c>
      <c r="B885" s="26">
        <f>IFERROR(INDEX(Mots!$B:$B,MATCH($A885,Mots!$A:$A,0)),"introuvable")</f>
        <v/>
      </c>
      <c r="C885" s="30" t="inlineStr">
        <is>
          <t>Le blé est mûr au mois de juillet.</t>
        </is>
      </c>
      <c r="I885" s="30" t="inlineStr">
        <is>
          <t>un champ de blé</t>
        </is>
      </c>
    </row>
    <row r="886">
      <c r="A886" s="30" t="inlineStr">
        <is>
          <t>bocal</t>
        </is>
      </c>
      <c r="B886" s="26">
        <f>IFERROR(INDEX(Mots!$B:$B,MATCH($A886,Mots!$A:$A,0)),"introuvable")</f>
        <v/>
      </c>
      <c r="C886" s="30" t="inlineStr">
        <is>
          <t>La confiture est dans un bocal.</t>
        </is>
      </c>
    </row>
    <row r="887">
      <c r="A887" s="30" t="inlineStr">
        <is>
          <t>bois</t>
        </is>
      </c>
      <c r="B887" s="26">
        <f>IFERROR(INDEX(Mots!$B:$B,MATCH($A887,Mots!$A:$A,0)),"introuvable")</f>
        <v/>
      </c>
      <c r="C887" s="30" t="inlineStr">
        <is>
          <t>La table est en bois massif.</t>
        </is>
      </c>
      <c r="I887" s="30" t="inlineStr">
        <is>
          <t>en bois</t>
        </is>
      </c>
    </row>
    <row r="888">
      <c r="A888" s="30" t="inlineStr">
        <is>
          <t>bonbon</t>
        </is>
      </c>
      <c r="B888" s="26">
        <f>IFERROR(INDEX(Mots!$B:$B,MATCH($A888,Mots!$A:$A,0)),"introuvable")</f>
        <v/>
      </c>
      <c r="C888" s="30" t="inlineStr">
        <is>
          <t>L'enfant demande un bonbon.</t>
        </is>
      </c>
    </row>
    <row r="889">
      <c r="A889" s="30" t="inlineStr">
        <is>
          <t>bourgeon</t>
        </is>
      </c>
      <c r="B889" s="26">
        <f>IFERROR(INDEX(Mots!$B:$B,MATCH($A889,Mots!$A:$A,0)),"introuvable")</f>
        <v/>
      </c>
      <c r="C889" s="30" t="inlineStr">
        <is>
          <t>Les bourgeons sortent au printemps.</t>
        </is>
      </c>
    </row>
    <row r="890">
      <c r="A890" s="30" t="inlineStr">
        <is>
          <t>bout</t>
        </is>
      </c>
      <c r="B890" s="26">
        <f>IFERROR(INDEX(Mots!$B:$B,MATCH($A890,Mots!$A:$A,0)),"introuvable")</f>
        <v/>
      </c>
      <c r="C890" s="30" t="inlineStr">
        <is>
          <t>Il habite au bout de la rue.</t>
        </is>
      </c>
      <c r="I890" s="30" t="inlineStr">
        <is>
          <t>au bout de</t>
        </is>
      </c>
    </row>
    <row r="891">
      <c r="A891" s="30" t="inlineStr">
        <is>
          <t>bouton</t>
        </is>
      </c>
      <c r="B891" s="26">
        <f>IFERROR(INDEX(Mots!$B:$B,MATCH($A891,Mots!$A:$A,0)),"introuvable")</f>
        <v/>
      </c>
      <c r="C891" s="30" t="inlineStr">
        <is>
          <t>Un bouton est tombé de ma chemise.</t>
        </is>
      </c>
      <c r="I891" s="30" t="inlineStr">
        <is>
          <t>recoudre un bouton</t>
        </is>
      </c>
    </row>
    <row r="892">
      <c r="A892" s="30" t="inlineStr">
        <is>
          <t>bricolage</t>
        </is>
      </c>
      <c r="B892" s="26">
        <f>IFERROR(INDEX(Mots!$B:$B,MATCH($A892,Mots!$A:$A,0)),"introuvable")</f>
        <v/>
      </c>
      <c r="C892" s="30" t="inlineStr">
        <is>
          <t>Le samedi, je fais du bricolage.</t>
        </is>
      </c>
      <c r="I892" s="30" t="inlineStr">
        <is>
          <t>faire du bricolage</t>
        </is>
      </c>
    </row>
    <row r="893">
      <c r="A893" s="30" t="inlineStr">
        <is>
          <t>brin</t>
        </is>
      </c>
      <c r="B893" s="26">
        <f>IFERROR(INDEX(Mots!$B:$B,MATCH($A893,Mots!$A:$A,0)),"introuvable")</f>
        <v/>
      </c>
      <c r="C893" s="30" t="inlineStr">
        <is>
          <t>Il tient un brin d'herbe à la main.</t>
        </is>
      </c>
      <c r="I893" s="30" t="inlineStr">
        <is>
          <t>un brin d'herbe</t>
        </is>
      </c>
    </row>
    <row r="894">
      <c r="A894" s="30" t="inlineStr">
        <is>
          <t>brouillard</t>
        </is>
      </c>
      <c r="B894" s="26">
        <f>IFERROR(INDEX(Mots!$B:$B,MATCH($A894,Mots!$A:$A,0)),"introuvable")</f>
        <v/>
      </c>
      <c r="C894" s="30" t="inlineStr">
        <is>
          <t>Le brouillard cache toute la vallée.</t>
        </is>
      </c>
    </row>
    <row r="895">
      <c r="A895" s="30" t="inlineStr">
        <is>
          <t>bruit</t>
        </is>
      </c>
      <c r="B895" s="26">
        <f>IFERROR(INDEX(Mots!$B:$B,MATCH($A895,Mots!$A:$A,0)),"introuvable")</f>
        <v/>
      </c>
      <c r="C895" s="30" t="inlineStr">
        <is>
          <t>Il y a trop de bruit dans la rue.</t>
        </is>
      </c>
      <c r="I895" s="30" t="inlineStr">
        <is>
          <t>faire du bruit</t>
        </is>
      </c>
    </row>
    <row r="896">
      <c r="A896" s="30" t="inlineStr">
        <is>
          <t>buisson</t>
        </is>
      </c>
      <c r="B896" s="26">
        <f>IFERROR(INDEX(Mots!$B:$B,MATCH($A896,Mots!$A:$A,0)),"introuvable")</f>
        <v/>
      </c>
      <c r="C896" s="30" t="inlineStr">
        <is>
          <t>L'oiseau se cache dans le buisson.</t>
        </is>
      </c>
    </row>
    <row r="897">
      <c r="A897" s="30" t="inlineStr">
        <is>
          <t>cadeau</t>
        </is>
      </c>
      <c r="B897" s="26">
        <f>IFERROR(INDEX(Mots!$B:$B,MATCH($A897,Mots!$A:$A,0)),"introuvable")</f>
        <v/>
      </c>
      <c r="C897" s="30" t="inlineStr">
        <is>
          <t>J'ai reçu un beau cadeau.</t>
        </is>
      </c>
      <c r="I897" s="30" t="inlineStr">
        <is>
          <t>offrir un cadeau</t>
        </is>
      </c>
    </row>
    <row r="898">
      <c r="A898" s="30" t="inlineStr">
        <is>
          <t>cahier</t>
        </is>
      </c>
      <c r="B898" s="26">
        <f>IFERROR(INDEX(Mots!$B:$B,MATCH($A898,Mots!$A:$A,0)),"introuvable")</f>
        <v/>
      </c>
      <c r="C898" s="30" t="inlineStr">
        <is>
          <t>J'écris la liste dans un cahier.</t>
        </is>
      </c>
    </row>
    <row r="899">
      <c r="A899" s="30" t="inlineStr">
        <is>
          <t>calme</t>
        </is>
      </c>
      <c r="B899" s="26">
        <f>IFERROR(INDEX(Mots!$B:$B,MATCH($A899,Mots!$A:$A,0)),"introuvable")</f>
        <v/>
      </c>
      <c r="C899" s="30" t="inlineStr">
        <is>
          <t>Le calme revient après le repas.</t>
        </is>
      </c>
      <c r="I899" s="30" t="inlineStr">
        <is>
          <t>au calme</t>
        </is>
      </c>
    </row>
    <row r="900">
      <c r="A900" s="30" t="inlineStr">
        <is>
          <t>caoutchouc</t>
        </is>
      </c>
      <c r="B900" s="26">
        <f>IFERROR(INDEX(Mots!$B:$B,MATCH($A900,Mots!$A:$A,0)),"introuvable")</f>
        <v/>
      </c>
      <c r="C900" s="30" t="inlineStr">
        <is>
          <t>Les bottes sont en caoutchouc.</t>
        </is>
      </c>
    </row>
    <row r="901">
      <c r="A901" s="30" t="inlineStr">
        <is>
          <t>carnet</t>
        </is>
      </c>
      <c r="B901" s="26">
        <f>IFERROR(INDEX(Mots!$B:$B,MATCH($A901,Mots!$A:$A,0)),"introuvable")</f>
        <v/>
      </c>
      <c r="C901" s="30" t="inlineStr">
        <is>
          <t>Je note les rendez-vous dans mon carnet.</t>
        </is>
      </c>
    </row>
    <row r="902">
      <c r="A902" s="30" t="inlineStr">
        <is>
          <t>cas</t>
        </is>
      </c>
      <c r="B902" s="26">
        <f>IFERROR(INDEX(Mots!$B:$B,MATCH($A902,Mots!$A:$A,0)),"introuvable")</f>
        <v/>
      </c>
      <c r="C902" s="30" t="inlineStr">
        <is>
          <t>Dans ce cas, il vaut mieux attendre.</t>
        </is>
      </c>
      <c r="I902" s="30" t="inlineStr">
        <is>
          <t>en tout cas</t>
        </is>
      </c>
    </row>
    <row r="903">
      <c r="A903" s="30" t="inlineStr">
        <is>
          <t>champ</t>
        </is>
      </c>
      <c r="B903" s="26">
        <f>IFERROR(INDEX(Mots!$B:$B,MATCH($A903,Mots!$A:$A,0)),"introuvable")</f>
        <v/>
      </c>
      <c r="C903" s="30" t="inlineStr">
        <is>
          <t>Le champ est plein de blé.</t>
        </is>
      </c>
    </row>
    <row r="904">
      <c r="A904" s="30" t="inlineStr">
        <is>
          <t>champignon</t>
        </is>
      </c>
      <c r="B904" s="26">
        <f>IFERROR(INDEX(Mots!$B:$B,MATCH($A904,Mots!$A:$A,0)),"introuvable")</f>
        <v/>
      </c>
      <c r="C904" s="30" t="inlineStr">
        <is>
          <t>On cherche des champignons dans le bois.</t>
        </is>
      </c>
      <c r="I904" s="30" t="inlineStr">
        <is>
          <t>aller aux champignons</t>
        </is>
      </c>
    </row>
    <row r="905">
      <c r="A905" s="30" t="inlineStr">
        <is>
          <t>champion</t>
        </is>
      </c>
      <c r="B905" s="26">
        <f>IFERROR(INDEX(Mots!$B:$B,MATCH($A905,Mots!$A:$A,0)),"introuvable")</f>
        <v/>
      </c>
      <c r="C905" s="30" t="inlineStr">
        <is>
          <t>Il est champion de lutte.</t>
        </is>
      </c>
    </row>
    <row r="906">
      <c r="A906" s="30" t="inlineStr">
        <is>
          <t>chapeau</t>
        </is>
      </c>
      <c r="B906" s="26">
        <f>IFERROR(INDEX(Mots!$B:$B,MATCH($A906,Mots!$A:$A,0)),"introuvable")</f>
        <v/>
      </c>
      <c r="C906" s="30" t="inlineStr">
        <is>
          <t>Je mets un chapeau contre le soleil.</t>
        </is>
      </c>
      <c r="I906" s="30" t="inlineStr">
        <is>
          <t>mettre un chapeau</t>
        </is>
      </c>
    </row>
    <row r="907">
      <c r="A907" s="30" t="inlineStr">
        <is>
          <t>chemin</t>
        </is>
      </c>
      <c r="B907" s="26">
        <f>IFERROR(INDEX(Mots!$B:$B,MATCH($A907,Mots!$A:$A,0)),"introuvable")</f>
        <v/>
      </c>
      <c r="C907" s="30" t="inlineStr">
        <is>
          <t>Le chemin monte jusqu'au chalet.</t>
        </is>
      </c>
      <c r="I907" s="30" t="inlineStr">
        <is>
          <t>prendre le chemin</t>
        </is>
      </c>
    </row>
    <row r="908">
      <c r="A908" s="30" t="inlineStr">
        <is>
          <t>choc</t>
        </is>
      </c>
      <c r="B908" s="26">
        <f>IFERROR(INDEX(Mots!$B:$B,MATCH($A908,Mots!$A:$A,0)),"introuvable")</f>
        <v/>
      </c>
      <c r="C908" s="30" t="inlineStr">
        <is>
          <t>Le choc a cassé le pare-brise.</t>
        </is>
      </c>
    </row>
    <row r="909">
      <c r="A909" s="30" t="inlineStr">
        <is>
          <t>chocolat</t>
        </is>
      </c>
      <c r="B909" s="26">
        <f>IFERROR(INDEX(Mots!$B:$B,MATCH($A909,Mots!$A:$A,0)),"introuvable")</f>
        <v/>
      </c>
      <c r="C909" s="30" t="inlineStr">
        <is>
          <t>Je prends un carré de chocolat.</t>
        </is>
      </c>
      <c r="I909" s="30" t="inlineStr">
        <is>
          <t>du chocolat au lait</t>
        </is>
      </c>
    </row>
    <row r="910">
      <c r="A910" s="30" t="inlineStr">
        <is>
          <t>cintre</t>
        </is>
      </c>
      <c r="B910" s="26">
        <f>IFERROR(INDEX(Mots!$B:$B,MATCH($A910,Mots!$A:$A,0)),"introuvable")</f>
        <v/>
      </c>
      <c r="C910" s="30" t="inlineStr">
        <is>
          <t>Je pends la veste sur un cintre.</t>
        </is>
      </c>
    </row>
    <row r="911">
      <c r="A911" s="30" t="inlineStr">
        <is>
          <t>citron</t>
        </is>
      </c>
      <c r="B911" s="26">
        <f>IFERROR(INDEX(Mots!$B:$B,MATCH($A911,Mots!$A:$A,0)),"introuvable")</f>
        <v/>
      </c>
      <c r="C911" s="30" t="inlineStr">
        <is>
          <t>Je presse un citron sur le poisson.</t>
        </is>
      </c>
      <c r="I911" s="30" t="inlineStr">
        <is>
          <t>un jus de citron</t>
        </is>
      </c>
    </row>
    <row r="912">
      <c r="A912" s="30" t="inlineStr">
        <is>
          <t>clou</t>
        </is>
      </c>
      <c r="B912" s="26">
        <f>IFERROR(INDEX(Mots!$B:$B,MATCH($A912,Mots!$A:$A,0)),"introuvable")</f>
        <v/>
      </c>
      <c r="C912" s="30" t="inlineStr">
        <is>
          <t>J'enfonce le clou avec le marteau.</t>
        </is>
      </c>
      <c r="I912" s="30" t="inlineStr">
        <is>
          <t>planter un clou</t>
        </is>
      </c>
    </row>
    <row r="913">
      <c r="A913" s="30" t="inlineStr">
        <is>
          <t>combat</t>
        </is>
      </c>
      <c r="B913" s="26">
        <f>IFERROR(INDEX(Mots!$B:$B,MATCH($A913,Mots!$A:$A,0)),"introuvable")</f>
        <v/>
      </c>
      <c r="C913" s="30" t="inlineStr">
        <is>
          <t>Le combat s'est terminé sans blessé.</t>
        </is>
      </c>
    </row>
    <row r="914">
      <c r="A914" s="30" t="inlineStr">
        <is>
          <t>commerce</t>
        </is>
      </c>
      <c r="B914" s="26">
        <f>IFERROR(INDEX(Mots!$B:$B,MATCH($A914,Mots!$A:$A,0)),"introuvable")</f>
        <v/>
      </c>
      <c r="C914" s="30" t="inlineStr">
        <is>
          <t>Le petit commerce du village a fermé.</t>
        </is>
      </c>
    </row>
    <row r="915">
      <c r="A915" s="30" t="inlineStr">
        <is>
          <t>complice</t>
        </is>
      </c>
      <c r="B915" s="26">
        <f>IFERROR(INDEX(Mots!$B:$B,MATCH($A915,Mots!$A:$A,0)),"introuvable")</f>
        <v/>
      </c>
      <c r="C915" s="30" t="inlineStr">
        <is>
          <t>Ils échangent un regard complice.</t>
        </is>
      </c>
    </row>
    <row r="916">
      <c r="A916" s="30" t="inlineStr">
        <is>
          <t>comprime</t>
        </is>
      </c>
      <c r="B916" s="26">
        <f>IFERROR(INDEX(Mots!$B:$B,MATCH($A916,Mots!$A:$A,0)),"introuvable")</f>
        <v/>
      </c>
      <c r="C916" s="30" t="inlineStr">
        <is>
          <t>Je prends un comprimé contre le mal de tête.</t>
        </is>
      </c>
      <c r="I916" s="30" t="inlineStr">
        <is>
          <t>prendre un comprimé</t>
        </is>
      </c>
    </row>
    <row r="917">
      <c r="A917" s="30" t="inlineStr">
        <is>
          <t>concours</t>
        </is>
      </c>
      <c r="B917" s="26">
        <f>IFERROR(INDEX(Mots!$B:$B,MATCH($A917,Mots!$A:$A,0)),"introuvable")</f>
        <v/>
      </c>
      <c r="C917" s="30" t="inlineStr">
        <is>
          <t>La fanfare participe au concours.</t>
        </is>
      </c>
      <c r="I917" s="30" t="inlineStr">
        <is>
          <t>participer à un concours</t>
        </is>
      </c>
    </row>
    <row r="918">
      <c r="A918" s="30" t="inlineStr">
        <is>
          <t>jeu</t>
        </is>
      </c>
      <c r="B918" s="26">
        <f>IFERROR(INDEX(Mots!$B:$B,MATCH($A918,Mots!$A:$A,0)),"introuvable")</f>
        <v/>
      </c>
      <c r="C918" s="30" t="inlineStr">
        <is>
          <t>Les enfants inventent un nouveau jeu.</t>
        </is>
      </c>
    </row>
    <row r="919">
      <c r="A919" s="30" t="inlineStr">
        <is>
          <t>jouet</t>
        </is>
      </c>
      <c r="B919" s="26">
        <f>IFERROR(INDEX(Mots!$B:$B,MATCH($A919,Mots!$A:$A,0)),"introuvable")</f>
        <v/>
      </c>
      <c r="C919" s="30" t="inlineStr">
        <is>
          <t>Le jouet préféré du petit est un camion.</t>
        </is>
      </c>
    </row>
    <row r="920">
      <c r="A920" s="30" t="inlineStr">
        <is>
          <t>jus</t>
        </is>
      </c>
      <c r="B920" s="26">
        <f>IFERROR(INDEX(Mots!$B:$B,MATCH($A920,Mots!$A:$A,0)),"introuvable")</f>
        <v/>
      </c>
      <c r="C920" s="30" t="inlineStr">
        <is>
          <t>Je bois un jus d'orange le matin.</t>
        </is>
      </c>
      <c r="I920" s="30" t="inlineStr">
        <is>
          <t>un jus de fruit</t>
        </is>
      </c>
    </row>
    <row r="921">
      <c r="A921" s="30" t="inlineStr">
        <is>
          <t>lac</t>
        </is>
      </c>
      <c r="B921" s="26">
        <f>IFERROR(INDEX(Mots!$B:$B,MATCH($A921,Mots!$A:$A,0)),"introuvable")</f>
        <v/>
      </c>
      <c r="C921" s="30" t="inlineStr">
        <is>
          <t>On se promène au bord du lac.</t>
        </is>
      </c>
      <c r="I921" s="30" t="inlineStr">
        <is>
          <t>au bord du lac</t>
        </is>
      </c>
    </row>
    <row r="922">
      <c r="A922" s="30" t="inlineStr">
        <is>
          <t>produits_laitiers</t>
        </is>
      </c>
      <c r="B922" s="26">
        <f>IFERROR(INDEX(Mots!$B:$B,MATCH($A922,Mots!$A:$A,0)),"introuvable")</f>
        <v/>
      </c>
      <c r="C922" s="30" t="inlineStr">
        <is>
          <t>Le yaourt fait partie des produits laitiers.</t>
        </is>
      </c>
    </row>
    <row r="923">
      <c r="A923" s="30" t="inlineStr">
        <is>
          <t>lien</t>
        </is>
      </c>
      <c r="B923" s="26">
        <f>IFERROR(INDEX(Mots!$B:$B,MATCH($A923,Mots!$A:$A,0)),"introuvable")</f>
        <v/>
      </c>
      <c r="C923" s="30" t="inlineStr">
        <is>
          <t>Il y a un lien entre ces deux mots.</t>
        </is>
      </c>
      <c r="I923" s="30" t="inlineStr">
        <is>
          <t>faire le lien</t>
        </is>
      </c>
    </row>
    <row r="924">
      <c r="A924" s="30" t="inlineStr">
        <is>
          <t>liquide</t>
        </is>
      </c>
      <c r="B924" s="26">
        <f>IFERROR(INDEX(Mots!$B:$B,MATCH($A924,Mots!$A:$A,0)),"introuvable")</f>
        <v/>
      </c>
      <c r="C924" s="30" t="inlineStr">
        <is>
          <t>L'eau est un liquide.</t>
        </is>
      </c>
    </row>
    <row r="925">
      <c r="A925" s="30" t="inlineStr">
        <is>
          <t>livre</t>
        </is>
      </c>
      <c r="B925" s="26">
        <f>IFERROR(INDEX(Mots!$B:$B,MATCH($A925,Mots!$A:$A,0)),"introuvable")</f>
        <v/>
      </c>
      <c r="C925" s="30" t="inlineStr">
        <is>
          <t>Je lis un livre chaque soir.</t>
        </is>
      </c>
      <c r="I925" s="30" t="inlineStr">
        <is>
          <t>lire un livre</t>
        </is>
      </c>
    </row>
    <row r="926">
      <c r="A926" s="30" t="inlineStr">
        <is>
          <t>maitre</t>
        </is>
      </c>
      <c r="B926" s="26">
        <f>IFERROR(INDEX(Mots!$B:$B,MATCH($A926,Mots!$A:$A,0)),"introuvable")</f>
        <v/>
      </c>
      <c r="C926" s="30" t="inlineStr">
        <is>
          <t>Le maître explique la leçon.</t>
        </is>
      </c>
    </row>
    <row r="927">
      <c r="A927" s="30" t="inlineStr">
        <is>
          <t>manteau</t>
        </is>
      </c>
      <c r="B927" s="26">
        <f>IFERROR(INDEX(Mots!$B:$B,MATCH($A927,Mots!$A:$A,0)),"introuvable")</f>
        <v/>
      </c>
      <c r="C927" s="30" t="inlineStr">
        <is>
          <t>Je mets mon manteau, il fait froid.</t>
        </is>
      </c>
      <c r="I927" s="30" t="inlineStr">
        <is>
          <t>mettre son manteau</t>
        </is>
      </c>
    </row>
    <row r="928">
      <c r="A928" s="30" t="inlineStr">
        <is>
          <t>marteau</t>
        </is>
      </c>
      <c r="B928" s="26">
        <f>IFERROR(INDEX(Mots!$B:$B,MATCH($A928,Mots!$A:$A,0)),"introuvable")</f>
        <v/>
      </c>
      <c r="C928" s="30" t="inlineStr">
        <is>
          <t>Je plante le clou avec le marteau.</t>
        </is>
      </c>
      <c r="I928" s="30" t="inlineStr">
        <is>
          <t>un coup de marteau</t>
        </is>
      </c>
    </row>
    <row r="929">
      <c r="A929" s="30" t="inlineStr">
        <is>
          <t>match</t>
        </is>
      </c>
      <c r="B929" s="26">
        <f>IFERROR(INDEX(Mots!$B:$B,MATCH($A929,Mots!$A:$A,0)),"introuvable")</f>
        <v/>
      </c>
      <c r="C929" s="30" t="inlineStr">
        <is>
          <t>Le match commence à quinze heures.</t>
        </is>
      </c>
      <c r="I929" s="30" t="inlineStr">
        <is>
          <t>regarder un match</t>
        </is>
      </c>
    </row>
    <row r="930">
      <c r="A930" s="30" t="inlineStr">
        <is>
          <t>medicament</t>
        </is>
      </c>
      <c r="B930" s="26">
        <f>IFERROR(INDEX(Mots!$B:$B,MATCH($A930,Mots!$A:$A,0)),"introuvable")</f>
        <v/>
      </c>
      <c r="C930" s="30" t="inlineStr">
        <is>
          <t>Je prends mes médicaments après le repas.</t>
        </is>
      </c>
      <c r="I930" s="30" t="inlineStr">
        <is>
          <t>prendre un médicament</t>
        </is>
      </c>
    </row>
    <row r="931">
      <c r="A931" s="30" t="inlineStr">
        <is>
          <t>melange</t>
        </is>
      </c>
      <c r="B931" s="26">
        <f>IFERROR(INDEX(Mots!$B:$B,MATCH($A931,Mots!$A:$A,0)),"introuvable")</f>
        <v/>
      </c>
      <c r="C931" s="30" t="inlineStr">
        <is>
          <t>Le mélange doit être bien lisse.</t>
        </is>
      </c>
    </row>
    <row r="932">
      <c r="A932" s="30" t="inlineStr">
        <is>
          <t>metal</t>
        </is>
      </c>
      <c r="B932" s="26">
        <f>IFERROR(INDEX(Mots!$B:$B,MATCH($A932,Mots!$A:$A,0)),"introuvable")</f>
        <v/>
      </c>
      <c r="C932" s="30" t="inlineStr">
        <is>
          <t>La clé est en métal.</t>
        </is>
      </c>
      <c r="I932" s="30" t="inlineStr">
        <is>
          <t>en métal</t>
        </is>
      </c>
    </row>
    <row r="933">
      <c r="A933" s="30" t="inlineStr">
        <is>
          <t>miel</t>
        </is>
      </c>
      <c r="B933" s="26">
        <f>IFERROR(INDEX(Mots!$B:$B,MATCH($A933,Mots!$A:$A,0)),"introuvable")</f>
        <v/>
      </c>
      <c r="C933" s="30" t="inlineStr">
        <is>
          <t>Je mets du miel dans mon thé.</t>
        </is>
      </c>
      <c r="I933" s="30" t="inlineStr">
        <is>
          <t>un pot de miel</t>
        </is>
      </c>
    </row>
    <row r="934">
      <c r="A934" s="30" t="inlineStr">
        <is>
          <t>milieu</t>
        </is>
      </c>
      <c r="B934" s="26">
        <f>IFERROR(INDEX(Mots!$B:$B,MATCH($A934,Mots!$A:$A,0)),"introuvable")</f>
        <v/>
      </c>
      <c r="C934" s="30" t="inlineStr">
        <is>
          <t>La table est au milieu de la pièce.</t>
        </is>
      </c>
      <c r="I934" s="30" t="inlineStr">
        <is>
          <t>au milieu de</t>
        </is>
      </c>
    </row>
    <row r="935">
      <c r="A935" s="30" t="inlineStr">
        <is>
          <t>monde</t>
        </is>
      </c>
      <c r="B935" s="26">
        <f>IFERROR(INDEX(Mots!$B:$B,MATCH($A935,Mots!$A:$A,0)),"introuvable")</f>
        <v/>
      </c>
      <c r="C935" s="30" t="inlineStr">
        <is>
          <t>Il y a beaucoup de monde au marché.</t>
        </is>
      </c>
      <c r="I935" s="30" t="inlineStr">
        <is>
          <t>tout le monde</t>
        </is>
      </c>
    </row>
    <row r="936">
      <c r="A936" s="30" t="inlineStr">
        <is>
          <t>morceau</t>
        </is>
      </c>
      <c r="B936" s="26">
        <f>IFERROR(INDEX(Mots!$B:$B,MATCH($A936,Mots!$A:$A,0)),"introuvable")</f>
        <v/>
      </c>
      <c r="C936" s="30" t="inlineStr">
        <is>
          <t>Je coupe un morceau de pain.</t>
        </is>
      </c>
      <c r="I936" s="30" t="inlineStr">
        <is>
          <t>un morceau de</t>
        </is>
      </c>
    </row>
    <row r="937">
      <c r="A937" s="30" t="inlineStr">
        <is>
          <t>moteur</t>
        </is>
      </c>
      <c r="B937" s="26">
        <f>IFERROR(INDEX(Mots!$B:$B,MATCH($A937,Mots!$A:$A,0)),"introuvable")</f>
        <v/>
      </c>
      <c r="C937" s="30" t="inlineStr">
        <is>
          <t>Le moteur de la voiture ne démarre pas.</t>
        </is>
      </c>
    </row>
    <row r="938">
      <c r="A938" s="30" t="inlineStr">
        <is>
          <t>mouvement</t>
        </is>
      </c>
      <c r="B938" s="26">
        <f>IFERROR(INDEX(Mots!$B:$B,MATCH($A938,Mots!$A:$A,0)),"introuvable")</f>
        <v/>
      </c>
      <c r="C938" s="30" t="inlineStr">
        <is>
          <t>Il fait un mouvement du bras.</t>
        </is>
      </c>
    </row>
    <row r="939">
      <c r="A939" s="30" t="inlineStr">
        <is>
          <t>niveau</t>
        </is>
      </c>
      <c r="B939" s="26">
        <f>IFERROR(INDEX(Mots!$B:$B,MATCH($A939,Mots!$A:$A,0)),"introuvable")</f>
        <v/>
      </c>
      <c r="C939" s="30" t="inlineStr">
        <is>
          <t>Le niveau de l'eau a monté.</t>
        </is>
      </c>
    </row>
    <row r="940">
      <c r="A940" s="30" t="inlineStr">
        <is>
          <t>nombre</t>
        </is>
      </c>
      <c r="B940" s="26">
        <f>IFERROR(INDEX(Mots!$B:$B,MATCH($A940,Mots!$A:$A,0)),"introuvable")</f>
        <v/>
      </c>
      <c r="C940" s="30" t="inlineStr">
        <is>
          <t>Écris le nombre en chiffres.</t>
        </is>
      </c>
    </row>
    <row r="941">
      <c r="A941" s="30" t="inlineStr">
        <is>
          <t>noyau</t>
        </is>
      </c>
      <c r="B941" s="26">
        <f>IFERROR(INDEX(Mots!$B:$B,MATCH($A941,Mots!$A:$A,0)),"introuvable")</f>
        <v/>
      </c>
      <c r="C941" s="30" t="inlineStr">
        <is>
          <t>Attention au noyau de la cerise.</t>
        </is>
      </c>
    </row>
    <row r="942">
      <c r="A942" s="30" t="inlineStr">
        <is>
          <t>nuage</t>
        </is>
      </c>
      <c r="B942" s="26">
        <f>IFERROR(INDEX(Mots!$B:$B,MATCH($A942,Mots!$A:$A,0)),"introuvable")</f>
        <v/>
      </c>
      <c r="C942" s="30" t="inlineStr">
        <is>
          <t>Un nuage cache le soleil.</t>
        </is>
      </c>
    </row>
    <row r="943">
      <c r="A943" s="30" t="inlineStr">
        <is>
          <t>panier</t>
        </is>
      </c>
      <c r="B943" s="26">
        <f>IFERROR(INDEX(Mots!$B:$B,MATCH($A943,Mots!$A:$A,0)),"introuvable")</f>
        <v/>
      </c>
      <c r="C943" s="30" t="inlineStr">
        <is>
          <t>Je pose le panier sur la table.</t>
        </is>
      </c>
      <c r="I943" s="30" t="inlineStr">
        <is>
          <t>un panier de courses</t>
        </is>
      </c>
    </row>
    <row r="944">
      <c r="A944" s="30" t="inlineStr">
        <is>
          <t>panneau</t>
        </is>
      </c>
      <c r="B944" s="26">
        <f>IFERROR(INDEX(Mots!$B:$B,MATCH($A944,Mots!$A:$A,0)),"introuvable")</f>
        <v/>
      </c>
      <c r="C944" s="30" t="inlineStr">
        <is>
          <t>Le panneau indique la sortie du village.</t>
        </is>
      </c>
    </row>
    <row r="945">
      <c r="A945" s="30" t="inlineStr">
        <is>
          <t>pansement</t>
        </is>
      </c>
      <c r="B945" s="26">
        <f>IFERROR(INDEX(Mots!$B:$B,MATCH($A945,Mots!$A:$A,0)),"introuvable")</f>
        <v/>
      </c>
      <c r="C945" s="30" t="inlineStr">
        <is>
          <t>Je mets un pansement sur la coupure.</t>
        </is>
      </c>
      <c r="I945" s="30" t="inlineStr">
        <is>
          <t>mettre un pansement</t>
        </is>
      </c>
    </row>
    <row r="946">
      <c r="A946" s="30" t="inlineStr">
        <is>
          <t>papier</t>
        </is>
      </c>
      <c r="B946" s="26">
        <f>IFERROR(INDEX(Mots!$B:$B,MATCH($A946,Mots!$A:$A,0)),"introuvable")</f>
        <v/>
      </c>
      <c r="C946" s="30" t="inlineStr">
        <is>
          <t>J'écris sur une feuille de papier.</t>
        </is>
      </c>
      <c r="I946" s="30" t="inlineStr">
        <is>
          <t>une feuille de papier</t>
        </is>
      </c>
    </row>
    <row r="947">
      <c r="A947" s="30" t="inlineStr">
        <is>
          <t>parapluie</t>
        </is>
      </c>
      <c r="B947" s="26">
        <f>IFERROR(INDEX(Mots!$B:$B,MATCH($A947,Mots!$A:$A,0)),"introuvable")</f>
        <v/>
      </c>
      <c r="C947" s="30" t="inlineStr">
        <is>
          <t>J'ouvre le parapluie, il pleut.</t>
        </is>
      </c>
      <c r="I947" s="30" t="inlineStr">
        <is>
          <t>ouvrir le parapluie</t>
        </is>
      </c>
    </row>
    <row r="948">
      <c r="A948" s="30" t="inlineStr">
        <is>
          <t>pays</t>
        </is>
      </c>
      <c r="B948" s="26">
        <f>IFERROR(INDEX(Mots!$B:$B,MATCH($A948,Mots!$A:$A,0)),"introuvable")</f>
        <v/>
      </c>
      <c r="C948" s="30" t="inlineStr">
        <is>
          <t>La Suisse est un petit pays.</t>
        </is>
      </c>
    </row>
    <row r="949">
      <c r="A949" s="30" t="inlineStr">
        <is>
          <t>paysage</t>
        </is>
      </c>
      <c r="B949" s="26">
        <f>IFERROR(INDEX(Mots!$B:$B,MATCH($A949,Mots!$A:$A,0)),"introuvable")</f>
        <v/>
      </c>
      <c r="C949" s="30" t="inlineStr">
        <is>
          <t>Le paysage est magnifique depuis le chalet.</t>
        </is>
      </c>
    </row>
    <row r="950">
      <c r="A950" s="30" t="inlineStr">
        <is>
          <t>permis</t>
        </is>
      </c>
      <c r="B950" s="26">
        <f>IFERROR(INDEX(Mots!$B:$B,MATCH($A950,Mots!$A:$A,0)),"introuvable")</f>
        <v/>
      </c>
      <c r="C950" s="30" t="inlineStr">
        <is>
          <t>J'ai mon permis depuis quarante ans.</t>
        </is>
      </c>
      <c r="I950" s="30" t="inlineStr">
        <is>
          <t>passer son permis</t>
        </is>
      </c>
    </row>
    <row r="951">
      <c r="A951" s="30" t="inlineStr">
        <is>
          <t>piment</t>
        </is>
      </c>
      <c r="B951" s="26">
        <f>IFERROR(INDEX(Mots!$B:$B,MATCH($A951,Mots!$A:$A,0)),"introuvable")</f>
        <v/>
      </c>
      <c r="C951" s="30" t="inlineStr">
        <is>
          <t>Le piment pique beaucoup.</t>
        </is>
      </c>
    </row>
    <row r="952">
      <c r="A952" s="30" t="inlineStr">
        <is>
          <t>pinceau</t>
        </is>
      </c>
      <c r="B952" s="26">
        <f>IFERROR(INDEX(Mots!$B:$B,MATCH($A952,Mots!$A:$A,0)),"introuvable")</f>
        <v/>
      </c>
      <c r="C952" s="30" t="inlineStr">
        <is>
          <t>Je nettoie le pinceau après avoir peint.</t>
        </is>
      </c>
      <c r="I952" s="30" t="inlineStr">
        <is>
          <t>un coup de pinceau</t>
        </is>
      </c>
    </row>
    <row r="953">
      <c r="A953" s="30" t="inlineStr">
        <is>
          <t>pique_nique</t>
        </is>
      </c>
      <c r="B953" s="26">
        <f>IFERROR(INDEX(Mots!$B:$B,MATCH($A953,Mots!$A:$A,0)),"introuvable")</f>
        <v/>
      </c>
      <c r="C953" s="30" t="inlineStr">
        <is>
          <t>On fait un pique-nique au bord du lac.</t>
        </is>
      </c>
      <c r="I953" s="30" t="inlineStr">
        <is>
          <t>faire un pique-nique</t>
        </is>
      </c>
    </row>
    <row r="954">
      <c r="A954" s="30" t="inlineStr">
        <is>
          <t>plafond</t>
        </is>
      </c>
      <c r="B954" s="26">
        <f>IFERROR(INDEX(Mots!$B:$B,MATCH($A954,Mots!$A:$A,0)),"introuvable")</f>
        <v/>
      </c>
      <c r="C954" s="30" t="inlineStr">
        <is>
          <t>La lampe est fixée au plafond.</t>
        </is>
      </c>
    </row>
    <row r="955">
      <c r="A955" s="30" t="inlineStr">
        <is>
          <t>plancher</t>
        </is>
      </c>
      <c r="B955" s="26">
        <f>IFERROR(INDEX(Mots!$B:$B,MATCH($A955,Mots!$A:$A,0)),"introuvable")</f>
        <v/>
      </c>
      <c r="C955" s="30" t="inlineStr">
        <is>
          <t>Le plancher craque quand on marche.</t>
        </is>
      </c>
    </row>
    <row r="956">
      <c r="A956" s="30" t="inlineStr">
        <is>
          <t>plastique</t>
        </is>
      </c>
      <c r="B956" s="26">
        <f>IFERROR(INDEX(Mots!$B:$B,MATCH($A956,Mots!$A:$A,0)),"introuvable")</f>
        <v/>
      </c>
      <c r="C956" s="30" t="inlineStr">
        <is>
          <t>La bouteille est en plastique.</t>
        </is>
      </c>
      <c r="I956" s="30" t="inlineStr">
        <is>
          <t>en plastique</t>
        </is>
      </c>
    </row>
    <row r="957">
      <c r="A957" s="30" t="inlineStr">
        <is>
          <t>plat</t>
        </is>
      </c>
      <c r="B957" s="26">
        <f>IFERROR(INDEX(Mots!$B:$B,MATCH($A957,Mots!$A:$A,0)),"introuvable")</f>
        <v/>
      </c>
      <c r="C957" s="30" t="inlineStr">
        <is>
          <t>Je sers le plat bien chaud.</t>
        </is>
      </c>
      <c r="I957" s="30" t="inlineStr">
        <is>
          <t>un plat chaud</t>
        </is>
      </c>
    </row>
    <row r="958">
      <c r="A958" s="30" t="inlineStr">
        <is>
          <t>poil</t>
        </is>
      </c>
      <c r="B958" s="26">
        <f>IFERROR(INDEX(Mots!$B:$B,MATCH($A958,Mots!$A:$A,0)),"introuvable")</f>
        <v/>
      </c>
      <c r="C958" s="30" t="inlineStr">
        <is>
          <t>Le chat perd ses poils au printemps.</t>
        </is>
      </c>
    </row>
    <row r="959">
      <c r="A959" s="30" t="inlineStr">
        <is>
          <t>point</t>
        </is>
      </c>
      <c r="B959" s="26">
        <f>IFERROR(INDEX(Mots!$B:$B,MATCH($A959,Mots!$A:$A,0)),"introuvable")</f>
        <v/>
      </c>
      <c r="C959" s="30" t="inlineStr">
        <is>
          <t>Notre équipe a gagné trois points.</t>
        </is>
      </c>
      <c r="I959" s="30" t="inlineStr">
        <is>
          <t>marquer un point</t>
        </is>
      </c>
    </row>
    <row r="960">
      <c r="A960" s="30" t="inlineStr">
        <is>
          <t>portefeuille</t>
        </is>
      </c>
      <c r="B960" s="26">
        <f>IFERROR(INDEX(Mots!$B:$B,MATCH($A960,Mots!$A:$A,0)),"introuvable")</f>
        <v/>
      </c>
      <c r="C960" s="30" t="inlineStr">
        <is>
          <t>Mon portefeuille est dans la poche.</t>
        </is>
      </c>
    </row>
    <row r="961">
      <c r="A961" s="30" t="inlineStr">
        <is>
          <t>porte_manteau</t>
        </is>
      </c>
      <c r="B961" s="26">
        <f>IFERROR(INDEX(Mots!$B:$B,MATCH($A961,Mots!$A:$A,0)),"introuvable")</f>
        <v/>
      </c>
      <c r="C961" s="30" t="inlineStr">
        <is>
          <t>J'accroche la veste au porte-manteau.</t>
        </is>
      </c>
    </row>
    <row r="962">
      <c r="A962" s="30" t="inlineStr">
        <is>
          <t>prix</t>
        </is>
      </c>
      <c r="B962" s="26">
        <f>IFERROR(INDEX(Mots!$B:$B,MATCH($A962,Mots!$A:$A,0)),"introuvable")</f>
        <v/>
      </c>
      <c r="C962" s="30" t="inlineStr">
        <is>
          <t>Le prix est écrit sur l'étiquette.</t>
        </is>
      </c>
      <c r="I962" s="30" t="inlineStr">
        <is>
          <t>coûter un bon prix</t>
        </is>
      </c>
    </row>
    <row r="963">
      <c r="A963" s="30" t="inlineStr">
        <is>
          <t>probleme</t>
        </is>
      </c>
      <c r="B963" s="26">
        <f>IFERROR(INDEX(Mots!$B:$B,MATCH($A963,Mots!$A:$A,0)),"introuvable")</f>
        <v/>
      </c>
      <c r="C963" s="30" t="inlineStr">
        <is>
          <t>Nous avons résolu le problème.</t>
        </is>
      </c>
      <c r="I963" s="30" t="inlineStr">
        <is>
          <t>avoir un problème</t>
        </is>
      </c>
    </row>
    <row r="964">
      <c r="A964" s="30" t="inlineStr">
        <is>
          <t>puzzle</t>
        </is>
      </c>
      <c r="B964" s="26">
        <f>IFERROR(INDEX(Mots!$B:$B,MATCH($A964,Mots!$A:$A,0)),"introuvable")</f>
        <v/>
      </c>
      <c r="C964" s="30" t="inlineStr">
        <is>
          <t>Le puzzle a mille pièces.</t>
        </is>
      </c>
      <c r="I964" s="30" t="inlineStr">
        <is>
          <t>faire un puzzle</t>
        </is>
      </c>
    </row>
    <row r="965">
      <c r="A965" s="30" t="inlineStr">
        <is>
          <t>quartier</t>
        </is>
      </c>
      <c r="B965" s="26">
        <f>IFERROR(INDEX(Mots!$B:$B,MATCH($A965,Mots!$A:$A,0)),"introuvable")</f>
        <v/>
      </c>
      <c r="C965" s="30" t="inlineStr">
        <is>
          <t>Je connais bien ce quartier.</t>
        </is>
      </c>
    </row>
    <row r="966">
      <c r="A966" s="30" t="inlineStr">
        <is>
          <t>recipient</t>
        </is>
      </c>
      <c r="B966" s="26">
        <f>IFERROR(INDEX(Mots!$B:$B,MATCH($A966,Mots!$A:$A,0)),"introuvable")</f>
        <v/>
      </c>
      <c r="C966" s="30" t="inlineStr">
        <is>
          <t>Je verse l'eau dans un récipient.</t>
        </is>
      </c>
    </row>
    <row r="967">
      <c r="A967" s="30" t="inlineStr">
        <is>
          <t>recit</t>
        </is>
      </c>
      <c r="B967" s="26">
        <f>IFERROR(INDEX(Mots!$B:$B,MATCH($A967,Mots!$A:$A,0)),"introuvable")</f>
        <v/>
      </c>
      <c r="C967" s="30" t="inlineStr">
        <is>
          <t>Son récit du voyage était passionnant.</t>
        </is>
      </c>
      <c r="I967" s="30" t="inlineStr">
        <is>
          <t>faire le récit</t>
        </is>
      </c>
    </row>
    <row r="968">
      <c r="A968" s="30" t="inlineStr">
        <is>
          <t>recu</t>
        </is>
      </c>
      <c r="B968" s="26">
        <f>IFERROR(INDEX(Mots!$B:$B,MATCH($A968,Mots!$A:$A,0)),"introuvable")</f>
        <v/>
      </c>
      <c r="C968" s="30" t="inlineStr">
        <is>
          <t>Je garde le reçu pour la garantie.</t>
        </is>
      </c>
      <c r="I968" s="30" t="inlineStr">
        <is>
          <t>demander un reçu</t>
        </is>
      </c>
    </row>
    <row r="969">
      <c r="A969" s="30" t="inlineStr">
        <is>
          <t>reflet</t>
        </is>
      </c>
      <c r="B969" s="26">
        <f>IFERROR(INDEX(Mots!$B:$B,MATCH($A969,Mots!$A:$A,0)),"introuvable")</f>
        <v/>
      </c>
      <c r="C969" s="30" t="inlineStr">
        <is>
          <t>Je vois mon reflet dans la vitre.</t>
        </is>
      </c>
    </row>
    <row r="970">
      <c r="A970" s="30" t="inlineStr">
        <is>
          <t>regret</t>
        </is>
      </c>
      <c r="B970" s="26">
        <f>IFERROR(INDEX(Mots!$B:$B,MATCH($A970,Mots!$A:$A,0)),"introuvable")</f>
        <v/>
      </c>
      <c r="C970" s="30" t="inlineStr">
        <is>
          <t>Il part sans regret.</t>
        </is>
      </c>
      <c r="I970" s="30" t="inlineStr">
        <is>
          <t>avoir des regrets</t>
        </is>
      </c>
    </row>
    <row r="971">
      <c r="A971" s="30" t="inlineStr">
        <is>
          <t>relief</t>
        </is>
      </c>
      <c r="B971" s="26">
        <f>IFERROR(INDEX(Mots!$B:$B,MATCH($A971,Mots!$A:$A,0)),"introuvable")</f>
        <v/>
      </c>
      <c r="C971" s="30" t="inlineStr">
        <is>
          <t>Le relief de la région est très marqué.</t>
        </is>
      </c>
    </row>
    <row r="972">
      <c r="A972" s="30" t="inlineStr">
        <is>
          <t>remede</t>
        </is>
      </c>
      <c r="B972" s="26">
        <f>IFERROR(INDEX(Mots!$B:$B,MATCH($A972,Mots!$A:$A,0)),"introuvable")</f>
        <v/>
      </c>
      <c r="C972" s="30" t="inlineStr">
        <is>
          <t>Le meilleur remède, c'est le repos.</t>
        </is>
      </c>
    </row>
    <row r="973">
      <c r="A973" s="30" t="inlineStr">
        <is>
          <t>repas</t>
        </is>
      </c>
      <c r="B973" s="26">
        <f>IFERROR(INDEX(Mots!$B:$B,MATCH($A973,Mots!$A:$A,0)),"introuvable")</f>
        <v/>
      </c>
      <c r="C973" s="30" t="inlineStr">
        <is>
          <t>Le repas est prêt à midi.</t>
        </is>
      </c>
      <c r="I973" s="30" t="inlineStr">
        <is>
          <t>préparer le repas</t>
        </is>
      </c>
    </row>
    <row r="974">
      <c r="A974" s="30" t="inlineStr">
        <is>
          <t>respect</t>
        </is>
      </c>
      <c r="B974" s="26">
        <f>IFERROR(INDEX(Mots!$B:$B,MATCH($A974,Mots!$A:$A,0)),"introuvable")</f>
        <v/>
      </c>
      <c r="C974" s="30" t="inlineStr">
        <is>
          <t>Il parle avec respect de son ancien patron.</t>
        </is>
      </c>
      <c r="I974" s="30" t="inlineStr">
        <is>
          <t>avec respect</t>
        </is>
      </c>
    </row>
    <row r="975">
      <c r="A975" s="30" t="inlineStr">
        <is>
          <t>resultat</t>
        </is>
      </c>
      <c r="B975" s="26">
        <f>IFERROR(INDEX(Mots!$B:$B,MATCH($A975,Mots!$A:$A,0)),"introuvable")</f>
        <v/>
      </c>
      <c r="C975" s="30" t="inlineStr">
        <is>
          <t>Le résultat du concours arrive demain.</t>
        </is>
      </c>
    </row>
    <row r="976">
      <c r="A976" s="30" t="inlineStr">
        <is>
          <t>rhume</t>
        </is>
      </c>
      <c r="B976" s="26">
        <f>IFERROR(INDEX(Mots!$B:$B,MATCH($A976,Mots!$A:$A,0)),"introuvable")</f>
        <v/>
      </c>
      <c r="C976" s="30" t="inlineStr">
        <is>
          <t>J'ai attrapé un rhume.</t>
        </is>
      </c>
      <c r="I976" s="30" t="inlineStr">
        <is>
          <t>attraper un rhume</t>
        </is>
      </c>
    </row>
    <row r="977">
      <c r="A977" s="30" t="inlineStr">
        <is>
          <t>rideau</t>
        </is>
      </c>
      <c r="B977" s="26">
        <f>IFERROR(INDEX(Mots!$B:$B,MATCH($A977,Mots!$A:$A,0)),"introuvable")</f>
        <v/>
      </c>
      <c r="C977" s="30" t="inlineStr">
        <is>
          <t>Je tire les rideaux le soir.</t>
        </is>
      </c>
      <c r="I977" s="30" t="inlineStr">
        <is>
          <t>tirer les rideaux</t>
        </is>
      </c>
    </row>
    <row r="978">
      <c r="A978" s="30" t="inlineStr">
        <is>
          <t>risque</t>
        </is>
      </c>
      <c r="B978" s="26">
        <f>IFERROR(INDEX(Mots!$B:$B,MATCH($A978,Mots!$A:$A,0)),"introuvable")</f>
        <v/>
      </c>
      <c r="C978" s="30" t="inlineStr">
        <is>
          <t>Il n'y a aucun risque.</t>
        </is>
      </c>
      <c r="I978" s="30" t="inlineStr">
        <is>
          <t>prendre un risque</t>
        </is>
      </c>
    </row>
    <row r="979">
      <c r="A979" s="30" t="inlineStr">
        <is>
          <t>ruban</t>
        </is>
      </c>
      <c r="B979" s="26">
        <f>IFERROR(INDEX(Mots!$B:$B,MATCH($A979,Mots!$A:$A,0)),"introuvable")</f>
        <v/>
      </c>
      <c r="C979" s="30" t="inlineStr">
        <is>
          <t>Le cadeau est fermé par un ruban.</t>
        </is>
      </c>
    </row>
    <row r="980">
      <c r="A980" s="30" t="inlineStr">
        <is>
          <t>rythme</t>
        </is>
      </c>
      <c r="B980" s="26">
        <f>IFERROR(INDEX(Mots!$B:$B,MATCH($A980,Mots!$A:$A,0)),"introuvable")</f>
        <v/>
      </c>
      <c r="C980" s="30" t="inlineStr">
        <is>
          <t>Le tambour donne le rythme.</t>
        </is>
      </c>
      <c r="I980" s="30" t="inlineStr">
        <is>
          <t>en rythme</t>
        </is>
      </c>
    </row>
    <row r="981">
      <c r="A981" s="30" t="inlineStr">
        <is>
          <t>sable</t>
        </is>
      </c>
      <c r="B981" s="26">
        <f>IFERROR(INDEX(Mots!$B:$B,MATCH($A981,Mots!$A:$A,0)),"introuvable")</f>
        <v/>
      </c>
      <c r="C981" s="30" t="inlineStr">
        <is>
          <t>Les enfants jouent dans le sable.</t>
        </is>
      </c>
    </row>
    <row r="982">
      <c r="A982" s="30" t="inlineStr">
        <is>
          <t>sac</t>
        </is>
      </c>
      <c r="B982" s="26">
        <f>IFERROR(INDEX(Mots!$B:$B,MATCH($A982,Mots!$A:$A,0)),"introuvable")</f>
        <v/>
      </c>
      <c r="C982" s="30" t="inlineStr">
        <is>
          <t>Je porte le sac de commissions.</t>
        </is>
      </c>
      <c r="I982" s="30" t="inlineStr">
        <is>
          <t>porter un sac</t>
        </is>
      </c>
    </row>
    <row r="983">
      <c r="A983" s="30" t="inlineStr">
        <is>
          <t>sac_a_dos</t>
        </is>
      </c>
      <c r="B983" s="26">
        <f>IFERROR(INDEX(Mots!$B:$B,MATCH($A983,Mots!$A:$A,0)),"introuvable")</f>
        <v/>
      </c>
      <c r="C983" s="30" t="inlineStr">
        <is>
          <t>Je mets le pique-nique dans le sac à dos.</t>
        </is>
      </c>
    </row>
    <row r="984">
      <c r="A984" s="30" t="inlineStr">
        <is>
          <t>seau</t>
        </is>
      </c>
      <c r="B984" s="26">
        <f>IFERROR(INDEX(Mots!$B:$B,MATCH($A984,Mots!$A:$A,0)),"introuvable")</f>
        <v/>
      </c>
      <c r="C984" s="30" t="inlineStr">
        <is>
          <t>Je remplis le seau d'eau.</t>
        </is>
      </c>
      <c r="I984" s="30" t="inlineStr">
        <is>
          <t>un seau d'eau</t>
        </is>
      </c>
    </row>
    <row r="985">
      <c r="A985" s="30" t="inlineStr">
        <is>
          <t>secours</t>
        </is>
      </c>
      <c r="B985" s="26">
        <f>IFERROR(INDEX(Mots!$B:$B,MATCH($A985,Mots!$A:$A,0)),"introuvable")</f>
        <v/>
      </c>
      <c r="C985" s="30" t="inlineStr">
        <is>
          <t>Les secours sont arrivés très vite.</t>
        </is>
      </c>
      <c r="I985" s="30" t="inlineStr">
        <is>
          <t>appeler les secours</t>
        </is>
      </c>
    </row>
    <row r="986">
      <c r="A986" s="30" t="inlineStr">
        <is>
          <t>secret</t>
        </is>
      </c>
      <c r="B986" s="26">
        <f>IFERROR(INDEX(Mots!$B:$B,MATCH($A986,Mots!$A:$A,0)),"introuvable")</f>
        <v/>
      </c>
      <c r="C986" s="30" t="inlineStr">
        <is>
          <t>Je garde le secret.</t>
        </is>
      </c>
      <c r="I986" s="30" t="inlineStr">
        <is>
          <t>garder un secret</t>
        </is>
      </c>
    </row>
    <row r="987">
      <c r="A987" s="30" t="inlineStr">
        <is>
          <t>sentier</t>
        </is>
      </c>
      <c r="B987" s="26">
        <f>IFERROR(INDEX(Mots!$B:$B,MATCH($A987,Mots!$A:$A,0)),"introuvable")</f>
        <v/>
      </c>
      <c r="C987" s="30" t="inlineStr">
        <is>
          <t>Le sentier monte à travers la forêt.</t>
        </is>
      </c>
      <c r="I987" s="30" t="inlineStr">
        <is>
          <t>suivre le sentier</t>
        </is>
      </c>
    </row>
    <row r="988">
      <c r="A988" s="30" t="inlineStr">
        <is>
          <t>service</t>
        </is>
      </c>
      <c r="B988" s="26">
        <f>IFERROR(INDEX(Mots!$B:$B,MATCH($A988,Mots!$A:$A,0)),"introuvable")</f>
        <v/>
      </c>
      <c r="C988" s="30" t="inlineStr">
        <is>
          <t>Peux-tu me rendre un service ?</t>
        </is>
      </c>
      <c r="I988" s="30" t="inlineStr">
        <is>
          <t>rendre service</t>
        </is>
      </c>
    </row>
    <row r="989">
      <c r="A989" s="30" t="inlineStr">
        <is>
          <t>signe</t>
        </is>
      </c>
      <c r="B989" s="26">
        <f>IFERROR(INDEX(Mots!$B:$B,MATCH($A989,Mots!$A:$A,0)),"introuvable")</f>
        <v/>
      </c>
      <c r="C989" s="30" t="inlineStr">
        <is>
          <t>Il me fait signe de la main.</t>
        </is>
      </c>
      <c r="I989" s="30" t="inlineStr">
        <is>
          <t>faire signe</t>
        </is>
      </c>
    </row>
    <row r="990">
      <c r="A990" s="30" t="inlineStr">
        <is>
          <t>silence</t>
        </is>
      </c>
      <c r="B990" s="26">
        <f>IFERROR(INDEX(Mots!$B:$B,MATCH($A990,Mots!$A:$A,0)),"introuvable")</f>
        <v/>
      </c>
      <c r="C990" s="30" t="inlineStr">
        <is>
          <t>Le silence est complet dans la salle.</t>
        </is>
      </c>
      <c r="I990" s="30" t="inlineStr">
        <is>
          <t>en silence</t>
        </is>
      </c>
    </row>
    <row r="991">
      <c r="A991" s="30" t="inlineStr">
        <is>
          <t>sol</t>
        </is>
      </c>
      <c r="B991" s="26">
        <f>IFERROR(INDEX(Mots!$B:$B,MATCH($A991,Mots!$A:$A,0)),"introuvable")</f>
        <v/>
      </c>
      <c r="C991" s="30" t="inlineStr">
        <is>
          <t>Le sol est mouillé, attention.</t>
        </is>
      </c>
      <c r="I991" s="30" t="inlineStr">
        <is>
          <t>par terre</t>
        </is>
      </c>
    </row>
    <row r="992">
      <c r="A992" s="30" t="inlineStr">
        <is>
          <t>sommeil</t>
        </is>
      </c>
      <c r="B992" s="26">
        <f>IFERROR(INDEX(Mots!$B:$B,MATCH($A992,Mots!$A:$A,0)),"introuvable")</f>
        <v/>
      </c>
      <c r="C992" s="30" t="inlineStr">
        <is>
          <t>J'ai sommeil, je vais me coucher.</t>
        </is>
      </c>
      <c r="I992" s="30" t="inlineStr">
        <is>
          <t>avoir sommeil</t>
        </is>
      </c>
    </row>
    <row r="993">
      <c r="A993" s="30" t="inlineStr">
        <is>
          <t>souhait</t>
        </is>
      </c>
      <c r="B993" s="26">
        <f>IFERROR(INDEX(Mots!$B:$B,MATCH($A993,Mots!$A:$A,0)),"introuvable")</f>
        <v/>
      </c>
      <c r="C993" s="30" t="inlineStr">
        <is>
          <t>Il fait un souhait en soufflant les bougies.</t>
        </is>
      </c>
      <c r="I993" s="30" t="inlineStr">
        <is>
          <t>faire un souhait</t>
        </is>
      </c>
    </row>
    <row r="994">
      <c r="A994" s="30" t="inlineStr">
        <is>
          <t>sport</t>
        </is>
      </c>
      <c r="B994" s="26">
        <f>IFERROR(INDEX(Mots!$B:$B,MATCH($A994,Mots!$A:$A,0)),"introuvable")</f>
        <v/>
      </c>
      <c r="C994" s="30" t="inlineStr">
        <is>
          <t>Le sport fait du bien.</t>
        </is>
      </c>
      <c r="I994" s="30" t="inlineStr">
        <is>
          <t>faire du sport</t>
        </is>
      </c>
    </row>
    <row r="995">
      <c r="A995" s="30" t="inlineStr">
        <is>
          <t>stade</t>
        </is>
      </c>
      <c r="B995" s="26">
        <f>IFERROR(INDEX(Mots!$B:$B,MATCH($A995,Mots!$A:$A,0)),"introuvable")</f>
        <v/>
      </c>
      <c r="C995" s="30" t="inlineStr">
        <is>
          <t>Le match a lieu au stade.</t>
        </is>
      </c>
    </row>
    <row r="996">
      <c r="A996" s="30" t="inlineStr">
        <is>
          <t>stylo</t>
        </is>
      </c>
      <c r="B996" s="26">
        <f>IFERROR(INDEX(Mots!$B:$B,MATCH($A996,Mots!$A:$A,0)),"introuvable")</f>
        <v/>
      </c>
      <c r="C996" s="30" t="inlineStr">
        <is>
          <t>J'écris au stylo bleu.</t>
        </is>
      </c>
    </row>
    <row r="997">
      <c r="A997" s="30" t="inlineStr">
        <is>
          <t>tableau</t>
        </is>
      </c>
      <c r="B997" s="26">
        <f>IFERROR(INDEX(Mots!$B:$B,MATCH($A997,Mots!$A:$A,0)),"introuvable")</f>
        <v/>
      </c>
      <c r="C997" s="30" t="inlineStr">
        <is>
          <t>Un beau tableau est accroché au mur.</t>
        </is>
      </c>
    </row>
    <row r="998">
      <c r="A998" s="30" t="inlineStr">
        <is>
          <t>tablier</t>
        </is>
      </c>
      <c r="B998" s="26">
        <f>IFERROR(INDEX(Mots!$B:$B,MATCH($A998,Mots!$A:$A,0)),"introuvable")</f>
        <v/>
      </c>
      <c r="C998" s="30" t="inlineStr">
        <is>
          <t>Je mets un tablier pour cuisiner.</t>
        </is>
      </c>
      <c r="I998" s="30" t="inlineStr">
        <is>
          <t>mettre un tablier</t>
        </is>
      </c>
    </row>
    <row r="999">
      <c r="A999" s="30" t="inlineStr">
        <is>
          <t>tas</t>
        </is>
      </c>
      <c r="B999" s="26">
        <f>IFERROR(INDEX(Mots!$B:$B,MATCH($A999,Mots!$A:$A,0)),"introuvable")</f>
        <v/>
      </c>
      <c r="C999" s="30" t="inlineStr">
        <is>
          <t>Il y a un tas de bois derrière la maison.</t>
        </is>
      </c>
      <c r="I999" s="30" t="inlineStr">
        <is>
          <t>un tas de</t>
        </is>
      </c>
    </row>
    <row r="1000">
      <c r="A1000" s="30" t="inlineStr">
        <is>
          <t>terrain</t>
        </is>
      </c>
      <c r="B1000" s="26">
        <f>IFERROR(INDEX(Mots!$B:$B,MATCH($A1000,Mots!$A:$A,0)),"introuvable")</f>
        <v/>
      </c>
      <c r="C1000" s="30" t="inlineStr">
        <is>
          <t>Le terrain de foot est mouillé.</t>
        </is>
      </c>
    </row>
    <row r="1001">
      <c r="A1001" s="30" t="inlineStr">
        <is>
          <t>territoire</t>
        </is>
      </c>
      <c r="B1001" s="26">
        <f>IFERROR(INDEX(Mots!$B:$B,MATCH($A1001,Mots!$A:$A,0)),"introuvable")</f>
        <v/>
      </c>
      <c r="C1001" s="30" t="inlineStr">
        <is>
          <t>Le chamois défend son territoire.</t>
        </is>
      </c>
    </row>
    <row r="1002">
      <c r="A1002" s="30" t="inlineStr">
        <is>
          <t>texte</t>
        </is>
      </c>
      <c r="B1002" s="26">
        <f>IFERROR(INDEX(Mots!$B:$B,MATCH($A1002,Mots!$A:$A,0)),"introuvable")</f>
        <v/>
      </c>
      <c r="C1002" s="30" t="inlineStr">
        <is>
          <t>Je relis le texte avant de l'envoyer.</t>
        </is>
      </c>
    </row>
    <row r="1003">
      <c r="A1003" s="30" t="inlineStr">
        <is>
          <t>thermometre</t>
        </is>
      </c>
      <c r="B1003" s="26">
        <f>IFERROR(INDEX(Mots!$B:$B,MATCH($A1003,Mots!$A:$A,0)),"introuvable")</f>
        <v/>
      </c>
      <c r="C1003" s="30" t="inlineStr">
        <is>
          <t>Le thermomètre indique trente degrés.</t>
        </is>
      </c>
    </row>
    <row r="1004">
      <c r="A1004" s="30" t="inlineStr">
        <is>
          <t>timbre</t>
        </is>
      </c>
      <c r="B1004" s="26">
        <f>IFERROR(INDEX(Mots!$B:$B,MATCH($A1004,Mots!$A:$A,0)),"introuvable")</f>
        <v/>
      </c>
      <c r="C1004" s="30" t="inlineStr">
        <is>
          <t>Je colle un timbre sur l'enveloppe.</t>
        </is>
      </c>
      <c r="I1004" s="30" t="inlineStr">
        <is>
          <t>coller un timbre</t>
        </is>
      </c>
    </row>
    <row r="1005">
      <c r="A1005" s="30" t="inlineStr">
        <is>
          <t>tiroir</t>
        </is>
      </c>
      <c r="B1005" s="26">
        <f>IFERROR(INDEX(Mots!$B:$B,MATCH($A1005,Mots!$A:$A,0)),"introuvable")</f>
        <v/>
      </c>
      <c r="C1005" s="30" t="inlineStr">
        <is>
          <t>Les couverts sont dans le tiroir.</t>
        </is>
      </c>
    </row>
    <row r="1006">
      <c r="A1006" s="30" t="inlineStr">
        <is>
          <t>tissu</t>
        </is>
      </c>
      <c r="B1006" s="26">
        <f>IFERROR(INDEX(Mots!$B:$B,MATCH($A1006,Mots!$A:$A,0)),"introuvable")</f>
        <v/>
      </c>
      <c r="C1006" s="30" t="inlineStr">
        <is>
          <t>Ce tissu est doux au toucher.</t>
        </is>
      </c>
    </row>
    <row r="1007">
      <c r="A1007" s="30" t="inlineStr">
        <is>
          <t>tonneaux</t>
        </is>
      </c>
      <c r="B1007" s="26">
        <f>IFERROR(INDEX(Mots!$B:$B,MATCH($A1007,Mots!$A:$A,0)),"introuvable")</f>
        <v/>
      </c>
      <c r="C1007" s="30" t="inlineStr">
        <is>
          <t>Le vin vieillit dans le tonneau.</t>
        </is>
      </c>
    </row>
    <row r="1008">
      <c r="A1008" s="30" t="inlineStr">
        <is>
          <t>tonnerre</t>
        </is>
      </c>
      <c r="B1008" s="26">
        <f>IFERROR(INDEX(Mots!$B:$B,MATCH($A1008,Mots!$A:$A,0)),"introuvable")</f>
        <v/>
      </c>
      <c r="C1008" s="30" t="inlineStr">
        <is>
          <t>Le tonnerre gronde au loin.</t>
        </is>
      </c>
      <c r="I1008" s="30" t="inlineStr">
        <is>
          <t>un coup de tonnerre</t>
        </is>
      </c>
    </row>
    <row r="1009">
      <c r="A1009" s="30" t="inlineStr">
        <is>
          <t>total</t>
        </is>
      </c>
      <c r="B1009" s="26">
        <f>IFERROR(INDEX(Mots!$B:$B,MATCH($A1009,Mots!$A:$A,0)),"introuvable")</f>
        <v/>
      </c>
      <c r="C1009" s="30" t="inlineStr">
        <is>
          <t>Le total fait cinquante francs.</t>
        </is>
      </c>
      <c r="I1009" s="30" t="inlineStr">
        <is>
          <t>au total</t>
        </is>
      </c>
    </row>
    <row r="1010">
      <c r="A1010" s="30" t="inlineStr">
        <is>
          <t>tournevis</t>
        </is>
      </c>
      <c r="B1010" s="26">
        <f>IFERROR(INDEX(Mots!$B:$B,MATCH($A1010,Mots!$A:$A,0)),"introuvable")</f>
        <v/>
      </c>
      <c r="C1010" s="30" t="inlineStr">
        <is>
          <t>Je serre la vis avec le tournevis.</t>
        </is>
      </c>
    </row>
    <row r="1011">
      <c r="A1011" s="30" t="inlineStr">
        <is>
          <t>trait</t>
        </is>
      </c>
      <c r="B1011" s="26">
        <f>IFERROR(INDEX(Mots!$B:$B,MATCH($A1011,Mots!$A:$A,0)),"introuvable")</f>
        <v/>
      </c>
      <c r="C1011" s="30" t="inlineStr">
        <is>
          <t>Je tire un trait sous le mot.</t>
        </is>
      </c>
      <c r="I1011" s="30" t="inlineStr">
        <is>
          <t>tirer un trait</t>
        </is>
      </c>
    </row>
    <row r="1012">
      <c r="A1012" s="30" t="inlineStr">
        <is>
          <t>travail</t>
        </is>
      </c>
      <c r="B1012" s="26">
        <f>IFERROR(INDEX(Mots!$B:$B,MATCH($A1012,Mots!$A:$A,0)),"introuvable")</f>
        <v/>
      </c>
      <c r="C1012" s="30" t="inlineStr">
        <is>
          <t>Le travail est bien fait.</t>
        </is>
      </c>
      <c r="I1012" s="30" t="inlineStr">
        <is>
          <t>aller au travail</t>
        </is>
      </c>
    </row>
    <row r="1013">
      <c r="A1013" s="30" t="inlineStr">
        <is>
          <t>tronc</t>
        </is>
      </c>
      <c r="B1013" s="26">
        <f>IFERROR(INDEX(Mots!$B:$B,MATCH($A1013,Mots!$A:$A,0)),"introuvable")</f>
        <v/>
      </c>
      <c r="C1013" s="30" t="inlineStr">
        <is>
          <t>Le tronc de l'arbre est très gros.</t>
        </is>
      </c>
    </row>
    <row r="1014">
      <c r="A1014" s="30" t="inlineStr">
        <is>
          <t>trottoir</t>
        </is>
      </c>
      <c r="B1014" s="26">
        <f>IFERROR(INDEX(Mots!$B:$B,MATCH($A1014,Mots!$A:$A,0)),"introuvable")</f>
        <v/>
      </c>
      <c r="C1014" s="30" t="inlineStr">
        <is>
          <t>On marche sur le trottoir.</t>
        </is>
      </c>
      <c r="I1014" s="30" t="inlineStr">
        <is>
          <t>sur le trottoir</t>
        </is>
      </c>
    </row>
    <row r="1015">
      <c r="A1015" s="30" t="inlineStr">
        <is>
          <t>trou</t>
        </is>
      </c>
      <c r="B1015" s="26">
        <f>IFERROR(INDEX(Mots!$B:$B,MATCH($A1015,Mots!$A:$A,0)),"introuvable")</f>
        <v/>
      </c>
      <c r="C1015" s="30" t="inlineStr">
        <is>
          <t>Il y a un trou dans la chaussette.</t>
        </is>
      </c>
      <c r="I1015" s="30" t="inlineStr">
        <is>
          <t>faire un trou</t>
        </is>
      </c>
    </row>
    <row r="1016">
      <c r="A1016" s="30" t="inlineStr">
        <is>
          <t>trousseau</t>
        </is>
      </c>
      <c r="B1016" s="26">
        <f>IFERROR(INDEX(Mots!$B:$B,MATCH($A1016,Mots!$A:$A,0)),"introuvable")</f>
        <v/>
      </c>
      <c r="C1016" s="30" t="inlineStr">
        <is>
          <t>J'ai perdu mon trousseau de clés.</t>
        </is>
      </c>
      <c r="I1016" s="30" t="inlineStr">
        <is>
          <t>un trousseau de clés</t>
        </is>
      </c>
    </row>
    <row r="1017">
      <c r="A1017" s="30" t="inlineStr">
        <is>
          <t>tuyau</t>
        </is>
      </c>
      <c r="B1017" s="26">
        <f>IFERROR(INDEX(Mots!$B:$B,MATCH($A1017,Mots!$A:$A,0)),"introuvable")</f>
        <v/>
      </c>
      <c r="C1017" s="30" t="inlineStr">
        <is>
          <t>L'eau passe par le tuyau.</t>
        </is>
      </c>
    </row>
    <row r="1018">
      <c r="A1018" s="30" t="inlineStr">
        <is>
          <t>type</t>
        </is>
      </c>
      <c r="B1018" s="26">
        <f>IFERROR(INDEX(Mots!$B:$B,MATCH($A1018,Mots!$A:$A,0)),"introuvable")</f>
        <v/>
      </c>
      <c r="C1018" s="30" t="inlineStr">
        <is>
          <t>Quel type de fromage préfères-tu ?</t>
        </is>
      </c>
      <c r="I1018" s="30" t="inlineStr">
        <is>
          <t>un type de</t>
        </is>
      </c>
    </row>
    <row r="1019">
      <c r="A1019" s="30" t="inlineStr">
        <is>
          <t>vaccin</t>
        </is>
      </c>
      <c r="B1019" s="26">
        <f>IFERROR(INDEX(Mots!$B:$B,MATCH($A1019,Mots!$A:$A,0)),"introuvable")</f>
        <v/>
      </c>
      <c r="C1019" s="30" t="inlineStr">
        <is>
          <t>Le vaccin protège contre la grippe.</t>
        </is>
      </c>
      <c r="I1019" s="30" t="inlineStr">
        <is>
          <t>faire un vaccin</t>
        </is>
      </c>
    </row>
    <row r="1020">
      <c r="A1020" s="30" t="inlineStr">
        <is>
          <t>velours</t>
        </is>
      </c>
      <c r="B1020" s="26">
        <f>IFERROR(INDEX(Mots!$B:$B,MATCH($A1020,Mots!$A:$A,0)),"introuvable")</f>
        <v/>
      </c>
      <c r="C1020" s="30" t="inlineStr">
        <is>
          <t>La veste en velours est confortable.</t>
        </is>
      </c>
    </row>
    <row r="1021">
      <c r="A1021" s="30" t="inlineStr">
        <is>
          <t>vent</t>
        </is>
      </c>
      <c r="B1021" s="26">
        <f>IFERROR(INDEX(Mots!$B:$B,MATCH($A1021,Mots!$A:$A,0)),"introuvable")</f>
        <v/>
      </c>
      <c r="C1021" s="30" t="inlineStr">
        <is>
          <t>Le vent souffle fort aujourd'hui.</t>
        </is>
      </c>
      <c r="I1021" s="30" t="inlineStr">
        <is>
          <t>il y a du vent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30" t="inlineStr">
        <is>
          <t>yvan_maistre</t>
        </is>
      </c>
      <c r="B2" s="26">
        <f>IFERROR(INDEX(Mots!$B:$B,MATCH($A2,Mots!$A:$A,0)),"introuvable")</f>
        <v/>
      </c>
      <c r="C2" s="30" t="inlineStr">
        <is>
          <t>les_gens</t>
        </is>
      </c>
    </row>
    <row r="3">
      <c r="A3" s="30" t="inlineStr">
        <is>
          <t>r_mathilde</t>
        </is>
      </c>
      <c r="B3" s="26">
        <f>IFERROR(INDEX(Mots!$B:$B,MATCH($A3,Mots!$A:$A,0)),"introuvable")</f>
        <v/>
      </c>
      <c r="C3" s="30" t="inlineStr">
        <is>
          <t>les_gens</t>
        </is>
      </c>
    </row>
    <row r="4">
      <c r="A4" s="30" t="inlineStr">
        <is>
          <t>r_julien</t>
        </is>
      </c>
      <c r="B4" s="26">
        <f>IFERROR(INDEX(Mots!$B:$B,MATCH($A4,Mots!$A:$A,0)),"introuvable")</f>
        <v/>
      </c>
      <c r="C4" s="30" t="inlineStr">
        <is>
          <t>les_gens</t>
        </is>
      </c>
    </row>
    <row r="5">
      <c r="A5" s="30" t="inlineStr">
        <is>
          <t>r_emma</t>
        </is>
      </c>
      <c r="B5" s="26">
        <f>IFERROR(INDEX(Mots!$B:$B,MATCH($A5,Mots!$A:$A,0)),"introuvable")</f>
        <v/>
      </c>
      <c r="C5" s="30" t="inlineStr">
        <is>
          <t>les_gens</t>
        </is>
      </c>
    </row>
    <row r="6">
      <c r="A6" s="30" t="inlineStr">
        <is>
          <t>r_loic</t>
        </is>
      </c>
      <c r="B6" s="26">
        <f>IFERROR(INDEX(Mots!$B:$B,MATCH($A6,Mots!$A:$A,0)),"introuvable")</f>
        <v/>
      </c>
      <c r="C6" s="30" t="inlineStr">
        <is>
          <t>les_gens</t>
        </is>
      </c>
    </row>
    <row r="7">
      <c r="A7" s="30" t="inlineStr">
        <is>
          <t>r_emile</t>
        </is>
      </c>
      <c r="B7" s="26">
        <f>IFERROR(INDEX(Mots!$B:$B,MATCH($A7,Mots!$A:$A,0)),"introuvable")</f>
        <v/>
      </c>
      <c r="C7" s="30" t="inlineStr">
        <is>
          <t>les_gens</t>
        </is>
      </c>
    </row>
    <row r="8">
      <c r="A8" s="30" t="inlineStr">
        <is>
          <t>r_eva</t>
        </is>
      </c>
      <c r="B8" s="26">
        <f>IFERROR(INDEX(Mots!$B:$B,MATCH($A8,Mots!$A:$A,0)),"introuvable")</f>
        <v/>
      </c>
      <c r="C8" s="30" t="inlineStr">
        <is>
          <t>les_gens</t>
        </is>
      </c>
    </row>
    <row r="9">
      <c r="A9" s="30" t="inlineStr">
        <is>
          <t>r_paul</t>
        </is>
      </c>
      <c r="B9" s="26">
        <f>IFERROR(INDEX(Mots!$B:$B,MATCH($A9,Mots!$A:$A,0)),"introuvable")</f>
        <v/>
      </c>
      <c r="C9" s="30" t="inlineStr">
        <is>
          <t>les_gens</t>
        </is>
      </c>
    </row>
    <row r="10">
      <c r="A10" s="30" t="inlineStr">
        <is>
          <t>n_claudia</t>
        </is>
      </c>
      <c r="B10" s="26">
        <f>IFERROR(INDEX(Mots!$B:$B,MATCH($A10,Mots!$A:$A,0)),"introuvable")</f>
        <v/>
      </c>
      <c r="C10" s="30" t="inlineStr">
        <is>
          <t>les_gens</t>
        </is>
      </c>
    </row>
    <row r="11">
      <c r="A11" s="30" t="inlineStr">
        <is>
          <t>n_patrick</t>
        </is>
      </c>
      <c r="B11" s="26">
        <f>IFERROR(INDEX(Mots!$B:$B,MATCH($A11,Mots!$A:$A,0)),"introuvable")</f>
        <v/>
      </c>
      <c r="C11" s="30" t="inlineStr">
        <is>
          <t>les_gens</t>
        </is>
      </c>
    </row>
    <row r="12">
      <c r="A12" s="30" t="inlineStr">
        <is>
          <t>r_olivier</t>
        </is>
      </c>
      <c r="B12" s="26">
        <f>IFERROR(INDEX(Mots!$B:$B,MATCH($A12,Mots!$A:$A,0)),"introuvable")</f>
        <v/>
      </c>
      <c r="C12" s="30" t="inlineStr">
        <is>
          <t>les_gens</t>
        </is>
      </c>
    </row>
    <row r="13">
      <c r="A13" s="30" t="inlineStr">
        <is>
          <t>e_barbara</t>
        </is>
      </c>
      <c r="B13" s="26">
        <f>IFERROR(INDEX(Mots!$B:$B,MATCH($A13,Mots!$A:$A,0)),"introuvable")</f>
        <v/>
      </c>
      <c r="C13" s="30" t="inlineStr">
        <is>
          <t>les_gens</t>
        </is>
      </c>
    </row>
    <row r="14">
      <c r="A14" s="30" t="inlineStr">
        <is>
          <t>r_sandrine</t>
        </is>
      </c>
      <c r="B14" s="26">
        <f>IFERROR(INDEX(Mots!$B:$B,MATCH($A14,Mots!$A:$A,0)),"introuvable")</f>
        <v/>
      </c>
      <c r="C14" s="30" t="inlineStr">
        <is>
          <t>les_gens</t>
        </is>
      </c>
    </row>
    <row r="15">
      <c r="A15" s="30" t="inlineStr">
        <is>
          <t>mon_neurologue</t>
        </is>
      </c>
      <c r="B15" s="26">
        <f>IFERROR(INDEX(Mots!$B:$B,MATCH($A15,Mots!$A:$A,0)),"introuvable")</f>
        <v/>
      </c>
      <c r="C15" s="30" t="inlineStr">
        <is>
          <t>les_gens</t>
        </is>
      </c>
    </row>
    <row r="16">
      <c r="A16" s="30" t="inlineStr">
        <is>
          <t>n_louane</t>
        </is>
      </c>
      <c r="B16" s="26">
        <f>IFERROR(INDEX(Mots!$B:$B,MATCH($A16,Mots!$A:$A,0)),"introuvable")</f>
        <v/>
      </c>
      <c r="C16" s="30" t="inlineStr">
        <is>
          <t>les_gens</t>
        </is>
      </c>
    </row>
    <row r="17">
      <c r="A17" s="30" t="inlineStr">
        <is>
          <t>n_melwyn</t>
        </is>
      </c>
      <c r="B17" s="26">
        <f>IFERROR(INDEX(Mots!$B:$B,MATCH($A17,Mots!$A:$A,0)),"introuvable")</f>
        <v/>
      </c>
      <c r="C17" s="30" t="inlineStr">
        <is>
          <t>les_gens</t>
        </is>
      </c>
    </row>
    <row r="18">
      <c r="A18" s="30" t="inlineStr">
        <is>
          <t>e_jason</t>
        </is>
      </c>
      <c r="B18" s="26">
        <f>IFERROR(INDEX(Mots!$B:$B,MATCH($A18,Mots!$A:$A,0)),"introuvable")</f>
        <v/>
      </c>
      <c r="C18" s="30" t="inlineStr">
        <is>
          <t>les_gens</t>
        </is>
      </c>
    </row>
    <row r="19">
      <c r="A19" s="30" t="inlineStr">
        <is>
          <t>n_yanis</t>
        </is>
      </c>
      <c r="B19" s="26">
        <f>IFERROR(INDEX(Mots!$B:$B,MATCH($A19,Mots!$A:$A,0)),"introuvable")</f>
        <v/>
      </c>
      <c r="C19" s="30" t="inlineStr">
        <is>
          <t>les_gens</t>
        </is>
      </c>
    </row>
    <row r="20">
      <c r="A20" s="30" t="inlineStr">
        <is>
          <t>e_alison</t>
        </is>
      </c>
      <c r="B20" s="26">
        <f>IFERROR(INDEX(Mots!$B:$B,MATCH($A20,Mots!$A:$A,0)),"introuvable")</f>
        <v/>
      </c>
      <c r="C20" s="30" t="inlineStr">
        <is>
          <t>les_gens</t>
        </is>
      </c>
    </row>
    <row r="21">
      <c r="A21" s="30" t="inlineStr">
        <is>
          <t>r_germaine</t>
        </is>
      </c>
      <c r="B21" s="26">
        <f>IFERROR(INDEX(Mots!$B:$B,MATCH($A21,Mots!$A:$A,0)),"introuvable")</f>
        <v/>
      </c>
      <c r="C21" s="30" t="inlineStr">
        <is>
          <t>les_gens</t>
        </is>
      </c>
    </row>
    <row r="22">
      <c r="A22" s="30" t="inlineStr">
        <is>
          <t>r_noel</t>
        </is>
      </c>
      <c r="B22" s="26">
        <f>IFERROR(INDEX(Mots!$B:$B,MATCH($A22,Mots!$A:$A,0)),"introuvable")</f>
        <v/>
      </c>
      <c r="C22" s="30" t="inlineStr">
        <is>
          <t>les_gens</t>
        </is>
      </c>
    </row>
    <row r="23">
      <c r="A23" s="30" t="inlineStr">
        <is>
          <t>christophe_g</t>
        </is>
      </c>
      <c r="B23" s="26">
        <f>IFERROR(INDEX(Mots!$B:$B,MATCH($A23,Mots!$A:$A,0)),"introuvable")</f>
        <v/>
      </c>
      <c r="C23" s="30" t="inlineStr">
        <is>
          <t>les_gens</t>
        </is>
      </c>
    </row>
    <row r="24">
      <c r="A24" s="30" t="inlineStr">
        <is>
          <t>claudine_f</t>
        </is>
      </c>
      <c r="B24" s="26">
        <f>IFERROR(INDEX(Mots!$B:$B,MATCH($A24,Mots!$A:$A,0)),"introuvable")</f>
        <v/>
      </c>
      <c r="C24" s="30" t="inlineStr">
        <is>
          <t>les_gens</t>
        </is>
      </c>
    </row>
    <row r="25">
      <c r="A25" s="30" t="inlineStr">
        <is>
          <t>damien_lagger</t>
        </is>
      </c>
      <c r="B25" s="26">
        <f>IFERROR(INDEX(Mots!$B:$B,MATCH($A25,Mots!$A:$A,0)),"introuvable")</f>
        <v/>
      </c>
      <c r="C25" s="30" t="inlineStr">
        <is>
          <t>les_gens</t>
        </is>
      </c>
    </row>
    <row r="26">
      <c r="A26" s="30" t="inlineStr">
        <is>
          <t>philippe_g</t>
        </is>
      </c>
      <c r="B26" s="26">
        <f>IFERROR(INDEX(Mots!$B:$B,MATCH($A26,Mots!$A:$A,0)),"introuvable")</f>
        <v/>
      </c>
      <c r="C26" s="30" t="inlineStr">
        <is>
          <t>les_gens</t>
        </is>
      </c>
    </row>
    <row r="27">
      <c r="A27" s="30" t="inlineStr">
        <is>
          <t>régis_e</t>
        </is>
      </c>
      <c r="B27" s="26">
        <f>IFERROR(INDEX(Mots!$B:$B,MATCH($A27,Mots!$A:$A,0)),"introuvable")</f>
        <v/>
      </c>
      <c r="C27" s="30" t="inlineStr">
        <is>
          <t>les_gens</t>
        </is>
      </c>
    </row>
    <row r="28">
      <c r="A28" s="30" t="inlineStr">
        <is>
          <t>stéphanie_g</t>
        </is>
      </c>
      <c r="B28" s="26">
        <f>IFERROR(INDEX(Mots!$B:$B,MATCH($A28,Mots!$A:$A,0)),"introuvable")</f>
        <v/>
      </c>
      <c r="C28" s="30" t="inlineStr">
        <is>
          <t>les_gens</t>
        </is>
      </c>
    </row>
    <row r="29">
      <c r="A29" s="30" t="inlineStr">
        <is>
          <t>grand_maman_emma</t>
        </is>
      </c>
      <c r="B29" s="26">
        <f>IFERROR(INDEX(Mots!$B:$B,MATCH($A29,Mots!$A:$A,0)),"introuvable")</f>
        <v/>
      </c>
      <c r="C29" s="30" t="inlineStr">
        <is>
          <t>les_gens</t>
        </is>
      </c>
    </row>
    <row r="30">
      <c r="A30" s="30" t="inlineStr">
        <is>
          <t>grand_papa_maurice</t>
        </is>
      </c>
      <c r="B30" s="26">
        <f>IFERROR(INDEX(Mots!$B:$B,MATCH($A30,Mots!$A:$A,0)),"introuvable")</f>
        <v/>
      </c>
      <c r="C30" s="30" t="inlineStr">
        <is>
          <t>les_gens</t>
        </is>
      </c>
    </row>
    <row r="31">
      <c r="A31" s="30" t="inlineStr">
        <is>
          <t>oncle_bernard</t>
        </is>
      </c>
      <c r="B31" s="26">
        <f>IFERROR(INDEX(Mots!$B:$B,MATCH($A31,Mots!$A:$A,0)),"introuvable")</f>
        <v/>
      </c>
      <c r="C31" s="30" t="inlineStr">
        <is>
          <t>les_gens</t>
        </is>
      </c>
    </row>
    <row r="32">
      <c r="A32" s="30" t="inlineStr">
        <is>
          <t>oncle_marcel</t>
        </is>
      </c>
      <c r="B32" s="26">
        <f>IFERROR(INDEX(Mots!$B:$B,MATCH($A32,Mots!$A:$A,0)),"introuvable")</f>
        <v/>
      </c>
      <c r="C32" s="30" t="inlineStr">
        <is>
          <t>les_gens</t>
        </is>
      </c>
    </row>
    <row r="33">
      <c r="A33" s="30" t="inlineStr">
        <is>
          <t>tante_lucienne</t>
        </is>
      </c>
      <c r="B33" s="26">
        <f>IFERROR(INDEX(Mots!$B:$B,MATCH($A33,Mots!$A:$A,0)),"introuvable")</f>
        <v/>
      </c>
      <c r="C33" s="30" t="inlineStr">
        <is>
          <t>les_gens</t>
        </is>
      </c>
    </row>
    <row r="34">
      <c r="A34" s="30" t="inlineStr">
        <is>
          <t>tante_edith</t>
        </is>
      </c>
      <c r="B34" s="26">
        <f>IFERROR(INDEX(Mots!$B:$B,MATCH($A34,Mots!$A:$A,0)),"introuvable")</f>
        <v/>
      </c>
      <c r="C34" s="30"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42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style="22" min="1" max="1"/>
    <col width="30" customWidth="1" style="22" min="2" max="2"/>
    <col width="14" customWidth="1" style="22" min="3" max="3"/>
    <col width="9" customWidth="1" style="22" min="4" max="4"/>
    <col width="12" customWidth="1" style="22" min="5" max="5"/>
    <col width="10" customWidth="1" style="22" min="6" max="6"/>
    <col width="10" customWidth="1" style="22" min="7" max="7"/>
    <col width="12" customWidth="1" style="22" min="8" max="8"/>
    <col width="11" customWidth="1" style="22" min="9" max="9"/>
    <col width="14" customWidth="1" style="22" min="10" max="10"/>
  </cols>
  <sheetData>
    <row r="1">
      <c r="A1" s="29" t="inlineStr">
        <is>
          <t>id_mot</t>
        </is>
      </c>
      <c r="B1" s="29" t="inlineStr">
        <is>
          <t>mot</t>
        </is>
      </c>
      <c r="C1" s="29" t="inlineStr">
        <is>
          <t>nature</t>
        </is>
      </c>
      <c r="D1" s="29" t="inlineStr">
        <is>
          <t>images</t>
        </is>
      </c>
      <c r="E1" s="29" t="inlineStr">
        <is>
          <t>classement</t>
        </is>
      </c>
      <c r="F1" s="29" t="inlineStr">
        <is>
          <t>tags</t>
        </is>
      </c>
      <c r="G1" s="29" t="inlineStr">
        <is>
          <t>exemple</t>
        </is>
      </c>
      <c r="H1" s="29" t="inlineStr">
        <is>
          <t>expression</t>
        </is>
      </c>
      <c r="I1" s="29" t="inlineStr">
        <is>
          <t>synonyme</t>
        </is>
      </c>
      <c r="J1" s="29" t="inlineStr">
        <is>
          <t>reste à faire</t>
        </is>
      </c>
    </row>
    <row r="2">
      <c r="A2" s="30" t="inlineStr">
        <is>
          <t>sandwich</t>
        </is>
      </c>
      <c r="B2" s="30">
        <f>IFERROR(INDEX(Mots!$B:$B,MATCH($A2,Mots!$A:$A,0)),"introuvable")</f>
        <v/>
      </c>
      <c r="C2" s="30">
        <f>IFERROR(INDEX(Mots!$S:$S,MATCH($A2,Mots!$A:$A,0)),"")</f>
        <v/>
      </c>
      <c r="D2" s="30">
        <f>IFERROR(COUNTA(INDEX(Mots!$J:$J,MATCH($A2,Mots!$A:$A,0)):INDEX(Mots!$P:$P,MATCH($A2,Mots!$A:$A,0))),0)</f>
        <v/>
      </c>
      <c r="E2" s="30">
        <f>IF(COUNTIF(Classement!$A:$A,$A2)&gt;0,"ok","à faire")</f>
        <v/>
      </c>
      <c r="F2" s="30">
        <f>IF(COUNTIF(Tags!$A:$A,$A2)&gt;0,"ok","à faire")</f>
        <v/>
      </c>
      <c r="G2" s="30">
        <f>IF(COUNTIF(Phrases!$A:$A,$A2)&gt;0,"ok","à faire")</f>
        <v/>
      </c>
      <c r="H2" s="30">
        <f>IF(COUNTIFS(Phrases!$A:$A,$A2,Phrases!$I:$I,"&lt;&gt;")&gt;0,"ok","à faire")</f>
        <v/>
      </c>
      <c r="I2" s="30">
        <f>IF(COUNTIF(Synonymes!$A:$A,$A2)&gt;0,"ok","")</f>
        <v/>
      </c>
      <c r="J2" s="30">
        <f>COUNTIF(E2:H2,"à faire")</f>
        <v/>
      </c>
    </row>
    <row r="3">
      <c r="A3" s="30" t="inlineStr">
        <is>
          <t>lettre</t>
        </is>
      </c>
      <c r="B3" s="30">
        <f>IFERROR(INDEX(Mots!$B:$B,MATCH($A3,Mots!$A:$A,0)),"introuvable")</f>
        <v/>
      </c>
      <c r="C3" s="30">
        <f>IFERROR(INDEX(Mots!$S:$S,MATCH($A3,Mots!$A:$A,0)),"")</f>
        <v/>
      </c>
      <c r="D3" s="30">
        <f>IFERROR(COUNTA(INDEX(Mots!$J:$J,MATCH($A3,Mots!$A:$A,0)):INDEX(Mots!$P:$P,MATCH($A3,Mots!$A:$A,0))),0)</f>
        <v/>
      </c>
      <c r="E3" s="30">
        <f>IF(COUNTIF(Classement!$A:$A,$A3)&gt;0,"ok","à faire")</f>
        <v/>
      </c>
      <c r="F3" s="30">
        <f>IF(COUNTIF(Tags!$A:$A,$A3)&gt;0,"ok","à faire")</f>
        <v/>
      </c>
      <c r="G3" s="30">
        <f>IF(COUNTIF(Phrases!$A:$A,$A3)&gt;0,"ok","à faire")</f>
        <v/>
      </c>
      <c r="H3" s="30">
        <f>IF(COUNTIFS(Phrases!$A:$A,$A3,Phrases!$I:$I,"&lt;&gt;")&gt;0,"ok","à faire")</f>
        <v/>
      </c>
      <c r="I3" s="30">
        <f>IF(COUNTIF(Synonymes!$A:$A,$A3)&gt;0,"ok","")</f>
        <v/>
      </c>
      <c r="J3" s="30">
        <f>COUNTIF(E3:H3,"à faire")</f>
        <v/>
      </c>
    </row>
    <row r="4">
      <c r="A4" s="30" t="inlineStr">
        <is>
          <t>reunion</t>
        </is>
      </c>
      <c r="B4" s="30">
        <f>IFERROR(INDEX(Mots!$B:$B,MATCH($A4,Mots!$A:$A,0)),"introuvable")</f>
        <v/>
      </c>
      <c r="C4" s="30">
        <f>IFERROR(INDEX(Mots!$S:$S,MATCH($A4,Mots!$A:$A,0)),"")</f>
        <v/>
      </c>
      <c r="D4" s="30">
        <f>IFERROR(COUNTA(INDEX(Mots!$J:$J,MATCH($A4,Mots!$A:$A,0)):INDEX(Mots!$P:$P,MATCH($A4,Mots!$A:$A,0))),0)</f>
        <v/>
      </c>
      <c r="E4" s="30">
        <f>IF(COUNTIF(Classement!$A:$A,$A4)&gt;0,"ok","à faire")</f>
        <v/>
      </c>
      <c r="F4" s="30">
        <f>IF(COUNTIF(Tags!$A:$A,$A4)&gt;0,"ok","à faire")</f>
        <v/>
      </c>
      <c r="G4" s="30">
        <f>IF(COUNTIF(Phrases!$A:$A,$A4)&gt;0,"ok","à faire")</f>
        <v/>
      </c>
      <c r="H4" s="30">
        <f>IF(COUNTIFS(Phrases!$A:$A,$A4,Phrases!$I:$I,"&lt;&gt;")&gt;0,"ok","à faire")</f>
        <v/>
      </c>
      <c r="I4" s="30">
        <f>IF(COUNTIF(Synonymes!$A:$A,$A4)&gt;0,"ok","")</f>
        <v/>
      </c>
      <c r="J4" s="30">
        <f>COUNTIF(E4:H4,"à faire")</f>
        <v/>
      </c>
    </row>
    <row r="5">
      <c r="A5" s="30" t="inlineStr">
        <is>
          <t>m_bureau</t>
        </is>
      </c>
      <c r="B5" s="30">
        <f>IFERROR(INDEX(Mots!$B:$B,MATCH($A5,Mots!$A:$A,0)),"introuvable")</f>
        <v/>
      </c>
      <c r="C5" s="30">
        <f>IFERROR(INDEX(Mots!$S:$S,MATCH($A5,Mots!$A:$A,0)),"")</f>
        <v/>
      </c>
      <c r="D5" s="30">
        <f>IFERROR(COUNTA(INDEX(Mots!$J:$J,MATCH($A5,Mots!$A:$A,0)):INDEX(Mots!$P:$P,MATCH($A5,Mots!$A:$A,0))),0)</f>
        <v/>
      </c>
      <c r="E5" s="30">
        <f>IF(COUNTIF(Classement!$A:$A,$A5)&gt;0,"ok","à faire")</f>
        <v/>
      </c>
      <c r="F5" s="30">
        <f>IF(COUNTIF(Tags!$A:$A,$A5)&gt;0,"ok","à faire")</f>
        <v/>
      </c>
      <c r="G5" s="30">
        <f>IF(COUNTIF(Phrases!$A:$A,$A5)&gt;0,"ok","à faire")</f>
        <v/>
      </c>
      <c r="H5" s="30">
        <f>IF(COUNTIFS(Phrases!$A:$A,$A5,Phrases!$I:$I,"&lt;&gt;")&gt;0,"ok","à faire")</f>
        <v/>
      </c>
      <c r="I5" s="30">
        <f>IF(COUNTIF(Synonymes!$A:$A,$A5)&gt;0,"ok","")</f>
        <v/>
      </c>
      <c r="J5" s="30">
        <f>COUNTIF(E5:H5,"à faire")</f>
        <v/>
      </c>
    </row>
    <row r="6">
      <c r="A6" s="30" t="inlineStr">
        <is>
          <t>rapport</t>
        </is>
      </c>
      <c r="B6" s="30">
        <f>IFERROR(INDEX(Mots!$B:$B,MATCH($A6,Mots!$A:$A,0)),"introuvable")</f>
        <v/>
      </c>
      <c r="C6" s="30">
        <f>IFERROR(INDEX(Mots!$S:$S,MATCH($A6,Mots!$A:$A,0)),"")</f>
        <v/>
      </c>
      <c r="D6" s="30">
        <f>IFERROR(COUNTA(INDEX(Mots!$J:$J,MATCH($A6,Mots!$A:$A,0)):INDEX(Mots!$P:$P,MATCH($A6,Mots!$A:$A,0))),0)</f>
        <v/>
      </c>
      <c r="E6" s="30">
        <f>IF(COUNTIF(Classement!$A:$A,$A6)&gt;0,"ok","à faire")</f>
        <v/>
      </c>
      <c r="F6" s="30">
        <f>IF(COUNTIF(Tags!$A:$A,$A6)&gt;0,"ok","à faire")</f>
        <v/>
      </c>
      <c r="G6" s="30">
        <f>IF(COUNTIF(Phrases!$A:$A,$A6)&gt;0,"ok","à faire")</f>
        <v/>
      </c>
      <c r="H6" s="30">
        <f>IF(COUNTIFS(Phrases!$A:$A,$A6,Phrases!$I:$I,"&lt;&gt;")&gt;0,"ok","à faire")</f>
        <v/>
      </c>
      <c r="I6" s="30">
        <f>IF(COUNTIF(Synonymes!$A:$A,$A6)&gt;0,"ok","")</f>
        <v/>
      </c>
      <c r="J6" s="30">
        <f>COUNTIF(E6:H6,"à faire")</f>
        <v/>
      </c>
    </row>
    <row r="7">
      <c r="A7" s="30" t="inlineStr">
        <is>
          <t>entreprise</t>
        </is>
      </c>
      <c r="B7" s="30">
        <f>IFERROR(INDEX(Mots!$B:$B,MATCH($A7,Mots!$A:$A,0)),"introuvable")</f>
        <v/>
      </c>
      <c r="C7" s="30">
        <f>IFERROR(INDEX(Mots!$S:$S,MATCH($A7,Mots!$A:$A,0)),"")</f>
        <v/>
      </c>
      <c r="D7" s="30">
        <f>IFERROR(COUNTA(INDEX(Mots!$J:$J,MATCH($A7,Mots!$A:$A,0)):INDEX(Mots!$P:$P,MATCH($A7,Mots!$A:$A,0))),0)</f>
        <v/>
      </c>
      <c r="E7" s="30">
        <f>IF(COUNTIF(Classement!$A:$A,$A7)&gt;0,"ok","à faire")</f>
        <v/>
      </c>
      <c r="F7" s="30">
        <f>IF(COUNTIF(Tags!$A:$A,$A7)&gt;0,"ok","à faire")</f>
        <v/>
      </c>
      <c r="G7" s="30">
        <f>IF(COUNTIF(Phrases!$A:$A,$A7)&gt;0,"ok","à faire")</f>
        <v/>
      </c>
      <c r="H7" s="30">
        <f>IF(COUNTIFS(Phrases!$A:$A,$A7,Phrases!$I:$I,"&lt;&gt;")&gt;0,"ok","à faire")</f>
        <v/>
      </c>
      <c r="I7" s="30">
        <f>IF(COUNTIF(Synonymes!$A:$A,$A7)&gt;0,"ok","")</f>
        <v/>
      </c>
      <c r="J7" s="30">
        <f>COUNTIF(E7:H7,"à faire")</f>
        <v/>
      </c>
    </row>
    <row r="8">
      <c r="A8" s="30" t="inlineStr">
        <is>
          <t>equipe</t>
        </is>
      </c>
      <c r="B8" s="30">
        <f>IFERROR(INDEX(Mots!$B:$B,MATCH($A8,Mots!$A:$A,0)),"introuvable")</f>
        <v/>
      </c>
      <c r="C8" s="30">
        <f>IFERROR(INDEX(Mots!$S:$S,MATCH($A8,Mots!$A:$A,0)),"")</f>
        <v/>
      </c>
      <c r="D8" s="30">
        <f>IFERROR(COUNTA(INDEX(Mots!$J:$J,MATCH($A8,Mots!$A:$A,0)):INDEX(Mots!$P:$P,MATCH($A8,Mots!$A:$A,0))),0)</f>
        <v/>
      </c>
      <c r="E8" s="30">
        <f>IF(COUNTIF(Classement!$A:$A,$A8)&gt;0,"ok","à faire")</f>
        <v/>
      </c>
      <c r="F8" s="30">
        <f>IF(COUNTIF(Tags!$A:$A,$A8)&gt;0,"ok","à faire")</f>
        <v/>
      </c>
      <c r="G8" s="30">
        <f>IF(COUNTIF(Phrases!$A:$A,$A8)&gt;0,"ok","à faire")</f>
        <v/>
      </c>
      <c r="H8" s="30">
        <f>IF(COUNTIFS(Phrases!$A:$A,$A8,Phrases!$I:$I,"&lt;&gt;")&gt;0,"ok","à faire")</f>
        <v/>
      </c>
      <c r="I8" s="30">
        <f>IF(COUNTIF(Synonymes!$A:$A,$A8)&gt;0,"ok","")</f>
        <v/>
      </c>
      <c r="J8" s="30">
        <f>COUNTIF(E8:H8,"à faire")</f>
        <v/>
      </c>
    </row>
    <row r="9">
      <c r="A9" s="30" t="inlineStr">
        <is>
          <t>famille</t>
        </is>
      </c>
      <c r="B9" s="30">
        <f>IFERROR(INDEX(Mots!$B:$B,MATCH($A9,Mots!$A:$A,0)),"introuvable")</f>
        <v/>
      </c>
      <c r="C9" s="30">
        <f>IFERROR(INDEX(Mots!$S:$S,MATCH($A9,Mots!$A:$A,0)),"")</f>
        <v/>
      </c>
      <c r="D9" s="30">
        <f>IFERROR(COUNTA(INDEX(Mots!$J:$J,MATCH($A9,Mots!$A:$A,0)):INDEX(Mots!$P:$P,MATCH($A9,Mots!$A:$A,0))),0)</f>
        <v/>
      </c>
      <c r="E9" s="30">
        <f>IF(COUNTIF(Classement!$A:$A,$A9)&gt;0,"ok","à faire")</f>
        <v/>
      </c>
      <c r="F9" s="30">
        <f>IF(COUNTIF(Tags!$A:$A,$A9)&gt;0,"ok","à faire")</f>
        <v/>
      </c>
      <c r="G9" s="30">
        <f>IF(COUNTIF(Phrases!$A:$A,$A9)&gt;0,"ok","à faire")</f>
        <v/>
      </c>
      <c r="H9" s="30">
        <f>IF(COUNTIFS(Phrases!$A:$A,$A9,Phrases!$I:$I,"&lt;&gt;")&gt;0,"ok","à faire")</f>
        <v/>
      </c>
      <c r="I9" s="30">
        <f>IF(COUNTIF(Synonymes!$A:$A,$A9)&gt;0,"ok","")</f>
        <v/>
      </c>
      <c r="J9" s="30">
        <f>COUNTIF(E9:H9,"à faire")</f>
        <v/>
      </c>
    </row>
    <row r="10">
      <c r="A10" s="30" t="inlineStr">
        <is>
          <t>mari_et_femme</t>
        </is>
      </c>
      <c r="B10" s="30">
        <f>IFERROR(INDEX(Mots!$B:$B,MATCH($A10,Mots!$A:$A,0)),"introuvable")</f>
        <v/>
      </c>
      <c r="C10" s="30">
        <f>IFERROR(INDEX(Mots!$S:$S,MATCH($A10,Mots!$A:$A,0)),"")</f>
        <v/>
      </c>
      <c r="D10" s="30">
        <f>IFERROR(COUNTA(INDEX(Mots!$J:$J,MATCH($A10,Mots!$A:$A,0)):INDEX(Mots!$P:$P,MATCH($A10,Mots!$A:$A,0))),0)</f>
        <v/>
      </c>
      <c r="E10" s="30">
        <f>IF(COUNTIF(Classement!$A:$A,$A10)&gt;0,"ok","à faire")</f>
        <v/>
      </c>
      <c r="F10" s="30">
        <f>IF(COUNTIF(Tags!$A:$A,$A10)&gt;0,"ok","à faire")</f>
        <v/>
      </c>
      <c r="G10" s="30">
        <f>IF(COUNTIF(Phrases!$A:$A,$A10)&gt;0,"ok","à faire")</f>
        <v/>
      </c>
      <c r="H10" s="30">
        <f>IF(COUNTIFS(Phrases!$A:$A,$A10,Phrases!$I:$I,"&lt;&gt;")&gt;0,"ok","à faire")</f>
        <v/>
      </c>
      <c r="I10" s="30">
        <f>IF(COUNTIF(Synonymes!$A:$A,$A10)&gt;0,"ok","")</f>
        <v/>
      </c>
      <c r="J10" s="30">
        <f>COUNTIF(E10:H10,"à faire")</f>
        <v/>
      </c>
    </row>
    <row r="11">
      <c r="A11" s="30" t="inlineStr">
        <is>
          <t>mere</t>
        </is>
      </c>
      <c r="B11" s="30">
        <f>IFERROR(INDEX(Mots!$B:$B,MATCH($A11,Mots!$A:$A,0)),"introuvable")</f>
        <v/>
      </c>
      <c r="C11" s="30">
        <f>IFERROR(INDEX(Mots!$S:$S,MATCH($A11,Mots!$A:$A,0)),"")</f>
        <v/>
      </c>
      <c r="D11" s="30">
        <f>IFERROR(COUNTA(INDEX(Mots!$J:$J,MATCH($A11,Mots!$A:$A,0)):INDEX(Mots!$P:$P,MATCH($A11,Mots!$A:$A,0))),0)</f>
        <v/>
      </c>
      <c r="E11" s="30">
        <f>IF(COUNTIF(Classement!$A:$A,$A11)&gt;0,"ok","à faire")</f>
        <v/>
      </c>
      <c r="F11" s="30">
        <f>IF(COUNTIF(Tags!$A:$A,$A11)&gt;0,"ok","à faire")</f>
        <v/>
      </c>
      <c r="G11" s="30">
        <f>IF(COUNTIF(Phrases!$A:$A,$A11)&gt;0,"ok","à faire")</f>
        <v/>
      </c>
      <c r="H11" s="30">
        <f>IF(COUNTIFS(Phrases!$A:$A,$A11,Phrases!$I:$I,"&lt;&gt;")&gt;0,"ok","à faire")</f>
        <v/>
      </c>
      <c r="I11" s="30">
        <f>IF(COUNTIF(Synonymes!$A:$A,$A11)&gt;0,"ok","")</f>
        <v/>
      </c>
      <c r="J11" s="30">
        <f>COUNTIF(E11:H11,"à faire")</f>
        <v/>
      </c>
    </row>
    <row r="12">
      <c r="A12" s="30" t="inlineStr">
        <is>
          <t>pere</t>
        </is>
      </c>
      <c r="B12" s="30">
        <f>IFERROR(INDEX(Mots!$B:$B,MATCH($A12,Mots!$A:$A,0)),"introuvable")</f>
        <v/>
      </c>
      <c r="C12" s="30">
        <f>IFERROR(INDEX(Mots!$S:$S,MATCH($A12,Mots!$A:$A,0)),"")</f>
        <v/>
      </c>
      <c r="D12" s="30">
        <f>IFERROR(COUNTA(INDEX(Mots!$J:$J,MATCH($A12,Mots!$A:$A,0)):INDEX(Mots!$P:$P,MATCH($A12,Mots!$A:$A,0))),0)</f>
        <v/>
      </c>
      <c r="E12" s="30">
        <f>IF(COUNTIF(Classement!$A:$A,$A12)&gt;0,"ok","à faire")</f>
        <v/>
      </c>
      <c r="F12" s="30">
        <f>IF(COUNTIF(Tags!$A:$A,$A12)&gt;0,"ok","à faire")</f>
        <v/>
      </c>
      <c r="G12" s="30">
        <f>IF(COUNTIF(Phrases!$A:$A,$A12)&gt;0,"ok","à faire")</f>
        <v/>
      </c>
      <c r="H12" s="30">
        <f>IF(COUNTIFS(Phrases!$A:$A,$A12,Phrases!$I:$I,"&lt;&gt;")&gt;0,"ok","à faire")</f>
        <v/>
      </c>
      <c r="I12" s="30">
        <f>IF(COUNTIF(Synonymes!$A:$A,$A12)&gt;0,"ok","")</f>
        <v/>
      </c>
      <c r="J12" s="30">
        <f>COUNTIF(E12:H12,"à faire")</f>
        <v/>
      </c>
    </row>
    <row r="13">
      <c r="A13" s="30" t="inlineStr">
        <is>
          <t>enfants</t>
        </is>
      </c>
      <c r="B13" s="30">
        <f>IFERROR(INDEX(Mots!$B:$B,MATCH($A13,Mots!$A:$A,0)),"introuvable")</f>
        <v/>
      </c>
      <c r="C13" s="30">
        <f>IFERROR(INDEX(Mots!$S:$S,MATCH($A13,Mots!$A:$A,0)),"")</f>
        <v/>
      </c>
      <c r="D13" s="30">
        <f>IFERROR(COUNTA(INDEX(Mots!$J:$J,MATCH($A13,Mots!$A:$A,0)):INDEX(Mots!$P:$P,MATCH($A13,Mots!$A:$A,0))),0)</f>
        <v/>
      </c>
      <c r="E13" s="30">
        <f>IF(COUNTIF(Classement!$A:$A,$A13)&gt;0,"ok","à faire")</f>
        <v/>
      </c>
      <c r="F13" s="30">
        <f>IF(COUNTIF(Tags!$A:$A,$A13)&gt;0,"ok","à faire")</f>
        <v/>
      </c>
      <c r="G13" s="30">
        <f>IF(COUNTIF(Phrases!$A:$A,$A13)&gt;0,"ok","à faire")</f>
        <v/>
      </c>
      <c r="H13" s="30">
        <f>IF(COUNTIFS(Phrases!$A:$A,$A13,Phrases!$I:$I,"&lt;&gt;")&gt;0,"ok","à faire")</f>
        <v/>
      </c>
      <c r="I13" s="30">
        <f>IF(COUNTIF(Synonymes!$A:$A,$A13)&gt;0,"ok","")</f>
        <v/>
      </c>
      <c r="J13" s="30">
        <f>COUNTIF(E13:H13,"à faire")</f>
        <v/>
      </c>
    </row>
    <row r="14">
      <c r="A14" s="30" t="inlineStr">
        <is>
          <t>bebe</t>
        </is>
      </c>
      <c r="B14" s="30">
        <f>IFERROR(INDEX(Mots!$B:$B,MATCH($A14,Mots!$A:$A,0)),"introuvable")</f>
        <v/>
      </c>
      <c r="C14" s="30">
        <f>IFERROR(INDEX(Mots!$S:$S,MATCH($A14,Mots!$A:$A,0)),"")</f>
        <v/>
      </c>
      <c r="D14" s="30">
        <f>IFERROR(COUNTA(INDEX(Mots!$J:$J,MATCH($A14,Mots!$A:$A,0)):INDEX(Mots!$P:$P,MATCH($A14,Mots!$A:$A,0))),0)</f>
        <v/>
      </c>
      <c r="E14" s="30">
        <f>IF(COUNTIF(Classement!$A:$A,$A14)&gt;0,"ok","à faire")</f>
        <v/>
      </c>
      <c r="F14" s="30">
        <f>IF(COUNTIF(Tags!$A:$A,$A14)&gt;0,"ok","à faire")</f>
        <v/>
      </c>
      <c r="G14" s="30">
        <f>IF(COUNTIF(Phrases!$A:$A,$A14)&gt;0,"ok","à faire")</f>
        <v/>
      </c>
      <c r="H14" s="30">
        <f>IF(COUNTIFS(Phrases!$A:$A,$A14,Phrases!$I:$I,"&lt;&gt;")&gt;0,"ok","à faire")</f>
        <v/>
      </c>
      <c r="I14" s="30">
        <f>IF(COUNTIF(Synonymes!$A:$A,$A14)&gt;0,"ok","")</f>
        <v/>
      </c>
      <c r="J14" s="30">
        <f>COUNTIF(E14:H14,"à faire")</f>
        <v/>
      </c>
    </row>
    <row r="15">
      <c r="A15" s="30" t="inlineStr">
        <is>
          <t>fille</t>
        </is>
      </c>
      <c r="B15" s="30">
        <f>IFERROR(INDEX(Mots!$B:$B,MATCH($A15,Mots!$A:$A,0)),"introuvable")</f>
        <v/>
      </c>
      <c r="C15" s="30">
        <f>IFERROR(INDEX(Mots!$S:$S,MATCH($A15,Mots!$A:$A,0)),"")</f>
        <v/>
      </c>
      <c r="D15" s="30">
        <f>IFERROR(COUNTA(INDEX(Mots!$J:$J,MATCH($A15,Mots!$A:$A,0)):INDEX(Mots!$P:$P,MATCH($A15,Mots!$A:$A,0))),0)</f>
        <v/>
      </c>
      <c r="E15" s="30">
        <f>IF(COUNTIF(Classement!$A:$A,$A15)&gt;0,"ok","à faire")</f>
        <v/>
      </c>
      <c r="F15" s="30">
        <f>IF(COUNTIF(Tags!$A:$A,$A15)&gt;0,"ok","à faire")</f>
        <v/>
      </c>
      <c r="G15" s="30">
        <f>IF(COUNTIF(Phrases!$A:$A,$A15)&gt;0,"ok","à faire")</f>
        <v/>
      </c>
      <c r="H15" s="30">
        <f>IF(COUNTIFS(Phrases!$A:$A,$A15,Phrases!$I:$I,"&lt;&gt;")&gt;0,"ok","à faire")</f>
        <v/>
      </c>
      <c r="I15" s="30">
        <f>IF(COUNTIF(Synonymes!$A:$A,$A15)&gt;0,"ok","")</f>
        <v/>
      </c>
      <c r="J15" s="30">
        <f>COUNTIF(E15:H15,"à faire")</f>
        <v/>
      </c>
    </row>
    <row r="16">
      <c r="A16" s="30" t="inlineStr">
        <is>
          <t>fils</t>
        </is>
      </c>
      <c r="B16" s="30">
        <f>IFERROR(INDEX(Mots!$B:$B,MATCH($A16,Mots!$A:$A,0)),"introuvable")</f>
        <v/>
      </c>
      <c r="C16" s="30">
        <f>IFERROR(INDEX(Mots!$S:$S,MATCH($A16,Mots!$A:$A,0)),"")</f>
        <v/>
      </c>
      <c r="D16" s="30">
        <f>IFERROR(COUNTA(INDEX(Mots!$J:$J,MATCH($A16,Mots!$A:$A,0)):INDEX(Mots!$P:$P,MATCH($A16,Mots!$A:$A,0))),0)</f>
        <v/>
      </c>
      <c r="E16" s="30">
        <f>IF(COUNTIF(Classement!$A:$A,$A16)&gt;0,"ok","à faire")</f>
        <v/>
      </c>
      <c r="F16" s="30">
        <f>IF(COUNTIF(Tags!$A:$A,$A16)&gt;0,"ok","à faire")</f>
        <v/>
      </c>
      <c r="G16" s="30">
        <f>IF(COUNTIF(Phrases!$A:$A,$A16)&gt;0,"ok","à faire")</f>
        <v/>
      </c>
      <c r="H16" s="30">
        <f>IF(COUNTIFS(Phrases!$A:$A,$A16,Phrases!$I:$I,"&lt;&gt;")&gt;0,"ok","à faire")</f>
        <v/>
      </c>
      <c r="I16" s="30">
        <f>IF(COUNTIF(Synonymes!$A:$A,$A16)&gt;0,"ok","")</f>
        <v/>
      </c>
      <c r="J16" s="30">
        <f>COUNTIF(E16:H16,"à faire")</f>
        <v/>
      </c>
    </row>
    <row r="17">
      <c r="A17" s="30" t="inlineStr">
        <is>
          <t>grand_mere</t>
        </is>
      </c>
      <c r="B17" s="30">
        <f>IFERROR(INDEX(Mots!$B:$B,MATCH($A17,Mots!$A:$A,0)),"introuvable")</f>
        <v/>
      </c>
      <c r="C17" s="30">
        <f>IFERROR(INDEX(Mots!$S:$S,MATCH($A17,Mots!$A:$A,0)),"")</f>
        <v/>
      </c>
      <c r="D17" s="30">
        <f>IFERROR(COUNTA(INDEX(Mots!$J:$J,MATCH($A17,Mots!$A:$A,0)):INDEX(Mots!$P:$P,MATCH($A17,Mots!$A:$A,0))),0)</f>
        <v/>
      </c>
      <c r="E17" s="30">
        <f>IF(COUNTIF(Classement!$A:$A,$A17)&gt;0,"ok","à faire")</f>
        <v/>
      </c>
      <c r="F17" s="30">
        <f>IF(COUNTIF(Tags!$A:$A,$A17)&gt;0,"ok","à faire")</f>
        <v/>
      </c>
      <c r="G17" s="30">
        <f>IF(COUNTIF(Phrases!$A:$A,$A17)&gt;0,"ok","à faire")</f>
        <v/>
      </c>
      <c r="H17" s="30">
        <f>IF(COUNTIFS(Phrases!$A:$A,$A17,Phrases!$I:$I,"&lt;&gt;")&gt;0,"ok","à faire")</f>
        <v/>
      </c>
      <c r="I17" s="30">
        <f>IF(COUNTIF(Synonymes!$A:$A,$A17)&gt;0,"ok","")</f>
        <v/>
      </c>
      <c r="J17" s="30">
        <f>COUNTIF(E17:H17,"à faire")</f>
        <v/>
      </c>
    </row>
    <row r="18">
      <c r="A18" s="30" t="inlineStr">
        <is>
          <t>grand_pere</t>
        </is>
      </c>
      <c r="B18" s="30">
        <f>IFERROR(INDEX(Mots!$B:$B,MATCH($A18,Mots!$A:$A,0)),"introuvable")</f>
        <v/>
      </c>
      <c r="C18" s="30">
        <f>IFERROR(INDEX(Mots!$S:$S,MATCH($A18,Mots!$A:$A,0)),"")</f>
        <v/>
      </c>
      <c r="D18" s="30">
        <f>IFERROR(COUNTA(INDEX(Mots!$J:$J,MATCH($A18,Mots!$A:$A,0)):INDEX(Mots!$P:$P,MATCH($A18,Mots!$A:$A,0))),0)</f>
        <v/>
      </c>
      <c r="E18" s="30">
        <f>IF(COUNTIF(Classement!$A:$A,$A18)&gt;0,"ok","à faire")</f>
        <v/>
      </c>
      <c r="F18" s="30">
        <f>IF(COUNTIF(Tags!$A:$A,$A18)&gt;0,"ok","à faire")</f>
        <v/>
      </c>
      <c r="G18" s="30">
        <f>IF(COUNTIF(Phrases!$A:$A,$A18)&gt;0,"ok","à faire")</f>
        <v/>
      </c>
      <c r="H18" s="30">
        <f>IF(COUNTIFS(Phrases!$A:$A,$A18,Phrases!$I:$I,"&lt;&gt;")&gt;0,"ok","à faire")</f>
        <v/>
      </c>
      <c r="I18" s="30">
        <f>IF(COUNTIF(Synonymes!$A:$A,$A18)&gt;0,"ok","")</f>
        <v/>
      </c>
      <c r="J18" s="30">
        <f>COUNTIF(E18:H18,"à faire")</f>
        <v/>
      </c>
    </row>
    <row r="19">
      <c r="A19" s="30" t="inlineStr">
        <is>
          <t>soeur</t>
        </is>
      </c>
      <c r="B19" s="30">
        <f>IFERROR(INDEX(Mots!$B:$B,MATCH($A19,Mots!$A:$A,0)),"introuvable")</f>
        <v/>
      </c>
      <c r="C19" s="30">
        <f>IFERROR(INDEX(Mots!$S:$S,MATCH($A19,Mots!$A:$A,0)),"")</f>
        <v/>
      </c>
      <c r="D19" s="30">
        <f>IFERROR(COUNTA(INDEX(Mots!$J:$J,MATCH($A19,Mots!$A:$A,0)):INDEX(Mots!$P:$P,MATCH($A19,Mots!$A:$A,0))),0)</f>
        <v/>
      </c>
      <c r="E19" s="30">
        <f>IF(COUNTIF(Classement!$A:$A,$A19)&gt;0,"ok","à faire")</f>
        <v/>
      </c>
      <c r="F19" s="30">
        <f>IF(COUNTIF(Tags!$A:$A,$A19)&gt;0,"ok","à faire")</f>
        <v/>
      </c>
      <c r="G19" s="30">
        <f>IF(COUNTIF(Phrases!$A:$A,$A19)&gt;0,"ok","à faire")</f>
        <v/>
      </c>
      <c r="H19" s="30">
        <f>IF(COUNTIFS(Phrases!$A:$A,$A19,Phrases!$I:$I,"&lt;&gt;")&gt;0,"ok","à faire")</f>
        <v/>
      </c>
      <c r="I19" s="30">
        <f>IF(COUNTIF(Synonymes!$A:$A,$A19)&gt;0,"ok","")</f>
        <v/>
      </c>
      <c r="J19" s="30">
        <f>COUNTIF(E19:H19,"à faire")</f>
        <v/>
      </c>
    </row>
    <row r="20">
      <c r="A20" s="30" t="inlineStr">
        <is>
          <t>frere</t>
        </is>
      </c>
      <c r="B20" s="30">
        <f>IFERROR(INDEX(Mots!$B:$B,MATCH($A20,Mots!$A:$A,0)),"introuvable")</f>
        <v/>
      </c>
      <c r="C20" s="30">
        <f>IFERROR(INDEX(Mots!$S:$S,MATCH($A20,Mots!$A:$A,0)),"")</f>
        <v/>
      </c>
      <c r="D20" s="30">
        <f>IFERROR(COUNTA(INDEX(Mots!$J:$J,MATCH($A20,Mots!$A:$A,0)):INDEX(Mots!$P:$P,MATCH($A20,Mots!$A:$A,0))),0)</f>
        <v/>
      </c>
      <c r="E20" s="30">
        <f>IF(COUNTIF(Classement!$A:$A,$A20)&gt;0,"ok","à faire")</f>
        <v/>
      </c>
      <c r="F20" s="30">
        <f>IF(COUNTIF(Tags!$A:$A,$A20)&gt;0,"ok","à faire")</f>
        <v/>
      </c>
      <c r="G20" s="30">
        <f>IF(COUNTIF(Phrases!$A:$A,$A20)&gt;0,"ok","à faire")</f>
        <v/>
      </c>
      <c r="H20" s="30">
        <f>IF(COUNTIFS(Phrases!$A:$A,$A20,Phrases!$I:$I,"&lt;&gt;")&gt;0,"ok","à faire")</f>
        <v/>
      </c>
      <c r="I20" s="30">
        <f>IF(COUNTIF(Synonymes!$A:$A,$A20)&gt;0,"ok","")</f>
        <v/>
      </c>
      <c r="J20" s="30">
        <f>COUNTIF(E20:H20,"à faire")</f>
        <v/>
      </c>
    </row>
    <row r="21">
      <c r="A21" s="30" t="inlineStr">
        <is>
          <t>tante</t>
        </is>
      </c>
      <c r="B21" s="30">
        <f>IFERROR(INDEX(Mots!$B:$B,MATCH($A21,Mots!$A:$A,0)),"introuvable")</f>
        <v/>
      </c>
      <c r="C21" s="30">
        <f>IFERROR(INDEX(Mots!$S:$S,MATCH($A21,Mots!$A:$A,0)),"")</f>
        <v/>
      </c>
      <c r="D21" s="30">
        <f>IFERROR(COUNTA(INDEX(Mots!$J:$J,MATCH($A21,Mots!$A:$A,0)):INDEX(Mots!$P:$P,MATCH($A21,Mots!$A:$A,0))),0)</f>
        <v/>
      </c>
      <c r="E21" s="30">
        <f>IF(COUNTIF(Classement!$A:$A,$A21)&gt;0,"ok","à faire")</f>
        <v/>
      </c>
      <c r="F21" s="30">
        <f>IF(COUNTIF(Tags!$A:$A,$A21)&gt;0,"ok","à faire")</f>
        <v/>
      </c>
      <c r="G21" s="30">
        <f>IF(COUNTIF(Phrases!$A:$A,$A21)&gt;0,"ok","à faire")</f>
        <v/>
      </c>
      <c r="H21" s="30">
        <f>IF(COUNTIFS(Phrases!$A:$A,$A21,Phrases!$I:$I,"&lt;&gt;")&gt;0,"ok","à faire")</f>
        <v/>
      </c>
      <c r="I21" s="30">
        <f>IF(COUNTIF(Synonymes!$A:$A,$A21)&gt;0,"ok","")</f>
        <v/>
      </c>
      <c r="J21" s="30">
        <f>COUNTIF(E21:H21,"à faire")</f>
        <v/>
      </c>
    </row>
    <row r="22">
      <c r="A22" s="30" t="inlineStr">
        <is>
          <t>oncle</t>
        </is>
      </c>
      <c r="B22" s="30">
        <f>IFERROR(INDEX(Mots!$B:$B,MATCH($A22,Mots!$A:$A,0)),"introuvable")</f>
        <v/>
      </c>
      <c r="C22" s="30">
        <f>IFERROR(INDEX(Mots!$S:$S,MATCH($A22,Mots!$A:$A,0)),"")</f>
        <v/>
      </c>
      <c r="D22" s="30">
        <f>IFERROR(COUNTA(INDEX(Mots!$J:$J,MATCH($A22,Mots!$A:$A,0)):INDEX(Mots!$P:$P,MATCH($A22,Mots!$A:$A,0))),0)</f>
        <v/>
      </c>
      <c r="E22" s="30">
        <f>IF(COUNTIF(Classement!$A:$A,$A22)&gt;0,"ok","à faire")</f>
        <v/>
      </c>
      <c r="F22" s="30">
        <f>IF(COUNTIF(Tags!$A:$A,$A22)&gt;0,"ok","à faire")</f>
        <v/>
      </c>
      <c r="G22" s="30">
        <f>IF(COUNTIF(Phrases!$A:$A,$A22)&gt;0,"ok","à faire")</f>
        <v/>
      </c>
      <c r="H22" s="30">
        <f>IF(COUNTIFS(Phrases!$A:$A,$A22,Phrases!$I:$I,"&lt;&gt;")&gt;0,"ok","à faire")</f>
        <v/>
      </c>
      <c r="I22" s="30">
        <f>IF(COUNTIF(Synonymes!$A:$A,$A22)&gt;0,"ok","")</f>
        <v/>
      </c>
      <c r="J22" s="30">
        <f>COUNTIF(E22:H22,"à faire")</f>
        <v/>
      </c>
    </row>
    <row r="23">
      <c r="A23" s="30" t="inlineStr">
        <is>
          <t>homme</t>
        </is>
      </c>
      <c r="B23" s="30">
        <f>IFERROR(INDEX(Mots!$B:$B,MATCH($A23,Mots!$A:$A,0)),"introuvable")</f>
        <v/>
      </c>
      <c r="C23" s="30">
        <f>IFERROR(INDEX(Mots!$S:$S,MATCH($A23,Mots!$A:$A,0)),"")</f>
        <v/>
      </c>
      <c r="D23" s="30">
        <f>IFERROR(COUNTA(INDEX(Mots!$J:$J,MATCH($A23,Mots!$A:$A,0)):INDEX(Mots!$P:$P,MATCH($A23,Mots!$A:$A,0))),0)</f>
        <v/>
      </c>
      <c r="E23" s="30">
        <f>IF(COUNTIF(Classement!$A:$A,$A23)&gt;0,"ok","à faire")</f>
        <v/>
      </c>
      <c r="F23" s="30">
        <f>IF(COUNTIF(Tags!$A:$A,$A23)&gt;0,"ok","à faire")</f>
        <v/>
      </c>
      <c r="G23" s="30">
        <f>IF(COUNTIF(Phrases!$A:$A,$A23)&gt;0,"ok","à faire")</f>
        <v/>
      </c>
      <c r="H23" s="30">
        <f>IF(COUNTIFS(Phrases!$A:$A,$A23,Phrases!$I:$I,"&lt;&gt;")&gt;0,"ok","à faire")</f>
        <v/>
      </c>
      <c r="I23" s="30">
        <f>IF(COUNTIF(Synonymes!$A:$A,$A23)&gt;0,"ok","")</f>
        <v/>
      </c>
      <c r="J23" s="30">
        <f>COUNTIF(E23:H23,"à faire")</f>
        <v/>
      </c>
    </row>
    <row r="24">
      <c r="A24" s="30" t="inlineStr">
        <is>
          <t>femme</t>
        </is>
      </c>
      <c r="B24" s="30">
        <f>IFERROR(INDEX(Mots!$B:$B,MATCH($A24,Mots!$A:$A,0)),"introuvable")</f>
        <v/>
      </c>
      <c r="C24" s="30">
        <f>IFERROR(INDEX(Mots!$S:$S,MATCH($A24,Mots!$A:$A,0)),"")</f>
        <v/>
      </c>
      <c r="D24" s="30">
        <f>IFERROR(COUNTA(INDEX(Mots!$J:$J,MATCH($A24,Mots!$A:$A,0)):INDEX(Mots!$P:$P,MATCH($A24,Mots!$A:$A,0))),0)</f>
        <v/>
      </c>
      <c r="E24" s="30">
        <f>IF(COUNTIF(Classement!$A:$A,$A24)&gt;0,"ok","à faire")</f>
        <v/>
      </c>
      <c r="F24" s="30">
        <f>IF(COUNTIF(Tags!$A:$A,$A24)&gt;0,"ok","à faire")</f>
        <v/>
      </c>
      <c r="G24" s="30">
        <f>IF(COUNTIF(Phrases!$A:$A,$A24)&gt;0,"ok","à faire")</f>
        <v/>
      </c>
      <c r="H24" s="30">
        <f>IF(COUNTIFS(Phrases!$A:$A,$A24,Phrases!$I:$I,"&lt;&gt;")&gt;0,"ok","à faire")</f>
        <v/>
      </c>
      <c r="I24" s="30">
        <f>IF(COUNTIF(Synonymes!$A:$A,$A24)&gt;0,"ok","")</f>
        <v/>
      </c>
      <c r="J24" s="30">
        <f>COUNTIF(E24:H24,"à faire")</f>
        <v/>
      </c>
    </row>
    <row r="25">
      <c r="A25" s="30" t="inlineStr">
        <is>
          <t>pelouse</t>
        </is>
      </c>
      <c r="B25" s="30">
        <f>IFERROR(INDEX(Mots!$B:$B,MATCH($A25,Mots!$A:$A,0)),"introuvable")</f>
        <v/>
      </c>
      <c r="C25" s="30">
        <f>IFERROR(INDEX(Mots!$S:$S,MATCH($A25,Mots!$A:$A,0)),"")</f>
        <v/>
      </c>
      <c r="D25" s="30">
        <f>IFERROR(COUNTA(INDEX(Mots!$J:$J,MATCH($A25,Mots!$A:$A,0)):INDEX(Mots!$P:$P,MATCH($A25,Mots!$A:$A,0))),0)</f>
        <v/>
      </c>
      <c r="E25" s="30">
        <f>IF(COUNTIF(Classement!$A:$A,$A25)&gt;0,"ok","à faire")</f>
        <v/>
      </c>
      <c r="F25" s="30">
        <f>IF(COUNTIF(Tags!$A:$A,$A25)&gt;0,"ok","à faire")</f>
        <v/>
      </c>
      <c r="G25" s="30">
        <f>IF(COUNTIF(Phrases!$A:$A,$A25)&gt;0,"ok","à faire")</f>
        <v/>
      </c>
      <c r="H25" s="30">
        <f>IF(COUNTIFS(Phrases!$A:$A,$A25,Phrases!$I:$I,"&lt;&gt;")&gt;0,"ok","à faire")</f>
        <v/>
      </c>
      <c r="I25" s="30">
        <f>IF(COUNTIF(Synonymes!$A:$A,$A25)&gt;0,"ok","")</f>
        <v/>
      </c>
      <c r="J25" s="30">
        <f>COUNTIF(E25:H25,"à faire")</f>
        <v/>
      </c>
    </row>
    <row r="26">
      <c r="A26" s="30" t="inlineStr">
        <is>
          <t>table_de_jardin</t>
        </is>
      </c>
      <c r="B26" s="30">
        <f>IFERROR(INDEX(Mots!$B:$B,MATCH($A26,Mots!$A:$A,0)),"introuvable")</f>
        <v/>
      </c>
      <c r="C26" s="30">
        <f>IFERROR(INDEX(Mots!$S:$S,MATCH($A26,Mots!$A:$A,0)),"")</f>
        <v/>
      </c>
      <c r="D26" s="30">
        <f>IFERROR(COUNTA(INDEX(Mots!$J:$J,MATCH($A26,Mots!$A:$A,0)):INDEX(Mots!$P:$P,MATCH($A26,Mots!$A:$A,0))),0)</f>
        <v/>
      </c>
      <c r="E26" s="30">
        <f>IF(COUNTIF(Classement!$A:$A,$A26)&gt;0,"ok","à faire")</f>
        <v/>
      </c>
      <c r="F26" s="30">
        <f>IF(COUNTIF(Tags!$A:$A,$A26)&gt;0,"ok","à faire")</f>
        <v/>
      </c>
      <c r="G26" s="30">
        <f>IF(COUNTIF(Phrases!$A:$A,$A26)&gt;0,"ok","à faire")</f>
        <v/>
      </c>
      <c r="H26" s="30">
        <f>IF(COUNTIFS(Phrases!$A:$A,$A26,Phrases!$I:$I,"&lt;&gt;")&gt;0,"ok","à faire")</f>
        <v/>
      </c>
      <c r="I26" s="30">
        <f>IF(COUNTIF(Synonymes!$A:$A,$A26)&gt;0,"ok","")</f>
        <v/>
      </c>
      <c r="J26" s="30">
        <f>COUNTIF(E26:H26,"à faire")</f>
        <v/>
      </c>
    </row>
    <row r="27">
      <c r="A27" s="30" t="inlineStr">
        <is>
          <t>haie_de_thujas</t>
        </is>
      </c>
      <c r="B27" s="30">
        <f>IFERROR(INDEX(Mots!$B:$B,MATCH($A27,Mots!$A:$A,0)),"introuvable")</f>
        <v/>
      </c>
      <c r="C27" s="30">
        <f>IFERROR(INDEX(Mots!$S:$S,MATCH($A27,Mots!$A:$A,0)),"")</f>
        <v/>
      </c>
      <c r="D27" s="30">
        <f>IFERROR(COUNTA(INDEX(Mots!$J:$J,MATCH($A27,Mots!$A:$A,0)):INDEX(Mots!$P:$P,MATCH($A27,Mots!$A:$A,0))),0)</f>
        <v/>
      </c>
      <c r="E27" s="30">
        <f>IF(COUNTIF(Classement!$A:$A,$A27)&gt;0,"ok","à faire")</f>
        <v/>
      </c>
      <c r="F27" s="30">
        <f>IF(COUNTIF(Tags!$A:$A,$A27)&gt;0,"ok","à faire")</f>
        <v/>
      </c>
      <c r="G27" s="30">
        <f>IF(COUNTIF(Phrases!$A:$A,$A27)&gt;0,"ok","à faire")</f>
        <v/>
      </c>
      <c r="H27" s="30">
        <f>IF(COUNTIFS(Phrases!$A:$A,$A27,Phrases!$I:$I,"&lt;&gt;")&gt;0,"ok","à faire")</f>
        <v/>
      </c>
      <c r="I27" s="30">
        <f>IF(COUNTIF(Synonymes!$A:$A,$A27)&gt;0,"ok","")</f>
        <v/>
      </c>
      <c r="J27" s="30">
        <f>COUNTIF(E27:H27,"à faire")</f>
        <v/>
      </c>
    </row>
    <row r="28">
      <c r="A28" s="30" t="inlineStr">
        <is>
          <t>arrosage_automatique</t>
        </is>
      </c>
      <c r="B28" s="30">
        <f>IFERROR(INDEX(Mots!$B:$B,MATCH($A28,Mots!$A:$A,0)),"introuvable")</f>
        <v/>
      </c>
      <c r="C28" s="30">
        <f>IFERROR(INDEX(Mots!$S:$S,MATCH($A28,Mots!$A:$A,0)),"")</f>
        <v/>
      </c>
      <c r="D28" s="30">
        <f>IFERROR(COUNTA(INDEX(Mots!$J:$J,MATCH($A28,Mots!$A:$A,0)):INDEX(Mots!$P:$P,MATCH($A28,Mots!$A:$A,0))),0)</f>
        <v/>
      </c>
      <c r="E28" s="30">
        <f>IF(COUNTIF(Classement!$A:$A,$A28)&gt;0,"ok","à faire")</f>
        <v/>
      </c>
      <c r="F28" s="30">
        <f>IF(COUNTIF(Tags!$A:$A,$A28)&gt;0,"ok","à faire")</f>
        <v/>
      </c>
      <c r="G28" s="30">
        <f>IF(COUNTIF(Phrases!$A:$A,$A28)&gt;0,"ok","à faire")</f>
        <v/>
      </c>
      <c r="H28" s="30">
        <f>IF(COUNTIFS(Phrases!$A:$A,$A28,Phrases!$I:$I,"&lt;&gt;")&gt;0,"ok","à faire")</f>
        <v/>
      </c>
      <c r="I28" s="30">
        <f>IF(COUNTIF(Synonymes!$A:$A,$A28)&gt;0,"ok","")</f>
        <v/>
      </c>
      <c r="J28" s="30">
        <f>COUNTIF(E28:H28,"à faire")</f>
        <v/>
      </c>
    </row>
    <row r="29">
      <c r="A29" s="30" t="inlineStr">
        <is>
          <t>tondeuse_a_gazon</t>
        </is>
      </c>
      <c r="B29" s="30">
        <f>IFERROR(INDEX(Mots!$B:$B,MATCH($A29,Mots!$A:$A,0)),"introuvable")</f>
        <v/>
      </c>
      <c r="C29" s="30">
        <f>IFERROR(INDEX(Mots!$S:$S,MATCH($A29,Mots!$A:$A,0)),"")</f>
        <v/>
      </c>
      <c r="D29" s="30">
        <f>IFERROR(COUNTA(INDEX(Mots!$J:$J,MATCH($A29,Mots!$A:$A,0)):INDEX(Mots!$P:$P,MATCH($A29,Mots!$A:$A,0))),0)</f>
        <v/>
      </c>
      <c r="E29" s="30">
        <f>IF(COUNTIF(Classement!$A:$A,$A29)&gt;0,"ok","à faire")</f>
        <v/>
      </c>
      <c r="F29" s="30">
        <f>IF(COUNTIF(Tags!$A:$A,$A29)&gt;0,"ok","à faire")</f>
        <v/>
      </c>
      <c r="G29" s="30">
        <f>IF(COUNTIF(Phrases!$A:$A,$A29)&gt;0,"ok","à faire")</f>
        <v/>
      </c>
      <c r="H29" s="30">
        <f>IF(COUNTIFS(Phrases!$A:$A,$A29,Phrases!$I:$I,"&lt;&gt;")&gt;0,"ok","à faire")</f>
        <v/>
      </c>
      <c r="I29" s="30">
        <f>IF(COUNTIF(Synonymes!$A:$A,$A29)&gt;0,"ok","")</f>
        <v/>
      </c>
      <c r="J29" s="30">
        <f>COUNTIF(E29:H29,"à faire")</f>
        <v/>
      </c>
    </row>
    <row r="30">
      <c r="A30" s="30" t="inlineStr">
        <is>
          <t>essence_pour_tondeuse</t>
        </is>
      </c>
      <c r="B30" s="30">
        <f>IFERROR(INDEX(Mots!$B:$B,MATCH($A30,Mots!$A:$A,0)),"introuvable")</f>
        <v/>
      </c>
      <c r="C30" s="30">
        <f>IFERROR(INDEX(Mots!$S:$S,MATCH($A30,Mots!$A:$A,0)),"")</f>
        <v/>
      </c>
      <c r="D30" s="30">
        <f>IFERROR(COUNTA(INDEX(Mots!$J:$J,MATCH($A30,Mots!$A:$A,0)):INDEX(Mots!$P:$P,MATCH($A30,Mots!$A:$A,0))),0)</f>
        <v/>
      </c>
      <c r="E30" s="30">
        <f>IF(COUNTIF(Classement!$A:$A,$A30)&gt;0,"ok","à faire")</f>
        <v/>
      </c>
      <c r="F30" s="30">
        <f>IF(COUNTIF(Tags!$A:$A,$A30)&gt;0,"ok","à faire")</f>
        <v/>
      </c>
      <c r="G30" s="30">
        <f>IF(COUNTIF(Phrases!$A:$A,$A30)&gt;0,"ok","à faire")</f>
        <v/>
      </c>
      <c r="H30" s="30">
        <f>IF(COUNTIFS(Phrases!$A:$A,$A30,Phrases!$I:$I,"&lt;&gt;")&gt;0,"ok","à faire")</f>
        <v/>
      </c>
      <c r="I30" s="30">
        <f>IF(COUNTIF(Synonymes!$A:$A,$A30)&gt;0,"ok","")</f>
        <v/>
      </c>
      <c r="J30" s="30">
        <f>COUNTIF(E30:H30,"à faire")</f>
        <v/>
      </c>
    </row>
    <row r="31">
      <c r="A31" s="30" t="inlineStr">
        <is>
          <t>debroussailleuse</t>
        </is>
      </c>
      <c r="B31" s="30">
        <f>IFERROR(INDEX(Mots!$B:$B,MATCH($A31,Mots!$A:$A,0)),"introuvable")</f>
        <v/>
      </c>
      <c r="C31" s="30">
        <f>IFERROR(INDEX(Mots!$S:$S,MATCH($A31,Mots!$A:$A,0)),"")</f>
        <v/>
      </c>
      <c r="D31" s="30">
        <f>IFERROR(COUNTA(INDEX(Mots!$J:$J,MATCH($A31,Mots!$A:$A,0)):INDEX(Mots!$P:$P,MATCH($A31,Mots!$A:$A,0))),0)</f>
        <v/>
      </c>
      <c r="E31" s="30">
        <f>IF(COUNTIF(Classement!$A:$A,$A31)&gt;0,"ok","à faire")</f>
        <v/>
      </c>
      <c r="F31" s="30">
        <f>IF(COUNTIF(Tags!$A:$A,$A31)&gt;0,"ok","à faire")</f>
        <v/>
      </c>
      <c r="G31" s="30">
        <f>IF(COUNTIF(Phrases!$A:$A,$A31)&gt;0,"ok","à faire")</f>
        <v/>
      </c>
      <c r="H31" s="30">
        <f>IF(COUNTIFS(Phrases!$A:$A,$A31,Phrases!$I:$I,"&lt;&gt;")&gt;0,"ok","à faire")</f>
        <v/>
      </c>
      <c r="I31" s="30">
        <f>IF(COUNTIF(Synonymes!$A:$A,$A31)&gt;0,"ok","")</f>
        <v/>
      </c>
      <c r="J31" s="30">
        <f>COUNTIF(E31:H31,"à faire")</f>
        <v/>
      </c>
    </row>
    <row r="32">
      <c r="A32" s="30" t="inlineStr">
        <is>
          <t>fil_debroussailleuse</t>
        </is>
      </c>
      <c r="B32" s="30">
        <f>IFERROR(INDEX(Mots!$B:$B,MATCH($A32,Mots!$A:$A,0)),"introuvable")</f>
        <v/>
      </c>
      <c r="C32" s="30">
        <f>IFERROR(INDEX(Mots!$S:$S,MATCH($A32,Mots!$A:$A,0)),"")</f>
        <v/>
      </c>
      <c r="D32" s="30">
        <f>IFERROR(COUNTA(INDEX(Mots!$J:$J,MATCH($A32,Mots!$A:$A,0)):INDEX(Mots!$P:$P,MATCH($A32,Mots!$A:$A,0))),0)</f>
        <v/>
      </c>
      <c r="E32" s="30">
        <f>IF(COUNTIF(Classement!$A:$A,$A32)&gt;0,"ok","à faire")</f>
        <v/>
      </c>
      <c r="F32" s="30">
        <f>IF(COUNTIF(Tags!$A:$A,$A32)&gt;0,"ok","à faire")</f>
        <v/>
      </c>
      <c r="G32" s="30">
        <f>IF(COUNTIF(Phrases!$A:$A,$A32)&gt;0,"ok","à faire")</f>
        <v/>
      </c>
      <c r="H32" s="30">
        <f>IF(COUNTIFS(Phrases!$A:$A,$A32,Phrases!$I:$I,"&lt;&gt;")&gt;0,"ok","à faire")</f>
        <v/>
      </c>
      <c r="I32" s="30">
        <f>IF(COUNTIF(Synonymes!$A:$A,$A32)&gt;0,"ok","")</f>
        <v/>
      </c>
      <c r="J32" s="30">
        <f>COUNTIF(E32:H32,"à faire")</f>
        <v/>
      </c>
    </row>
    <row r="33">
      <c r="A33" s="30" t="inlineStr">
        <is>
          <t>don_honneur</t>
        </is>
      </c>
      <c r="B33" s="30">
        <f>IFERROR(INDEX(Mots!$B:$B,MATCH($A33,Mots!$A:$A,0)),"introuvable")</f>
        <v/>
      </c>
      <c r="C33" s="30">
        <f>IFERROR(INDEX(Mots!$S:$S,MATCH($A33,Mots!$A:$A,0)),"")</f>
        <v/>
      </c>
      <c r="D33" s="30">
        <f>IFERROR(COUNTA(INDEX(Mots!$J:$J,MATCH($A33,Mots!$A:$A,0)):INDEX(Mots!$P:$P,MATCH($A33,Mots!$A:$A,0))),0)</f>
        <v/>
      </c>
      <c r="E33" s="30">
        <f>IF(COUNTIF(Classement!$A:$A,$A33)&gt;0,"ok","à faire")</f>
        <v/>
      </c>
      <c r="F33" s="30">
        <f>IF(COUNTIF(Tags!$A:$A,$A33)&gt;0,"ok","à faire")</f>
        <v/>
      </c>
      <c r="G33" s="30">
        <f>IF(COUNTIF(Phrases!$A:$A,$A33)&gt;0,"ok","à faire")</f>
        <v/>
      </c>
      <c r="H33" s="30">
        <f>IF(COUNTIFS(Phrases!$A:$A,$A33,Phrases!$I:$I,"&lt;&gt;")&gt;0,"ok","à faire")</f>
        <v/>
      </c>
      <c r="I33" s="30">
        <f>IF(COUNTIF(Synonymes!$A:$A,$A33)&gt;0,"ok","")</f>
        <v/>
      </c>
      <c r="J33" s="30">
        <f>COUNTIF(E33:H33,"à faire")</f>
        <v/>
      </c>
    </row>
    <row r="34">
      <c r="A34" s="30" t="inlineStr">
        <is>
          <t>le_defile</t>
        </is>
      </c>
      <c r="B34" s="30">
        <f>IFERROR(INDEX(Mots!$B:$B,MATCH($A34,Mots!$A:$A,0)),"introuvable")</f>
        <v/>
      </c>
      <c r="C34" s="30">
        <f>IFERROR(INDEX(Mots!$S:$S,MATCH($A34,Mots!$A:$A,0)),"")</f>
        <v/>
      </c>
      <c r="D34" s="30">
        <f>IFERROR(COUNTA(INDEX(Mots!$J:$J,MATCH($A34,Mots!$A:$A,0)):INDEX(Mots!$P:$P,MATCH($A34,Mots!$A:$A,0))),0)</f>
        <v/>
      </c>
      <c r="E34" s="30">
        <f>IF(COUNTIF(Classement!$A:$A,$A34)&gt;0,"ok","à faire")</f>
        <v/>
      </c>
      <c r="F34" s="30">
        <f>IF(COUNTIF(Tags!$A:$A,$A34)&gt;0,"ok","à faire")</f>
        <v/>
      </c>
      <c r="G34" s="30">
        <f>IF(COUNTIF(Phrases!$A:$A,$A34)&gt;0,"ok","à faire")</f>
        <v/>
      </c>
      <c r="H34" s="30">
        <f>IF(COUNTIFS(Phrases!$A:$A,$A34,Phrases!$I:$I,"&lt;&gt;")&gt;0,"ok","à faire")</f>
        <v/>
      </c>
      <c r="I34" s="30">
        <f>IF(COUNTIF(Synonymes!$A:$A,$A34)&gt;0,"ok","")</f>
        <v/>
      </c>
      <c r="J34" s="30">
        <f>COUNTIF(E34:H34,"à faire")</f>
        <v/>
      </c>
    </row>
    <row r="35">
      <c r="A35" s="30" t="inlineStr">
        <is>
          <t>asm</t>
        </is>
      </c>
      <c r="B35" s="30">
        <f>IFERROR(INDEX(Mots!$B:$B,MATCH($A35,Mots!$A:$A,0)),"introuvable")</f>
        <v/>
      </c>
      <c r="C35" s="30">
        <f>IFERROR(INDEX(Mots!$S:$S,MATCH($A35,Mots!$A:$A,0)),"")</f>
        <v/>
      </c>
      <c r="D35" s="30">
        <f>IFERROR(COUNTA(INDEX(Mots!$J:$J,MATCH($A35,Mots!$A:$A,0)):INDEX(Mots!$P:$P,MATCH($A35,Mots!$A:$A,0))),0)</f>
        <v/>
      </c>
      <c r="E35" s="30">
        <f>IF(COUNTIF(Classement!$A:$A,$A35)&gt;0,"ok","à faire")</f>
        <v/>
      </c>
      <c r="F35" s="30">
        <f>IF(COUNTIF(Tags!$A:$A,$A35)&gt;0,"ok","à faire")</f>
        <v/>
      </c>
      <c r="G35" s="30">
        <f>IF(COUNTIF(Phrases!$A:$A,$A35)&gt;0,"ok","à faire")</f>
        <v/>
      </c>
      <c r="H35" s="30">
        <f>IF(COUNTIFS(Phrases!$A:$A,$A35,Phrases!$I:$I,"&lt;&gt;")&gt;0,"ok","à faire")</f>
        <v/>
      </c>
      <c r="I35" s="30">
        <f>IF(COUNTIF(Synonymes!$A:$A,$A35)&gt;0,"ok","")</f>
        <v/>
      </c>
      <c r="J35" s="30">
        <f>COUNTIF(E35:H35,"à faire")</f>
        <v/>
      </c>
    </row>
    <row r="36">
      <c r="A36" s="30" t="inlineStr">
        <is>
          <t>acmv</t>
        </is>
      </c>
      <c r="B36" s="30">
        <f>IFERROR(INDEX(Mots!$B:$B,MATCH($A36,Mots!$A:$A,0)),"introuvable")</f>
        <v/>
      </c>
      <c r="C36" s="30">
        <f>IFERROR(INDEX(Mots!$S:$S,MATCH($A36,Mots!$A:$A,0)),"")</f>
        <v/>
      </c>
      <c r="D36" s="30">
        <f>IFERROR(COUNTA(INDEX(Mots!$J:$J,MATCH($A36,Mots!$A:$A,0)):INDEX(Mots!$P:$P,MATCH($A36,Mots!$A:$A,0))),0)</f>
        <v/>
      </c>
      <c r="E36" s="30">
        <f>IF(COUNTIF(Classement!$A:$A,$A36)&gt;0,"ok","à faire")</f>
        <v/>
      </c>
      <c r="F36" s="30">
        <f>IF(COUNTIF(Tags!$A:$A,$A36)&gt;0,"ok","à faire")</f>
        <v/>
      </c>
      <c r="G36" s="30">
        <f>IF(COUNTIF(Phrases!$A:$A,$A36)&gt;0,"ok","à faire")</f>
        <v/>
      </c>
      <c r="H36" s="30">
        <f>IF(COUNTIFS(Phrases!$A:$A,$A36,Phrases!$I:$I,"&lt;&gt;")&gt;0,"ok","à faire")</f>
        <v/>
      </c>
      <c r="I36" s="30">
        <f>IF(COUNTIF(Synonymes!$A:$A,$A36)&gt;0,"ok","")</f>
        <v/>
      </c>
      <c r="J36" s="30">
        <f>COUNTIF(E36:H36,"à faire")</f>
        <v/>
      </c>
    </row>
    <row r="37">
      <c r="A37" s="30" t="inlineStr">
        <is>
          <t>fmvc</t>
        </is>
      </c>
      <c r="B37" s="30">
        <f>IFERROR(INDEX(Mots!$B:$B,MATCH($A37,Mots!$A:$A,0)),"introuvable")</f>
        <v/>
      </c>
      <c r="C37" s="30">
        <f>IFERROR(INDEX(Mots!$S:$S,MATCH($A37,Mots!$A:$A,0)),"")</f>
        <v/>
      </c>
      <c r="D37" s="30">
        <f>IFERROR(COUNTA(INDEX(Mots!$J:$J,MATCH($A37,Mots!$A:$A,0)):INDEX(Mots!$P:$P,MATCH($A37,Mots!$A:$A,0))),0)</f>
        <v/>
      </c>
      <c r="E37" s="30">
        <f>IF(COUNTIF(Classement!$A:$A,$A37)&gt;0,"ok","à faire")</f>
        <v/>
      </c>
      <c r="F37" s="30">
        <f>IF(COUNTIF(Tags!$A:$A,$A37)&gt;0,"ok","à faire")</f>
        <v/>
      </c>
      <c r="G37" s="30">
        <f>IF(COUNTIF(Phrases!$A:$A,$A37)&gt;0,"ok","à faire")</f>
        <v/>
      </c>
      <c r="H37" s="30">
        <f>IF(COUNTIFS(Phrases!$A:$A,$A37,Phrases!$I:$I,"&lt;&gt;")&gt;0,"ok","à faire")</f>
        <v/>
      </c>
      <c r="I37" s="30">
        <f>IF(COUNTIF(Synonymes!$A:$A,$A37)&gt;0,"ok","")</f>
        <v/>
      </c>
      <c r="J37" s="30">
        <f>COUNTIF(E37:H37,"à faire")</f>
        <v/>
      </c>
    </row>
    <row r="38">
      <c r="A38" s="30" t="inlineStr">
        <is>
          <t>yvan_maistre</t>
        </is>
      </c>
      <c r="B38" s="30">
        <f>IFERROR(INDEX(Mots!$B:$B,MATCH($A38,Mots!$A:$A,0)),"introuvable")</f>
        <v/>
      </c>
      <c r="C38" s="30">
        <f>IFERROR(INDEX(Mots!$S:$S,MATCH($A38,Mots!$A:$A,0)),"")</f>
        <v/>
      </c>
      <c r="D38" s="30">
        <f>IFERROR(COUNTA(INDEX(Mots!$J:$J,MATCH($A38,Mots!$A:$A,0)):INDEX(Mots!$P:$P,MATCH($A38,Mots!$A:$A,0))),0)</f>
        <v/>
      </c>
      <c r="E38" s="30">
        <f>IF(COUNTIF(Classement!$A:$A,$A38)&gt;0,"ok","à faire")</f>
        <v/>
      </c>
      <c r="F38" s="30">
        <f>IF(COUNTIF(Tags!$A:$A,$A38)&gt;0,"ok","à faire")</f>
        <v/>
      </c>
      <c r="G38" s="30">
        <f>IF(COUNTIF(Phrases!$A:$A,$A38)&gt;0,"ok","à faire")</f>
        <v/>
      </c>
      <c r="H38" s="30">
        <f>IF(COUNTIFS(Phrases!$A:$A,$A38,Phrases!$I:$I,"&lt;&gt;")&gt;0,"ok","à faire")</f>
        <v/>
      </c>
      <c r="I38" s="30">
        <f>IF(COUNTIF(Synonymes!$A:$A,$A38)&gt;0,"ok","")</f>
        <v/>
      </c>
      <c r="J38" s="30">
        <f>COUNTIF(E38:H38,"à faire")</f>
        <v/>
      </c>
    </row>
    <row r="39">
      <c r="A39" s="30" t="inlineStr">
        <is>
          <t>baguette</t>
        </is>
      </c>
      <c r="B39" s="30">
        <f>IFERROR(INDEX(Mots!$B:$B,MATCH($A39,Mots!$A:$A,0)),"introuvable")</f>
        <v/>
      </c>
      <c r="C39" s="30">
        <f>IFERROR(INDEX(Mots!$S:$S,MATCH($A39,Mots!$A:$A,0)),"")</f>
        <v/>
      </c>
      <c r="D39" s="30">
        <f>IFERROR(COUNTA(INDEX(Mots!$J:$J,MATCH($A39,Mots!$A:$A,0)):INDEX(Mots!$P:$P,MATCH($A39,Mots!$A:$A,0))),0)</f>
        <v/>
      </c>
      <c r="E39" s="30">
        <f>IF(COUNTIF(Classement!$A:$A,$A39)&gt;0,"ok","à faire")</f>
        <v/>
      </c>
      <c r="F39" s="30">
        <f>IF(COUNTIF(Tags!$A:$A,$A39)&gt;0,"ok","à faire")</f>
        <v/>
      </c>
      <c r="G39" s="30">
        <f>IF(COUNTIF(Phrases!$A:$A,$A39)&gt;0,"ok","à faire")</f>
        <v/>
      </c>
      <c r="H39" s="30">
        <f>IF(COUNTIFS(Phrases!$A:$A,$A39,Phrases!$I:$I,"&lt;&gt;")&gt;0,"ok","à faire")</f>
        <v/>
      </c>
      <c r="I39" s="30">
        <f>IF(COUNTIF(Synonymes!$A:$A,$A39)&gt;0,"ok","")</f>
        <v/>
      </c>
      <c r="J39" s="30">
        <f>COUNTIF(E39:H39,"à faire")</f>
        <v/>
      </c>
    </row>
    <row r="40">
      <c r="A40" s="30" t="inlineStr">
        <is>
          <t>chanson</t>
        </is>
      </c>
      <c r="B40" s="30">
        <f>IFERROR(INDEX(Mots!$B:$B,MATCH($A40,Mots!$A:$A,0)),"introuvable")</f>
        <v/>
      </c>
      <c r="C40" s="30">
        <f>IFERROR(INDEX(Mots!$S:$S,MATCH($A40,Mots!$A:$A,0)),"")</f>
        <v/>
      </c>
      <c r="D40" s="30">
        <f>IFERROR(COUNTA(INDEX(Mots!$J:$J,MATCH($A40,Mots!$A:$A,0)):INDEX(Mots!$P:$P,MATCH($A40,Mots!$A:$A,0))),0)</f>
        <v/>
      </c>
      <c r="E40" s="30">
        <f>IF(COUNTIF(Classement!$A:$A,$A40)&gt;0,"ok","à faire")</f>
        <v/>
      </c>
      <c r="F40" s="30">
        <f>IF(COUNTIF(Tags!$A:$A,$A40)&gt;0,"ok","à faire")</f>
        <v/>
      </c>
      <c r="G40" s="30">
        <f>IF(COUNTIF(Phrases!$A:$A,$A40)&gt;0,"ok","à faire")</f>
        <v/>
      </c>
      <c r="H40" s="30">
        <f>IF(COUNTIFS(Phrases!$A:$A,$A40,Phrases!$I:$I,"&lt;&gt;")&gt;0,"ok","à faire")</f>
        <v/>
      </c>
      <c r="I40" s="30">
        <f>IF(COUNTIF(Synonymes!$A:$A,$A40)&gt;0,"ok","")</f>
        <v/>
      </c>
      <c r="J40" s="30">
        <f>COUNTIF(E40:H40,"à faire")</f>
        <v/>
      </c>
    </row>
    <row r="41">
      <c r="A41" s="30" t="inlineStr">
        <is>
          <t>chorale</t>
        </is>
      </c>
      <c r="B41" s="30">
        <f>IFERROR(INDEX(Mots!$B:$B,MATCH($A41,Mots!$A:$A,0)),"introuvable")</f>
        <v/>
      </c>
      <c r="C41" s="30">
        <f>IFERROR(INDEX(Mots!$S:$S,MATCH($A41,Mots!$A:$A,0)),"")</f>
        <v/>
      </c>
      <c r="D41" s="30">
        <f>IFERROR(COUNTA(INDEX(Mots!$J:$J,MATCH($A41,Mots!$A:$A,0)):INDEX(Mots!$P:$P,MATCH($A41,Mots!$A:$A,0))),0)</f>
        <v/>
      </c>
      <c r="E41" s="30">
        <f>IF(COUNTIF(Classement!$A:$A,$A41)&gt;0,"ok","à faire")</f>
        <v/>
      </c>
      <c r="F41" s="30">
        <f>IF(COUNTIF(Tags!$A:$A,$A41)&gt;0,"ok","à faire")</f>
        <v/>
      </c>
      <c r="G41" s="30">
        <f>IF(COUNTIF(Phrases!$A:$A,$A41)&gt;0,"ok","à faire")</f>
        <v/>
      </c>
      <c r="H41" s="30">
        <f>IF(COUNTIFS(Phrases!$A:$A,$A41,Phrases!$I:$I,"&lt;&gt;")&gt;0,"ok","à faire")</f>
        <v/>
      </c>
      <c r="I41" s="30">
        <f>IF(COUNTIF(Synonymes!$A:$A,$A41)&gt;0,"ok","")</f>
        <v/>
      </c>
      <c r="J41" s="30">
        <f>COUNTIF(E41:H41,"à faire")</f>
        <v/>
      </c>
    </row>
    <row r="42">
      <c r="A42" s="30" t="inlineStr">
        <is>
          <t>danse</t>
        </is>
      </c>
      <c r="B42" s="30">
        <f>IFERROR(INDEX(Mots!$B:$B,MATCH($A42,Mots!$A:$A,0)),"introuvable")</f>
        <v/>
      </c>
      <c r="C42" s="30">
        <f>IFERROR(INDEX(Mots!$S:$S,MATCH($A42,Mots!$A:$A,0)),"")</f>
        <v/>
      </c>
      <c r="D42" s="30">
        <f>IFERROR(COUNTA(INDEX(Mots!$J:$J,MATCH($A42,Mots!$A:$A,0)):INDEX(Mots!$P:$P,MATCH($A42,Mots!$A:$A,0))),0)</f>
        <v/>
      </c>
      <c r="E42" s="30">
        <f>IF(COUNTIF(Classement!$A:$A,$A42)&gt;0,"ok","à faire")</f>
        <v/>
      </c>
      <c r="F42" s="30">
        <f>IF(COUNTIF(Tags!$A:$A,$A42)&gt;0,"ok","à faire")</f>
        <v/>
      </c>
      <c r="G42" s="30">
        <f>IF(COUNTIF(Phrases!$A:$A,$A42)&gt;0,"ok","à faire")</f>
        <v/>
      </c>
      <c r="H42" s="30">
        <f>IF(COUNTIFS(Phrases!$A:$A,$A42,Phrases!$I:$I,"&lt;&gt;")&gt;0,"ok","à faire")</f>
        <v/>
      </c>
      <c r="I42" s="30">
        <f>IF(COUNTIF(Synonymes!$A:$A,$A42)&gt;0,"ok","")</f>
        <v/>
      </c>
      <c r="J42" s="30">
        <f>COUNTIF(E42:H42,"à faire")</f>
        <v/>
      </c>
    </row>
    <row r="43">
      <c r="A43" s="30" t="inlineStr">
        <is>
          <t>melodie</t>
        </is>
      </c>
      <c r="B43" s="30">
        <f>IFERROR(INDEX(Mots!$B:$B,MATCH($A43,Mots!$A:$A,0)),"introuvable")</f>
        <v/>
      </c>
      <c r="C43" s="30">
        <f>IFERROR(INDEX(Mots!$S:$S,MATCH($A43,Mots!$A:$A,0)),"")</f>
        <v/>
      </c>
      <c r="D43" s="30">
        <f>IFERROR(COUNTA(INDEX(Mots!$J:$J,MATCH($A43,Mots!$A:$A,0)):INDEX(Mots!$P:$P,MATCH($A43,Mots!$A:$A,0))),0)</f>
        <v/>
      </c>
      <c r="E43" s="30">
        <f>IF(COUNTIF(Classement!$A:$A,$A43)&gt;0,"ok","à faire")</f>
        <v/>
      </c>
      <c r="F43" s="30">
        <f>IF(COUNTIF(Tags!$A:$A,$A43)&gt;0,"ok","à faire")</f>
        <v/>
      </c>
      <c r="G43" s="30">
        <f>IF(COUNTIF(Phrases!$A:$A,$A43)&gt;0,"ok","à faire")</f>
        <v/>
      </c>
      <c r="H43" s="30">
        <f>IF(COUNTIFS(Phrases!$A:$A,$A43,Phrases!$I:$I,"&lt;&gt;")&gt;0,"ok","à faire")</f>
        <v/>
      </c>
      <c r="I43" s="30">
        <f>IF(COUNTIF(Synonymes!$A:$A,$A43)&gt;0,"ok","")</f>
        <v/>
      </c>
      <c r="J43" s="30">
        <f>COUNTIF(E43:H43,"à faire")</f>
        <v/>
      </c>
    </row>
    <row r="44">
      <c r="A44" s="30" t="inlineStr">
        <is>
          <t>partition</t>
        </is>
      </c>
      <c r="B44" s="30">
        <f>IFERROR(INDEX(Mots!$B:$B,MATCH($A44,Mots!$A:$A,0)),"introuvable")</f>
        <v/>
      </c>
      <c r="C44" s="30">
        <f>IFERROR(INDEX(Mots!$S:$S,MATCH($A44,Mots!$A:$A,0)),"")</f>
        <v/>
      </c>
      <c r="D44" s="30">
        <f>IFERROR(COUNTA(INDEX(Mots!$J:$J,MATCH($A44,Mots!$A:$A,0)):INDEX(Mots!$P:$P,MATCH($A44,Mots!$A:$A,0))),0)</f>
        <v/>
      </c>
      <c r="E44" s="30">
        <f>IF(COUNTIF(Classement!$A:$A,$A44)&gt;0,"ok","à faire")</f>
        <v/>
      </c>
      <c r="F44" s="30">
        <f>IF(COUNTIF(Tags!$A:$A,$A44)&gt;0,"ok","à faire")</f>
        <v/>
      </c>
      <c r="G44" s="30">
        <f>IF(COUNTIF(Phrases!$A:$A,$A44)&gt;0,"ok","à faire")</f>
        <v/>
      </c>
      <c r="H44" s="30">
        <f>IF(COUNTIFS(Phrases!$A:$A,$A44,Phrases!$I:$I,"&lt;&gt;")&gt;0,"ok","à faire")</f>
        <v/>
      </c>
      <c r="I44" s="30">
        <f>IF(COUNTIF(Synonymes!$A:$A,$A44)&gt;0,"ok","")</f>
        <v/>
      </c>
      <c r="J44" s="30">
        <f>COUNTIF(E44:H44,"à faire")</f>
        <v/>
      </c>
    </row>
    <row r="45">
      <c r="A45" s="30" t="inlineStr">
        <is>
          <t>repetition</t>
        </is>
      </c>
      <c r="B45" s="30">
        <f>IFERROR(INDEX(Mots!$B:$B,MATCH($A45,Mots!$A:$A,0)),"introuvable")</f>
        <v/>
      </c>
      <c r="C45" s="30">
        <f>IFERROR(INDEX(Mots!$S:$S,MATCH($A45,Mots!$A:$A,0)),"")</f>
        <v/>
      </c>
      <c r="D45" s="30">
        <f>IFERROR(COUNTA(INDEX(Mots!$J:$J,MATCH($A45,Mots!$A:$A,0)):INDEX(Mots!$P:$P,MATCH($A45,Mots!$A:$A,0))),0)</f>
        <v/>
      </c>
      <c r="E45" s="30">
        <f>IF(COUNTIF(Classement!$A:$A,$A45)&gt;0,"ok","à faire")</f>
        <v/>
      </c>
      <c r="F45" s="30">
        <f>IF(COUNTIF(Tags!$A:$A,$A45)&gt;0,"ok","à faire")</f>
        <v/>
      </c>
      <c r="G45" s="30">
        <f>IF(COUNTIF(Phrases!$A:$A,$A45)&gt;0,"ok","à faire")</f>
        <v/>
      </c>
      <c r="H45" s="30">
        <f>IF(COUNTIFS(Phrases!$A:$A,$A45,Phrases!$I:$I,"&lt;&gt;")&gt;0,"ok","à faire")</f>
        <v/>
      </c>
      <c r="I45" s="30">
        <f>IF(COUNTIF(Synonymes!$A:$A,$A45)&gt;0,"ok","")</f>
        <v/>
      </c>
      <c r="J45" s="30">
        <f>COUNTIF(E45:H45,"à faire")</f>
        <v/>
      </c>
    </row>
    <row r="46">
      <c r="A46" s="30" t="inlineStr">
        <is>
          <t>scene</t>
        </is>
      </c>
      <c r="B46" s="30">
        <f>IFERROR(INDEX(Mots!$B:$B,MATCH($A46,Mots!$A:$A,0)),"introuvable")</f>
        <v/>
      </c>
      <c r="C46" s="30">
        <f>IFERROR(INDEX(Mots!$S:$S,MATCH($A46,Mots!$A:$A,0)),"")</f>
        <v/>
      </c>
      <c r="D46" s="30">
        <f>IFERROR(COUNTA(INDEX(Mots!$J:$J,MATCH($A46,Mots!$A:$A,0)):INDEX(Mots!$P:$P,MATCH($A46,Mots!$A:$A,0))),0)</f>
        <v/>
      </c>
      <c r="E46" s="30">
        <f>IF(COUNTIF(Classement!$A:$A,$A46)&gt;0,"ok","à faire")</f>
        <v/>
      </c>
      <c r="F46" s="30">
        <f>IF(COUNTIF(Tags!$A:$A,$A46)&gt;0,"ok","à faire")</f>
        <v/>
      </c>
      <c r="G46" s="30">
        <f>IF(COUNTIF(Phrases!$A:$A,$A46)&gt;0,"ok","à faire")</f>
        <v/>
      </c>
      <c r="H46" s="30">
        <f>IF(COUNTIFS(Phrases!$A:$A,$A46,Phrases!$I:$I,"&lt;&gt;")&gt;0,"ok","à faire")</f>
        <v/>
      </c>
      <c r="I46" s="30">
        <f>IF(COUNTIF(Synonymes!$A:$A,$A46)&gt;0,"ok","")</f>
        <v/>
      </c>
      <c r="J46" s="30">
        <f>COUNTIF(E46:H46,"à faire")</f>
        <v/>
      </c>
    </row>
    <row r="47">
      <c r="A47" s="30" t="inlineStr">
        <is>
          <t>directeur</t>
        </is>
      </c>
      <c r="B47" s="30">
        <f>IFERROR(INDEX(Mots!$B:$B,MATCH($A47,Mots!$A:$A,0)),"introuvable")</f>
        <v/>
      </c>
      <c r="C47" s="30">
        <f>IFERROR(INDEX(Mots!$S:$S,MATCH($A47,Mots!$A:$A,0)),"")</f>
        <v/>
      </c>
      <c r="D47" s="30">
        <f>IFERROR(COUNTA(INDEX(Mots!$J:$J,MATCH($A47,Mots!$A:$A,0)):INDEX(Mots!$P:$P,MATCH($A47,Mots!$A:$A,0))),0)</f>
        <v/>
      </c>
      <c r="E47" s="30">
        <f>IF(COUNTIF(Classement!$A:$A,$A47)&gt;0,"ok","à faire")</f>
        <v/>
      </c>
      <c r="F47" s="30">
        <f>IF(COUNTIF(Tags!$A:$A,$A47)&gt;0,"ok","à faire")</f>
        <v/>
      </c>
      <c r="G47" s="30">
        <f>IF(COUNTIF(Phrases!$A:$A,$A47)&gt;0,"ok","à faire")</f>
        <v/>
      </c>
      <c r="H47" s="30">
        <f>IF(COUNTIFS(Phrases!$A:$A,$A47,Phrases!$I:$I,"&lt;&gt;")&gt;0,"ok","à faire")</f>
        <v/>
      </c>
      <c r="I47" s="30">
        <f>IF(COUNTIF(Synonymes!$A:$A,$A47)&gt;0,"ok","")</f>
        <v/>
      </c>
      <c r="J47" s="30">
        <f>COUNTIF(E47:H47,"à faire")</f>
        <v/>
      </c>
    </row>
    <row r="48">
      <c r="A48" s="30" t="inlineStr">
        <is>
          <t>concert</t>
        </is>
      </c>
      <c r="B48" s="30">
        <f>IFERROR(INDEX(Mots!$B:$B,MATCH($A48,Mots!$A:$A,0)),"introuvable")</f>
        <v/>
      </c>
      <c r="C48" s="30">
        <f>IFERROR(INDEX(Mots!$S:$S,MATCH($A48,Mots!$A:$A,0)),"")</f>
        <v/>
      </c>
      <c r="D48" s="30">
        <f>IFERROR(COUNTA(INDEX(Mots!$J:$J,MATCH($A48,Mots!$A:$A,0)):INDEX(Mots!$P:$P,MATCH($A48,Mots!$A:$A,0))),0)</f>
        <v/>
      </c>
      <c r="E48" s="30">
        <f>IF(COUNTIF(Classement!$A:$A,$A48)&gt;0,"ok","à faire")</f>
        <v/>
      </c>
      <c r="F48" s="30">
        <f>IF(COUNTIF(Tags!$A:$A,$A48)&gt;0,"ok","à faire")</f>
        <v/>
      </c>
      <c r="G48" s="30">
        <f>IF(COUNTIF(Phrases!$A:$A,$A48)&gt;0,"ok","à faire")</f>
        <v/>
      </c>
      <c r="H48" s="30">
        <f>IF(COUNTIFS(Phrases!$A:$A,$A48,Phrases!$I:$I,"&lt;&gt;")&gt;0,"ok","à faire")</f>
        <v/>
      </c>
      <c r="I48" s="30">
        <f>IF(COUNTIF(Synonymes!$A:$A,$A48)&gt;0,"ok","")</f>
        <v/>
      </c>
      <c r="J48" s="30">
        <f>COUNTIF(E48:H48,"à faire")</f>
        <v/>
      </c>
    </row>
    <row r="49">
      <c r="A49" s="30" t="inlineStr">
        <is>
          <t>loisir</t>
        </is>
      </c>
      <c r="B49" s="30">
        <f>IFERROR(INDEX(Mots!$B:$B,MATCH($A49,Mots!$A:$A,0)),"introuvable")</f>
        <v/>
      </c>
      <c r="C49" s="30">
        <f>IFERROR(INDEX(Mots!$S:$S,MATCH($A49,Mots!$A:$A,0)),"")</f>
        <v/>
      </c>
      <c r="D49" s="30">
        <f>IFERROR(COUNTA(INDEX(Mots!$J:$J,MATCH($A49,Mots!$A:$A,0)):INDEX(Mots!$P:$P,MATCH($A49,Mots!$A:$A,0))),0)</f>
        <v/>
      </c>
      <c r="E49" s="30">
        <f>IF(COUNTIF(Classement!$A:$A,$A49)&gt;0,"ok","à faire")</f>
        <v/>
      </c>
      <c r="F49" s="30">
        <f>IF(COUNTIF(Tags!$A:$A,$A49)&gt;0,"ok","à faire")</f>
        <v/>
      </c>
      <c r="G49" s="30">
        <f>IF(COUNTIF(Phrases!$A:$A,$A49)&gt;0,"ok","à faire")</f>
        <v/>
      </c>
      <c r="H49" s="30">
        <f>IF(COUNTIFS(Phrases!$A:$A,$A49,Phrases!$I:$I,"&lt;&gt;")&gt;0,"ok","à faire")</f>
        <v/>
      </c>
      <c r="I49" s="30">
        <f>IF(COUNTIF(Synonymes!$A:$A,$A49)&gt;0,"ok","")</f>
        <v/>
      </c>
      <c r="J49" s="30">
        <f>COUNTIF(E49:H49,"à faire")</f>
        <v/>
      </c>
    </row>
    <row r="50">
      <c r="A50" s="30" t="inlineStr">
        <is>
          <t>loto</t>
        </is>
      </c>
      <c r="B50" s="30">
        <f>IFERROR(INDEX(Mots!$B:$B,MATCH($A50,Mots!$A:$A,0)),"introuvable")</f>
        <v/>
      </c>
      <c r="C50" s="30">
        <f>IFERROR(INDEX(Mots!$S:$S,MATCH($A50,Mots!$A:$A,0)),"")</f>
        <v/>
      </c>
      <c r="D50" s="30">
        <f>IFERROR(COUNTA(INDEX(Mots!$J:$J,MATCH($A50,Mots!$A:$A,0)):INDEX(Mots!$P:$P,MATCH($A50,Mots!$A:$A,0))),0)</f>
        <v/>
      </c>
      <c r="E50" s="30">
        <f>IF(COUNTIF(Classement!$A:$A,$A50)&gt;0,"ok","à faire")</f>
        <v/>
      </c>
      <c r="F50" s="30">
        <f>IF(COUNTIF(Tags!$A:$A,$A50)&gt;0,"ok","à faire")</f>
        <v/>
      </c>
      <c r="G50" s="30">
        <f>IF(COUNTIF(Phrases!$A:$A,$A50)&gt;0,"ok","à faire")</f>
        <v/>
      </c>
      <c r="H50" s="30">
        <f>IF(COUNTIFS(Phrases!$A:$A,$A50,Phrases!$I:$I,"&lt;&gt;")&gt;0,"ok","à faire")</f>
        <v/>
      </c>
      <c r="I50" s="30">
        <f>IF(COUNTIF(Synonymes!$A:$A,$A50)&gt;0,"ok","")</f>
        <v/>
      </c>
      <c r="J50" s="30">
        <f>COUNTIF(E50:H50,"à faire")</f>
        <v/>
      </c>
    </row>
    <row r="51">
      <c r="A51" s="30" t="inlineStr">
        <is>
          <t>membre</t>
        </is>
      </c>
      <c r="B51" s="30">
        <f>IFERROR(INDEX(Mots!$B:$B,MATCH($A51,Mots!$A:$A,0)),"introuvable")</f>
        <v/>
      </c>
      <c r="C51" s="30">
        <f>IFERROR(INDEX(Mots!$S:$S,MATCH($A51,Mots!$A:$A,0)),"")</f>
        <v/>
      </c>
      <c r="D51" s="30">
        <f>IFERROR(COUNTA(INDEX(Mots!$J:$J,MATCH($A51,Mots!$A:$A,0)):INDEX(Mots!$P:$P,MATCH($A51,Mots!$A:$A,0))),0)</f>
        <v/>
      </c>
      <c r="E51" s="30">
        <f>IF(COUNTIF(Classement!$A:$A,$A51)&gt;0,"ok","à faire")</f>
        <v/>
      </c>
      <c r="F51" s="30">
        <f>IF(COUNTIF(Tags!$A:$A,$A51)&gt;0,"ok","à faire")</f>
        <v/>
      </c>
      <c r="G51" s="30">
        <f>IF(COUNTIF(Phrases!$A:$A,$A51)&gt;0,"ok","à faire")</f>
        <v/>
      </c>
      <c r="H51" s="30">
        <f>IF(COUNTIFS(Phrases!$A:$A,$A51,Phrases!$I:$I,"&lt;&gt;")&gt;0,"ok","à faire")</f>
        <v/>
      </c>
      <c r="I51" s="30">
        <f>IF(COUNTIF(Synonymes!$A:$A,$A51)&gt;0,"ok","")</f>
        <v/>
      </c>
      <c r="J51" s="30">
        <f>COUNTIF(E51:H51,"à faire")</f>
        <v/>
      </c>
    </row>
    <row r="52">
      <c r="A52" s="30" t="inlineStr">
        <is>
          <t>public</t>
        </is>
      </c>
      <c r="B52" s="30">
        <f>IFERROR(INDEX(Mots!$B:$B,MATCH($A52,Mots!$A:$A,0)),"introuvable")</f>
        <v/>
      </c>
      <c r="C52" s="30">
        <f>IFERROR(INDEX(Mots!$S:$S,MATCH($A52,Mots!$A:$A,0)),"")</f>
        <v/>
      </c>
      <c r="D52" s="30">
        <f>IFERROR(COUNTA(INDEX(Mots!$J:$J,MATCH($A52,Mots!$A:$A,0)):INDEX(Mots!$P:$P,MATCH($A52,Mots!$A:$A,0))),0)</f>
        <v/>
      </c>
      <c r="E52" s="30">
        <f>IF(COUNTIF(Classement!$A:$A,$A52)&gt;0,"ok","à faire")</f>
        <v/>
      </c>
      <c r="F52" s="30">
        <f>IF(COUNTIF(Tags!$A:$A,$A52)&gt;0,"ok","à faire")</f>
        <v/>
      </c>
      <c r="G52" s="30">
        <f>IF(COUNTIF(Phrases!$A:$A,$A52)&gt;0,"ok","à faire")</f>
        <v/>
      </c>
      <c r="H52" s="30">
        <f>IF(COUNTIFS(Phrases!$A:$A,$A52,Phrases!$I:$I,"&lt;&gt;")&gt;0,"ok","à faire")</f>
        <v/>
      </c>
      <c r="I52" s="30">
        <f>IF(COUNTIF(Synonymes!$A:$A,$A52)&gt;0,"ok","")</f>
        <v/>
      </c>
      <c r="J52" s="30">
        <f>COUNTIF(E52:H52,"à faire")</f>
        <v/>
      </c>
    </row>
    <row r="53">
      <c r="A53" s="30" t="inlineStr">
        <is>
          <t>son</t>
        </is>
      </c>
      <c r="B53" s="30">
        <f>IFERROR(INDEX(Mots!$B:$B,MATCH($A53,Mots!$A:$A,0)),"introuvable")</f>
        <v/>
      </c>
      <c r="C53" s="30">
        <f>IFERROR(INDEX(Mots!$S:$S,MATCH($A53,Mots!$A:$A,0)),"")</f>
        <v/>
      </c>
      <c r="D53" s="30">
        <f>IFERROR(COUNTA(INDEX(Mots!$J:$J,MATCH($A53,Mots!$A:$A,0)):INDEX(Mots!$P:$P,MATCH($A53,Mots!$A:$A,0))),0)</f>
        <v/>
      </c>
      <c r="E53" s="30">
        <f>IF(COUNTIF(Classement!$A:$A,$A53)&gt;0,"ok","à faire")</f>
        <v/>
      </c>
      <c r="F53" s="30">
        <f>IF(COUNTIF(Tags!$A:$A,$A53)&gt;0,"ok","à faire")</f>
        <v/>
      </c>
      <c r="G53" s="30">
        <f>IF(COUNTIF(Phrases!$A:$A,$A53)&gt;0,"ok","à faire")</f>
        <v/>
      </c>
      <c r="H53" s="30">
        <f>IF(COUNTIFS(Phrases!$A:$A,$A53,Phrases!$I:$I,"&lt;&gt;")&gt;0,"ok","à faire")</f>
        <v/>
      </c>
      <c r="I53" s="30">
        <f>IF(COUNTIF(Synonymes!$A:$A,$A53)&gt;0,"ok","")</f>
        <v/>
      </c>
      <c r="J53" s="30">
        <f>COUNTIF(E53:H53,"à faire")</f>
        <v/>
      </c>
    </row>
    <row r="54">
      <c r="A54" s="30" t="inlineStr">
        <is>
          <t>souffle</t>
        </is>
      </c>
      <c r="B54" s="30">
        <f>IFERROR(INDEX(Mots!$B:$B,MATCH($A54,Mots!$A:$A,0)),"introuvable")</f>
        <v/>
      </c>
      <c r="C54" s="30">
        <f>IFERROR(INDEX(Mots!$S:$S,MATCH($A54,Mots!$A:$A,0)),"")</f>
        <v/>
      </c>
      <c r="D54" s="30">
        <f>IFERROR(COUNTA(INDEX(Mots!$J:$J,MATCH($A54,Mots!$A:$A,0)):INDEX(Mots!$P:$P,MATCH($A54,Mots!$A:$A,0))),0)</f>
        <v/>
      </c>
      <c r="E54" s="30">
        <f>IF(COUNTIF(Classement!$A:$A,$A54)&gt;0,"ok","à faire")</f>
        <v/>
      </c>
      <c r="F54" s="30">
        <f>IF(COUNTIF(Tags!$A:$A,$A54)&gt;0,"ok","à faire")</f>
        <v/>
      </c>
      <c r="G54" s="30">
        <f>IF(COUNTIF(Phrases!$A:$A,$A54)&gt;0,"ok","à faire")</f>
        <v/>
      </c>
      <c r="H54" s="30">
        <f>IF(COUNTIFS(Phrases!$A:$A,$A54,Phrases!$I:$I,"&lt;&gt;")&gt;0,"ok","à faire")</f>
        <v/>
      </c>
      <c r="I54" s="30">
        <f>IF(COUNTIF(Synonymes!$A:$A,$A54)&gt;0,"ok","")</f>
        <v/>
      </c>
      <c r="J54" s="30">
        <f>COUNTIF(E54:H54,"à faire")</f>
        <v/>
      </c>
    </row>
    <row r="55">
      <c r="A55" s="30" t="inlineStr">
        <is>
          <t>spectacle</t>
        </is>
      </c>
      <c r="B55" s="30">
        <f>IFERROR(INDEX(Mots!$B:$B,MATCH($A55,Mots!$A:$A,0)),"introuvable")</f>
        <v/>
      </c>
      <c r="C55" s="30">
        <f>IFERROR(INDEX(Mots!$S:$S,MATCH($A55,Mots!$A:$A,0)),"")</f>
        <v/>
      </c>
      <c r="D55" s="30">
        <f>IFERROR(COUNTA(INDEX(Mots!$J:$J,MATCH($A55,Mots!$A:$A,0)):INDEX(Mots!$P:$P,MATCH($A55,Mots!$A:$A,0))),0)</f>
        <v/>
      </c>
      <c r="E55" s="30">
        <f>IF(COUNTIF(Classement!$A:$A,$A55)&gt;0,"ok","à faire")</f>
        <v/>
      </c>
      <c r="F55" s="30">
        <f>IF(COUNTIF(Tags!$A:$A,$A55)&gt;0,"ok","à faire")</f>
        <v/>
      </c>
      <c r="G55" s="30">
        <f>IF(COUNTIF(Phrases!$A:$A,$A55)&gt;0,"ok","à faire")</f>
        <v/>
      </c>
      <c r="H55" s="30">
        <f>IF(COUNTIFS(Phrases!$A:$A,$A55,Phrases!$I:$I,"&lt;&gt;")&gt;0,"ok","à faire")</f>
        <v/>
      </c>
      <c r="I55" s="30">
        <f>IF(COUNTIF(Synonymes!$A:$A,$A55)&gt;0,"ok","")</f>
        <v/>
      </c>
      <c r="J55" s="30">
        <f>COUNTIF(E55:H55,"à faire")</f>
        <v/>
      </c>
    </row>
    <row r="56">
      <c r="A56" s="30" t="inlineStr">
        <is>
          <t>applaudissements</t>
        </is>
      </c>
      <c r="B56" s="30">
        <f>IFERROR(INDEX(Mots!$B:$B,MATCH($A56,Mots!$A:$A,0)),"introuvable")</f>
        <v/>
      </c>
      <c r="C56" s="30">
        <f>IFERROR(INDEX(Mots!$S:$S,MATCH($A56,Mots!$A:$A,0)),"")</f>
        <v/>
      </c>
      <c r="D56" s="30">
        <f>IFERROR(COUNTA(INDEX(Mots!$J:$J,MATCH($A56,Mots!$A:$A,0)):INDEX(Mots!$P:$P,MATCH($A56,Mots!$A:$A,0))),0)</f>
        <v/>
      </c>
      <c r="E56" s="30">
        <f>IF(COUNTIF(Classement!$A:$A,$A56)&gt;0,"ok","à faire")</f>
        <v/>
      </c>
      <c r="F56" s="30">
        <f>IF(COUNTIF(Tags!$A:$A,$A56)&gt;0,"ok","à faire")</f>
        <v/>
      </c>
      <c r="G56" s="30">
        <f>IF(COUNTIF(Phrases!$A:$A,$A56)&gt;0,"ok","à faire")</f>
        <v/>
      </c>
      <c r="H56" s="30">
        <f>IF(COUNTIFS(Phrases!$A:$A,$A56,Phrases!$I:$I,"&lt;&gt;")&gt;0,"ok","à faire")</f>
        <v/>
      </c>
      <c r="I56" s="30">
        <f>IF(COUNTIF(Synonymes!$A:$A,$A56)&gt;0,"ok","")</f>
        <v/>
      </c>
      <c r="J56" s="30">
        <f>COUNTIF(E56:H56,"à faire")</f>
        <v/>
      </c>
    </row>
    <row r="57">
      <c r="A57" s="30" t="inlineStr">
        <is>
          <t>paroles</t>
        </is>
      </c>
      <c r="B57" s="30">
        <f>IFERROR(INDEX(Mots!$B:$B,MATCH($A57,Mots!$A:$A,0)),"introuvable")</f>
        <v/>
      </c>
      <c r="C57" s="30">
        <f>IFERROR(INDEX(Mots!$S:$S,MATCH($A57,Mots!$A:$A,0)),"")</f>
        <v/>
      </c>
      <c r="D57" s="30">
        <f>IFERROR(COUNTA(INDEX(Mots!$J:$J,MATCH($A57,Mots!$A:$A,0)):INDEX(Mots!$P:$P,MATCH($A57,Mots!$A:$A,0))),0)</f>
        <v/>
      </c>
      <c r="E57" s="30">
        <f>IF(COUNTIF(Classement!$A:$A,$A57)&gt;0,"ok","à faire")</f>
        <v/>
      </c>
      <c r="F57" s="30">
        <f>IF(COUNTIF(Tags!$A:$A,$A57)&gt;0,"ok","à faire")</f>
        <v/>
      </c>
      <c r="G57" s="30">
        <f>IF(COUNTIF(Phrases!$A:$A,$A57)&gt;0,"ok","à faire")</f>
        <v/>
      </c>
      <c r="H57" s="30">
        <f>IF(COUNTIFS(Phrases!$A:$A,$A57,Phrases!$I:$I,"&lt;&gt;")&gt;0,"ok","à faire")</f>
        <v/>
      </c>
      <c r="I57" s="30">
        <f>IF(COUNTIF(Synonymes!$A:$A,$A57)&gt;0,"ok","")</f>
        <v/>
      </c>
      <c r="J57" s="30">
        <f>COUNTIF(E57:H57,"à faire")</f>
        <v/>
      </c>
    </row>
    <row r="58">
      <c r="A58" s="30" t="inlineStr">
        <is>
          <t>harmonie</t>
        </is>
      </c>
      <c r="B58" s="30">
        <f>IFERROR(INDEX(Mots!$B:$B,MATCH($A58,Mots!$A:$A,0)),"introuvable")</f>
        <v/>
      </c>
      <c r="C58" s="30">
        <f>IFERROR(INDEX(Mots!$S:$S,MATCH($A58,Mots!$A:$A,0)),"")</f>
        <v/>
      </c>
      <c r="D58" s="30">
        <f>IFERROR(COUNTA(INDEX(Mots!$J:$J,MATCH($A58,Mots!$A:$A,0)):INDEX(Mots!$P:$P,MATCH($A58,Mots!$A:$A,0))),0)</f>
        <v/>
      </c>
      <c r="E58" s="30">
        <f>IF(COUNTIF(Classement!$A:$A,$A58)&gt;0,"ok","à faire")</f>
        <v/>
      </c>
      <c r="F58" s="30">
        <f>IF(COUNTIF(Tags!$A:$A,$A58)&gt;0,"ok","à faire")</f>
        <v/>
      </c>
      <c r="G58" s="30">
        <f>IF(COUNTIF(Phrases!$A:$A,$A58)&gt;0,"ok","à faire")</f>
        <v/>
      </c>
      <c r="H58" s="30">
        <f>IF(COUNTIFS(Phrases!$A:$A,$A58,Phrases!$I:$I,"&lt;&gt;")&gt;0,"ok","à faire")</f>
        <v/>
      </c>
      <c r="I58" s="30">
        <f>IF(COUNTIF(Synonymes!$A:$A,$A58)&gt;0,"ok","")</f>
        <v/>
      </c>
      <c r="J58" s="30">
        <f>COUNTIF(E58:H58,"à faire")</f>
        <v/>
      </c>
    </row>
    <row r="59">
      <c r="A59" s="30" t="inlineStr">
        <is>
          <t>cuisine</t>
        </is>
      </c>
      <c r="B59" s="30">
        <f>IFERROR(INDEX(Mots!$B:$B,MATCH($A59,Mots!$A:$A,0)),"introuvable")</f>
        <v/>
      </c>
      <c r="C59" s="30">
        <f>IFERROR(INDEX(Mots!$S:$S,MATCH($A59,Mots!$A:$A,0)),"")</f>
        <v/>
      </c>
      <c r="D59" s="30">
        <f>IFERROR(COUNTA(INDEX(Mots!$J:$J,MATCH($A59,Mots!$A:$A,0)):INDEX(Mots!$P:$P,MATCH($A59,Mots!$A:$A,0))),0)</f>
        <v/>
      </c>
      <c r="E59" s="30">
        <f>IF(COUNTIF(Classement!$A:$A,$A59)&gt;0,"ok","à faire")</f>
        <v/>
      </c>
      <c r="F59" s="30">
        <f>IF(COUNTIF(Tags!$A:$A,$A59)&gt;0,"ok","à faire")</f>
        <v/>
      </c>
      <c r="G59" s="30">
        <f>IF(COUNTIF(Phrases!$A:$A,$A59)&gt;0,"ok","à faire")</f>
        <v/>
      </c>
      <c r="H59" s="30">
        <f>IF(COUNTIFS(Phrases!$A:$A,$A59,Phrases!$I:$I,"&lt;&gt;")&gt;0,"ok","à faire")</f>
        <v/>
      </c>
      <c r="I59" s="30">
        <f>IF(COUNTIF(Synonymes!$A:$A,$A59)&gt;0,"ok","")</f>
        <v/>
      </c>
      <c r="J59" s="30">
        <f>COUNTIF(E59:H59,"à faire")</f>
        <v/>
      </c>
    </row>
    <row r="60">
      <c r="A60" s="30" t="inlineStr">
        <is>
          <t>frigo</t>
        </is>
      </c>
      <c r="B60" s="30">
        <f>IFERROR(INDEX(Mots!$B:$B,MATCH($A60,Mots!$A:$A,0)),"introuvable")</f>
        <v/>
      </c>
      <c r="C60" s="30">
        <f>IFERROR(INDEX(Mots!$S:$S,MATCH($A60,Mots!$A:$A,0)),"")</f>
        <v/>
      </c>
      <c r="D60" s="30">
        <f>IFERROR(COUNTA(INDEX(Mots!$J:$J,MATCH($A60,Mots!$A:$A,0)):INDEX(Mots!$P:$P,MATCH($A60,Mots!$A:$A,0))),0)</f>
        <v/>
      </c>
      <c r="E60" s="30">
        <f>IF(COUNTIF(Classement!$A:$A,$A60)&gt;0,"ok","à faire")</f>
        <v/>
      </c>
      <c r="F60" s="30">
        <f>IF(COUNTIF(Tags!$A:$A,$A60)&gt;0,"ok","à faire")</f>
        <v/>
      </c>
      <c r="G60" s="30">
        <f>IF(COUNTIF(Phrases!$A:$A,$A60)&gt;0,"ok","à faire")</f>
        <v/>
      </c>
      <c r="H60" s="30">
        <f>IF(COUNTIFS(Phrases!$A:$A,$A60,Phrases!$I:$I,"&lt;&gt;")&gt;0,"ok","à faire")</f>
        <v/>
      </c>
      <c r="I60" s="30">
        <f>IF(COUNTIF(Synonymes!$A:$A,$A60)&gt;0,"ok","")</f>
        <v/>
      </c>
      <c r="J60" s="30">
        <f>COUNTIF(E60:H60,"à faire")</f>
        <v/>
      </c>
    </row>
    <row r="61">
      <c r="A61" s="30" t="inlineStr">
        <is>
          <t>lave_vaisselle</t>
        </is>
      </c>
      <c r="B61" s="30">
        <f>IFERROR(INDEX(Mots!$B:$B,MATCH($A61,Mots!$A:$A,0)),"introuvable")</f>
        <v/>
      </c>
      <c r="C61" s="30">
        <f>IFERROR(INDEX(Mots!$S:$S,MATCH($A61,Mots!$A:$A,0)),"")</f>
        <v/>
      </c>
      <c r="D61" s="30">
        <f>IFERROR(COUNTA(INDEX(Mots!$J:$J,MATCH($A61,Mots!$A:$A,0)):INDEX(Mots!$P:$P,MATCH($A61,Mots!$A:$A,0))),0)</f>
        <v/>
      </c>
      <c r="E61" s="30">
        <f>IF(COUNTIF(Classement!$A:$A,$A61)&gt;0,"ok","à faire")</f>
        <v/>
      </c>
      <c r="F61" s="30">
        <f>IF(COUNTIF(Tags!$A:$A,$A61)&gt;0,"ok","à faire")</f>
        <v/>
      </c>
      <c r="G61" s="30">
        <f>IF(COUNTIF(Phrases!$A:$A,$A61)&gt;0,"ok","à faire")</f>
        <v/>
      </c>
      <c r="H61" s="30">
        <f>IF(COUNTIFS(Phrases!$A:$A,$A61,Phrases!$I:$I,"&lt;&gt;")&gt;0,"ok","à faire")</f>
        <v/>
      </c>
      <c r="I61" s="30">
        <f>IF(COUNTIF(Synonymes!$A:$A,$A61)&gt;0,"ok","")</f>
        <v/>
      </c>
      <c r="J61" s="30">
        <f>COUNTIF(E61:H61,"à faire")</f>
        <v/>
      </c>
    </row>
    <row r="62">
      <c r="A62" s="30" t="inlineStr">
        <is>
          <t>four</t>
        </is>
      </c>
      <c r="B62" s="30">
        <f>IFERROR(INDEX(Mots!$B:$B,MATCH($A62,Mots!$A:$A,0)),"introuvable")</f>
        <v/>
      </c>
      <c r="C62" s="30">
        <f>IFERROR(INDEX(Mots!$S:$S,MATCH($A62,Mots!$A:$A,0)),"")</f>
        <v/>
      </c>
      <c r="D62" s="30">
        <f>IFERROR(COUNTA(INDEX(Mots!$J:$J,MATCH($A62,Mots!$A:$A,0)):INDEX(Mots!$P:$P,MATCH($A62,Mots!$A:$A,0))),0)</f>
        <v/>
      </c>
      <c r="E62" s="30">
        <f>IF(COUNTIF(Classement!$A:$A,$A62)&gt;0,"ok","à faire")</f>
        <v/>
      </c>
      <c r="F62" s="30">
        <f>IF(COUNTIF(Tags!$A:$A,$A62)&gt;0,"ok","à faire")</f>
        <v/>
      </c>
      <c r="G62" s="30">
        <f>IF(COUNTIF(Phrases!$A:$A,$A62)&gt;0,"ok","à faire")</f>
        <v/>
      </c>
      <c r="H62" s="30">
        <f>IF(COUNTIFS(Phrases!$A:$A,$A62,Phrases!$I:$I,"&lt;&gt;")&gt;0,"ok","à faire")</f>
        <v/>
      </c>
      <c r="I62" s="30">
        <f>IF(COUNTIF(Synonymes!$A:$A,$A62)&gt;0,"ok","")</f>
        <v/>
      </c>
      <c r="J62" s="30">
        <f>COUNTIF(E62:H62,"à faire")</f>
        <v/>
      </c>
    </row>
    <row r="63">
      <c r="A63" s="30" t="inlineStr">
        <is>
          <t>micro_onde</t>
        </is>
      </c>
      <c r="B63" s="30">
        <f>IFERROR(INDEX(Mots!$B:$B,MATCH($A63,Mots!$A:$A,0)),"introuvable")</f>
        <v/>
      </c>
      <c r="C63" s="30">
        <f>IFERROR(INDEX(Mots!$S:$S,MATCH($A63,Mots!$A:$A,0)),"")</f>
        <v/>
      </c>
      <c r="D63" s="30">
        <f>IFERROR(COUNTA(INDEX(Mots!$J:$J,MATCH($A63,Mots!$A:$A,0)):INDEX(Mots!$P:$P,MATCH($A63,Mots!$A:$A,0))),0)</f>
        <v/>
      </c>
      <c r="E63" s="30">
        <f>IF(COUNTIF(Classement!$A:$A,$A63)&gt;0,"ok","à faire")</f>
        <v/>
      </c>
      <c r="F63" s="30">
        <f>IF(COUNTIF(Tags!$A:$A,$A63)&gt;0,"ok","à faire")</f>
        <v/>
      </c>
      <c r="G63" s="30">
        <f>IF(COUNTIF(Phrases!$A:$A,$A63)&gt;0,"ok","à faire")</f>
        <v/>
      </c>
      <c r="H63" s="30">
        <f>IF(COUNTIFS(Phrases!$A:$A,$A63,Phrases!$I:$I,"&lt;&gt;")&gt;0,"ok","à faire")</f>
        <v/>
      </c>
      <c r="I63" s="30">
        <f>IF(COUNTIF(Synonymes!$A:$A,$A63)&gt;0,"ok","")</f>
        <v/>
      </c>
      <c r="J63" s="30">
        <f>COUNTIF(E63:H63,"à faire")</f>
        <v/>
      </c>
    </row>
    <row r="64">
      <c r="A64" s="30" t="inlineStr">
        <is>
          <t>cuisiniere_vitroceram</t>
        </is>
      </c>
      <c r="B64" s="30">
        <f>IFERROR(INDEX(Mots!$B:$B,MATCH($A64,Mots!$A:$A,0)),"introuvable")</f>
        <v/>
      </c>
      <c r="C64" s="30">
        <f>IFERROR(INDEX(Mots!$S:$S,MATCH($A64,Mots!$A:$A,0)),"")</f>
        <v/>
      </c>
      <c r="D64" s="30">
        <f>IFERROR(COUNTA(INDEX(Mots!$J:$J,MATCH($A64,Mots!$A:$A,0)):INDEX(Mots!$P:$P,MATCH($A64,Mots!$A:$A,0))),0)</f>
        <v/>
      </c>
      <c r="E64" s="30">
        <f>IF(COUNTIF(Classement!$A:$A,$A64)&gt;0,"ok","à faire")</f>
        <v/>
      </c>
      <c r="F64" s="30">
        <f>IF(COUNTIF(Tags!$A:$A,$A64)&gt;0,"ok","à faire")</f>
        <v/>
      </c>
      <c r="G64" s="30">
        <f>IF(COUNTIF(Phrases!$A:$A,$A64)&gt;0,"ok","à faire")</f>
        <v/>
      </c>
      <c r="H64" s="30">
        <f>IF(COUNTIFS(Phrases!$A:$A,$A64,Phrases!$I:$I,"&lt;&gt;")&gt;0,"ok","à faire")</f>
        <v/>
      </c>
      <c r="I64" s="30">
        <f>IF(COUNTIF(Synonymes!$A:$A,$A64)&gt;0,"ok","")</f>
        <v/>
      </c>
      <c r="J64" s="30">
        <f>COUNTIF(E64:H64,"à faire")</f>
        <v/>
      </c>
    </row>
    <row r="65">
      <c r="A65" s="30" t="inlineStr">
        <is>
          <t>machine_a_cafe</t>
        </is>
      </c>
      <c r="B65" s="30">
        <f>IFERROR(INDEX(Mots!$B:$B,MATCH($A65,Mots!$A:$A,0)),"introuvable")</f>
        <v/>
      </c>
      <c r="C65" s="30">
        <f>IFERROR(INDEX(Mots!$S:$S,MATCH($A65,Mots!$A:$A,0)),"")</f>
        <v/>
      </c>
      <c r="D65" s="30">
        <f>IFERROR(COUNTA(INDEX(Mots!$J:$J,MATCH($A65,Mots!$A:$A,0)):INDEX(Mots!$P:$P,MATCH($A65,Mots!$A:$A,0))),0)</f>
        <v/>
      </c>
      <c r="E65" s="30">
        <f>IF(COUNTIF(Classement!$A:$A,$A65)&gt;0,"ok","à faire")</f>
        <v/>
      </c>
      <c r="F65" s="30">
        <f>IF(COUNTIF(Tags!$A:$A,$A65)&gt;0,"ok","à faire")</f>
        <v/>
      </c>
      <c r="G65" s="30">
        <f>IF(COUNTIF(Phrases!$A:$A,$A65)&gt;0,"ok","à faire")</f>
        <v/>
      </c>
      <c r="H65" s="30">
        <f>IF(COUNTIFS(Phrases!$A:$A,$A65,Phrases!$I:$I,"&lt;&gt;")&gt;0,"ok","à faire")</f>
        <v/>
      </c>
      <c r="I65" s="30">
        <f>IF(COUNTIF(Synonymes!$A:$A,$A65)&gt;0,"ok","")</f>
        <v/>
      </c>
      <c r="J65" s="30">
        <f>COUNTIF(E65:H65,"à faire")</f>
        <v/>
      </c>
    </row>
    <row r="66">
      <c r="A66" s="30" t="inlineStr">
        <is>
          <t>verre</t>
        </is>
      </c>
      <c r="B66" s="30">
        <f>IFERROR(INDEX(Mots!$B:$B,MATCH($A66,Mots!$A:$A,0)),"introuvable")</f>
        <v/>
      </c>
      <c r="C66" s="30">
        <f>IFERROR(INDEX(Mots!$S:$S,MATCH($A66,Mots!$A:$A,0)),"")</f>
        <v/>
      </c>
      <c r="D66" s="30">
        <f>IFERROR(COUNTA(INDEX(Mots!$J:$J,MATCH($A66,Mots!$A:$A,0)):INDEX(Mots!$P:$P,MATCH($A66,Mots!$A:$A,0))),0)</f>
        <v/>
      </c>
      <c r="E66" s="30">
        <f>IF(COUNTIF(Classement!$A:$A,$A66)&gt;0,"ok","à faire")</f>
        <v/>
      </c>
      <c r="F66" s="30">
        <f>IF(COUNTIF(Tags!$A:$A,$A66)&gt;0,"ok","à faire")</f>
        <v/>
      </c>
      <c r="G66" s="30">
        <f>IF(COUNTIF(Phrases!$A:$A,$A66)&gt;0,"ok","à faire")</f>
        <v/>
      </c>
      <c r="H66" s="30">
        <f>IF(COUNTIFS(Phrases!$A:$A,$A66,Phrases!$I:$I,"&lt;&gt;")&gt;0,"ok","à faire")</f>
        <v/>
      </c>
      <c r="I66" s="30">
        <f>IF(COUNTIF(Synonymes!$A:$A,$A66)&gt;0,"ok","")</f>
        <v/>
      </c>
      <c r="J66" s="30">
        <f>COUNTIF(E66:H66,"à faire")</f>
        <v/>
      </c>
    </row>
    <row r="67">
      <c r="A67" s="30" t="inlineStr">
        <is>
          <t>tasse</t>
        </is>
      </c>
      <c r="B67" s="30">
        <f>IFERROR(INDEX(Mots!$B:$B,MATCH($A67,Mots!$A:$A,0)),"introuvable")</f>
        <v/>
      </c>
      <c r="C67" s="30">
        <f>IFERROR(INDEX(Mots!$S:$S,MATCH($A67,Mots!$A:$A,0)),"")</f>
        <v/>
      </c>
      <c r="D67" s="30">
        <f>IFERROR(COUNTA(INDEX(Mots!$J:$J,MATCH($A67,Mots!$A:$A,0)):INDEX(Mots!$P:$P,MATCH($A67,Mots!$A:$A,0))),0)</f>
        <v/>
      </c>
      <c r="E67" s="30">
        <f>IF(COUNTIF(Classement!$A:$A,$A67)&gt;0,"ok","à faire")</f>
        <v/>
      </c>
      <c r="F67" s="30">
        <f>IF(COUNTIF(Tags!$A:$A,$A67)&gt;0,"ok","à faire")</f>
        <v/>
      </c>
      <c r="G67" s="30">
        <f>IF(COUNTIF(Phrases!$A:$A,$A67)&gt;0,"ok","à faire")</f>
        <v/>
      </c>
      <c r="H67" s="30">
        <f>IF(COUNTIFS(Phrases!$A:$A,$A67,Phrases!$I:$I,"&lt;&gt;")&gt;0,"ok","à faire")</f>
        <v/>
      </c>
      <c r="I67" s="30">
        <f>IF(COUNTIF(Synonymes!$A:$A,$A67)&gt;0,"ok","")</f>
        <v/>
      </c>
      <c r="J67" s="30">
        <f>COUNTIF(E67:H67,"à faire")</f>
        <v/>
      </c>
    </row>
    <row r="68">
      <c r="A68" s="30" t="inlineStr">
        <is>
          <t>bouteilles</t>
        </is>
      </c>
      <c r="B68" s="30">
        <f>IFERROR(INDEX(Mots!$B:$B,MATCH($A68,Mots!$A:$A,0)),"introuvable")</f>
        <v/>
      </c>
      <c r="C68" s="30">
        <f>IFERROR(INDEX(Mots!$S:$S,MATCH($A68,Mots!$A:$A,0)),"")</f>
        <v/>
      </c>
      <c r="D68" s="30">
        <f>IFERROR(COUNTA(INDEX(Mots!$J:$J,MATCH($A68,Mots!$A:$A,0)):INDEX(Mots!$P:$P,MATCH($A68,Mots!$A:$A,0))),0)</f>
        <v/>
      </c>
      <c r="E68" s="30">
        <f>IF(COUNTIF(Classement!$A:$A,$A68)&gt;0,"ok","à faire")</f>
        <v/>
      </c>
      <c r="F68" s="30">
        <f>IF(COUNTIF(Tags!$A:$A,$A68)&gt;0,"ok","à faire")</f>
        <v/>
      </c>
      <c r="G68" s="30">
        <f>IF(COUNTIF(Phrases!$A:$A,$A68)&gt;0,"ok","à faire")</f>
        <v/>
      </c>
      <c r="H68" s="30">
        <f>IF(COUNTIFS(Phrases!$A:$A,$A68,Phrases!$I:$I,"&lt;&gt;")&gt;0,"ok","à faire")</f>
        <v/>
      </c>
      <c r="I68" s="30">
        <f>IF(COUNTIF(Synonymes!$A:$A,$A68)&gt;0,"ok","")</f>
        <v/>
      </c>
      <c r="J68" s="30">
        <f>COUNTIF(E68:H68,"à faire")</f>
        <v/>
      </c>
    </row>
    <row r="69">
      <c r="A69" s="30" t="inlineStr">
        <is>
          <t>pot_ou_une_mesure</t>
        </is>
      </c>
      <c r="B69" s="30">
        <f>IFERROR(INDEX(Mots!$B:$B,MATCH($A69,Mots!$A:$A,0)),"introuvable")</f>
        <v/>
      </c>
      <c r="C69" s="30">
        <f>IFERROR(INDEX(Mots!$S:$S,MATCH($A69,Mots!$A:$A,0)),"")</f>
        <v/>
      </c>
      <c r="D69" s="30">
        <f>IFERROR(COUNTA(INDEX(Mots!$J:$J,MATCH($A69,Mots!$A:$A,0)):INDEX(Mots!$P:$P,MATCH($A69,Mots!$A:$A,0))),0)</f>
        <v/>
      </c>
      <c r="E69" s="30">
        <f>IF(COUNTIF(Classement!$A:$A,$A69)&gt;0,"ok","à faire")</f>
        <v/>
      </c>
      <c r="F69" s="30">
        <f>IF(COUNTIF(Tags!$A:$A,$A69)&gt;0,"ok","à faire")</f>
        <v/>
      </c>
      <c r="G69" s="30">
        <f>IF(COUNTIF(Phrases!$A:$A,$A69)&gt;0,"ok","à faire")</f>
        <v/>
      </c>
      <c r="H69" s="30">
        <f>IF(COUNTIFS(Phrases!$A:$A,$A69,Phrases!$I:$I,"&lt;&gt;")&gt;0,"ok","à faire")</f>
        <v/>
      </c>
      <c r="I69" s="30">
        <f>IF(COUNTIF(Synonymes!$A:$A,$A69)&gt;0,"ok","")</f>
        <v/>
      </c>
      <c r="J69" s="30">
        <f>COUNTIF(E69:H69,"à faire")</f>
        <v/>
      </c>
    </row>
    <row r="70">
      <c r="A70" s="30" t="inlineStr">
        <is>
          <t>assiette</t>
        </is>
      </c>
      <c r="B70" s="30">
        <f>IFERROR(INDEX(Mots!$B:$B,MATCH($A70,Mots!$A:$A,0)),"introuvable")</f>
        <v/>
      </c>
      <c r="C70" s="30">
        <f>IFERROR(INDEX(Mots!$S:$S,MATCH($A70,Mots!$A:$A,0)),"")</f>
        <v/>
      </c>
      <c r="D70" s="30">
        <f>IFERROR(COUNTA(INDEX(Mots!$J:$J,MATCH($A70,Mots!$A:$A,0)):INDEX(Mots!$P:$P,MATCH($A70,Mots!$A:$A,0))),0)</f>
        <v/>
      </c>
      <c r="E70" s="30">
        <f>IF(COUNTIF(Classement!$A:$A,$A70)&gt;0,"ok","à faire")</f>
        <v/>
      </c>
      <c r="F70" s="30">
        <f>IF(COUNTIF(Tags!$A:$A,$A70)&gt;0,"ok","à faire")</f>
        <v/>
      </c>
      <c r="G70" s="30">
        <f>IF(COUNTIF(Phrases!$A:$A,$A70)&gt;0,"ok","à faire")</f>
        <v/>
      </c>
      <c r="H70" s="30">
        <f>IF(COUNTIFS(Phrases!$A:$A,$A70,Phrases!$I:$I,"&lt;&gt;")&gt;0,"ok","à faire")</f>
        <v/>
      </c>
      <c r="I70" s="30">
        <f>IF(COUNTIF(Synonymes!$A:$A,$A70)&gt;0,"ok","")</f>
        <v/>
      </c>
      <c r="J70" s="30">
        <f>COUNTIF(E70:H70,"à faire")</f>
        <v/>
      </c>
    </row>
    <row r="71">
      <c r="A71" s="30" t="inlineStr">
        <is>
          <t>fourchette</t>
        </is>
      </c>
      <c r="B71" s="30">
        <f>IFERROR(INDEX(Mots!$B:$B,MATCH($A71,Mots!$A:$A,0)),"introuvable")</f>
        <v/>
      </c>
      <c r="C71" s="30">
        <f>IFERROR(INDEX(Mots!$S:$S,MATCH($A71,Mots!$A:$A,0)),"")</f>
        <v/>
      </c>
      <c r="D71" s="30">
        <f>IFERROR(COUNTA(INDEX(Mots!$J:$J,MATCH($A71,Mots!$A:$A,0)):INDEX(Mots!$P:$P,MATCH($A71,Mots!$A:$A,0))),0)</f>
        <v/>
      </c>
      <c r="E71" s="30">
        <f>IF(COUNTIF(Classement!$A:$A,$A71)&gt;0,"ok","à faire")</f>
        <v/>
      </c>
      <c r="F71" s="30">
        <f>IF(COUNTIF(Tags!$A:$A,$A71)&gt;0,"ok","à faire")</f>
        <v/>
      </c>
      <c r="G71" s="30">
        <f>IF(COUNTIF(Phrases!$A:$A,$A71)&gt;0,"ok","à faire")</f>
        <v/>
      </c>
      <c r="H71" s="30">
        <f>IF(COUNTIFS(Phrases!$A:$A,$A71,Phrases!$I:$I,"&lt;&gt;")&gt;0,"ok","à faire")</f>
        <v/>
      </c>
      <c r="I71" s="30">
        <f>IF(COUNTIF(Synonymes!$A:$A,$A71)&gt;0,"ok","")</f>
        <v/>
      </c>
      <c r="J71" s="30">
        <f>COUNTIF(E71:H71,"à faire")</f>
        <v/>
      </c>
    </row>
    <row r="72">
      <c r="A72" s="30" t="inlineStr">
        <is>
          <t>cuillere</t>
        </is>
      </c>
      <c r="B72" s="30">
        <f>IFERROR(INDEX(Mots!$B:$B,MATCH($A72,Mots!$A:$A,0)),"introuvable")</f>
        <v/>
      </c>
      <c r="C72" s="30">
        <f>IFERROR(INDEX(Mots!$S:$S,MATCH($A72,Mots!$A:$A,0)),"")</f>
        <v/>
      </c>
      <c r="D72" s="30">
        <f>IFERROR(COUNTA(INDEX(Mots!$J:$J,MATCH($A72,Mots!$A:$A,0)):INDEX(Mots!$P:$P,MATCH($A72,Mots!$A:$A,0))),0)</f>
        <v/>
      </c>
      <c r="E72" s="30">
        <f>IF(COUNTIF(Classement!$A:$A,$A72)&gt;0,"ok","à faire")</f>
        <v/>
      </c>
      <c r="F72" s="30">
        <f>IF(COUNTIF(Tags!$A:$A,$A72)&gt;0,"ok","à faire")</f>
        <v/>
      </c>
      <c r="G72" s="30">
        <f>IF(COUNTIF(Phrases!$A:$A,$A72)&gt;0,"ok","à faire")</f>
        <v/>
      </c>
      <c r="H72" s="30">
        <f>IF(COUNTIFS(Phrases!$A:$A,$A72,Phrases!$I:$I,"&lt;&gt;")&gt;0,"ok","à faire")</f>
        <v/>
      </c>
      <c r="I72" s="30">
        <f>IF(COUNTIF(Synonymes!$A:$A,$A72)&gt;0,"ok","")</f>
        <v/>
      </c>
      <c r="J72" s="30">
        <f>COUNTIF(E72:H72,"à faire")</f>
        <v/>
      </c>
    </row>
    <row r="73">
      <c r="A73" s="30" t="inlineStr">
        <is>
          <t>couteau</t>
        </is>
      </c>
      <c r="B73" s="30">
        <f>IFERROR(INDEX(Mots!$B:$B,MATCH($A73,Mots!$A:$A,0)),"introuvable")</f>
        <v/>
      </c>
      <c r="C73" s="30">
        <f>IFERROR(INDEX(Mots!$S:$S,MATCH($A73,Mots!$A:$A,0)),"")</f>
        <v/>
      </c>
      <c r="D73" s="30">
        <f>IFERROR(COUNTA(INDEX(Mots!$J:$J,MATCH($A73,Mots!$A:$A,0)):INDEX(Mots!$P:$P,MATCH($A73,Mots!$A:$A,0))),0)</f>
        <v/>
      </c>
      <c r="E73" s="30">
        <f>IF(COUNTIF(Classement!$A:$A,$A73)&gt;0,"ok","à faire")</f>
        <v/>
      </c>
      <c r="F73" s="30">
        <f>IF(COUNTIF(Tags!$A:$A,$A73)&gt;0,"ok","à faire")</f>
        <v/>
      </c>
      <c r="G73" s="30">
        <f>IF(COUNTIF(Phrases!$A:$A,$A73)&gt;0,"ok","à faire")</f>
        <v/>
      </c>
      <c r="H73" s="30">
        <f>IF(COUNTIFS(Phrases!$A:$A,$A73,Phrases!$I:$I,"&lt;&gt;")&gt;0,"ok","à faire")</f>
        <v/>
      </c>
      <c r="I73" s="30">
        <f>IF(COUNTIF(Synonymes!$A:$A,$A73)&gt;0,"ok","")</f>
        <v/>
      </c>
      <c r="J73" s="30">
        <f>COUNTIF(E73:H73,"à faire")</f>
        <v/>
      </c>
    </row>
    <row r="74">
      <c r="A74" s="30" t="inlineStr">
        <is>
          <t>casserole</t>
        </is>
      </c>
      <c r="B74" s="30">
        <f>IFERROR(INDEX(Mots!$B:$B,MATCH($A74,Mots!$A:$A,0)),"introuvable")</f>
        <v/>
      </c>
      <c r="C74" s="30">
        <f>IFERROR(INDEX(Mots!$S:$S,MATCH($A74,Mots!$A:$A,0)),"")</f>
        <v/>
      </c>
      <c r="D74" s="30">
        <f>IFERROR(COUNTA(INDEX(Mots!$J:$J,MATCH($A74,Mots!$A:$A,0)):INDEX(Mots!$P:$P,MATCH($A74,Mots!$A:$A,0))),0)</f>
        <v/>
      </c>
      <c r="E74" s="30">
        <f>IF(COUNTIF(Classement!$A:$A,$A74)&gt;0,"ok","à faire")</f>
        <v/>
      </c>
      <c r="F74" s="30">
        <f>IF(COUNTIF(Tags!$A:$A,$A74)&gt;0,"ok","à faire")</f>
        <v/>
      </c>
      <c r="G74" s="30">
        <f>IF(COUNTIF(Phrases!$A:$A,$A74)&gt;0,"ok","à faire")</f>
        <v/>
      </c>
      <c r="H74" s="30">
        <f>IF(COUNTIFS(Phrases!$A:$A,$A74,Phrases!$I:$I,"&lt;&gt;")&gt;0,"ok","à faire")</f>
        <v/>
      </c>
      <c r="I74" s="30">
        <f>IF(COUNTIF(Synonymes!$A:$A,$A74)&gt;0,"ok","")</f>
        <v/>
      </c>
      <c r="J74" s="30">
        <f>COUNTIF(E74:H74,"à faire")</f>
        <v/>
      </c>
    </row>
    <row r="75">
      <c r="A75" s="30" t="inlineStr">
        <is>
          <t>marmitte</t>
        </is>
      </c>
      <c r="B75" s="30">
        <f>IFERROR(INDEX(Mots!$B:$B,MATCH($A75,Mots!$A:$A,0)),"introuvable")</f>
        <v/>
      </c>
      <c r="C75" s="30">
        <f>IFERROR(INDEX(Mots!$S:$S,MATCH($A75,Mots!$A:$A,0)),"")</f>
        <v/>
      </c>
      <c r="D75" s="30">
        <f>IFERROR(COUNTA(INDEX(Mots!$J:$J,MATCH($A75,Mots!$A:$A,0)):INDEX(Mots!$P:$P,MATCH($A75,Mots!$A:$A,0))),0)</f>
        <v/>
      </c>
      <c r="E75" s="30">
        <f>IF(COUNTIF(Classement!$A:$A,$A75)&gt;0,"ok","à faire")</f>
        <v/>
      </c>
      <c r="F75" s="30">
        <f>IF(COUNTIF(Tags!$A:$A,$A75)&gt;0,"ok","à faire")</f>
        <v/>
      </c>
      <c r="G75" s="30">
        <f>IF(COUNTIF(Phrases!$A:$A,$A75)&gt;0,"ok","à faire")</f>
        <v/>
      </c>
      <c r="H75" s="30">
        <f>IF(COUNTIFS(Phrases!$A:$A,$A75,Phrases!$I:$I,"&lt;&gt;")&gt;0,"ok","à faire")</f>
        <v/>
      </c>
      <c r="I75" s="30">
        <f>IF(COUNTIF(Synonymes!$A:$A,$A75)&gt;0,"ok","")</f>
        <v/>
      </c>
      <c r="J75" s="30">
        <f>COUNTIF(E75:H75,"à faire")</f>
        <v/>
      </c>
    </row>
    <row r="76">
      <c r="A76" s="30" t="inlineStr">
        <is>
          <t>poele</t>
        </is>
      </c>
      <c r="B76" s="30">
        <f>IFERROR(INDEX(Mots!$B:$B,MATCH($A76,Mots!$A:$A,0)),"introuvable")</f>
        <v/>
      </c>
      <c r="C76" s="30">
        <f>IFERROR(INDEX(Mots!$S:$S,MATCH($A76,Mots!$A:$A,0)),"")</f>
        <v/>
      </c>
      <c r="D76" s="30">
        <f>IFERROR(COUNTA(INDEX(Mots!$J:$J,MATCH($A76,Mots!$A:$A,0)):INDEX(Mots!$P:$P,MATCH($A76,Mots!$A:$A,0))),0)</f>
        <v/>
      </c>
      <c r="E76" s="30">
        <f>IF(COUNTIF(Classement!$A:$A,$A76)&gt;0,"ok","à faire")</f>
        <v/>
      </c>
      <c r="F76" s="30">
        <f>IF(COUNTIF(Tags!$A:$A,$A76)&gt;0,"ok","à faire")</f>
        <v/>
      </c>
      <c r="G76" s="30">
        <f>IF(COUNTIF(Phrases!$A:$A,$A76)&gt;0,"ok","à faire")</f>
        <v/>
      </c>
      <c r="H76" s="30">
        <f>IF(COUNTIFS(Phrases!$A:$A,$A76,Phrases!$I:$I,"&lt;&gt;")&gt;0,"ok","à faire")</f>
        <v/>
      </c>
      <c r="I76" s="30">
        <f>IF(COUNTIF(Synonymes!$A:$A,$A76)&gt;0,"ok","")</f>
        <v/>
      </c>
      <c r="J76" s="30">
        <f>COUNTIF(E76:H76,"à faire")</f>
        <v/>
      </c>
    </row>
    <row r="77">
      <c r="A77" s="30" t="inlineStr">
        <is>
          <t>evier_ou_plonge</t>
        </is>
      </c>
      <c r="B77" s="30">
        <f>IFERROR(INDEX(Mots!$B:$B,MATCH($A77,Mots!$A:$A,0)),"introuvable")</f>
        <v/>
      </c>
      <c r="C77" s="30">
        <f>IFERROR(INDEX(Mots!$S:$S,MATCH($A77,Mots!$A:$A,0)),"")</f>
        <v/>
      </c>
      <c r="D77" s="30">
        <f>IFERROR(COUNTA(INDEX(Mots!$J:$J,MATCH($A77,Mots!$A:$A,0)):INDEX(Mots!$P:$P,MATCH($A77,Mots!$A:$A,0))),0)</f>
        <v/>
      </c>
      <c r="E77" s="30">
        <f>IF(COUNTIF(Classement!$A:$A,$A77)&gt;0,"ok","à faire")</f>
        <v/>
      </c>
      <c r="F77" s="30">
        <f>IF(COUNTIF(Tags!$A:$A,$A77)&gt;0,"ok","à faire")</f>
        <v/>
      </c>
      <c r="G77" s="30">
        <f>IF(COUNTIF(Phrases!$A:$A,$A77)&gt;0,"ok","à faire")</f>
        <v/>
      </c>
      <c r="H77" s="30">
        <f>IF(COUNTIFS(Phrases!$A:$A,$A77,Phrases!$I:$I,"&lt;&gt;")&gt;0,"ok","à faire")</f>
        <v/>
      </c>
      <c r="I77" s="30">
        <f>IF(COUNTIF(Synonymes!$A:$A,$A77)&gt;0,"ok","")</f>
        <v/>
      </c>
      <c r="J77" s="30">
        <f>COUNTIF(E77:H77,"à faire")</f>
        <v/>
      </c>
    </row>
    <row r="78">
      <c r="A78" s="30" t="inlineStr">
        <is>
          <t>caquelon_rechaud</t>
        </is>
      </c>
      <c r="B78" s="30">
        <f>IFERROR(INDEX(Mots!$B:$B,MATCH($A78,Mots!$A:$A,0)),"introuvable")</f>
        <v/>
      </c>
      <c r="C78" s="30">
        <f>IFERROR(INDEX(Mots!$S:$S,MATCH($A78,Mots!$A:$A,0)),"")</f>
        <v/>
      </c>
      <c r="D78" s="30">
        <f>IFERROR(COUNTA(INDEX(Mots!$J:$J,MATCH($A78,Mots!$A:$A,0)):INDEX(Mots!$P:$P,MATCH($A78,Mots!$A:$A,0))),0)</f>
        <v/>
      </c>
      <c r="E78" s="30">
        <f>IF(COUNTIF(Classement!$A:$A,$A78)&gt;0,"ok","à faire")</f>
        <v/>
      </c>
      <c r="F78" s="30">
        <f>IF(COUNTIF(Tags!$A:$A,$A78)&gt;0,"ok","à faire")</f>
        <v/>
      </c>
      <c r="G78" s="30">
        <f>IF(COUNTIF(Phrases!$A:$A,$A78)&gt;0,"ok","à faire")</f>
        <v/>
      </c>
      <c r="H78" s="30">
        <f>IF(COUNTIFS(Phrases!$A:$A,$A78,Phrases!$I:$I,"&lt;&gt;")&gt;0,"ok","à faire")</f>
        <v/>
      </c>
      <c r="I78" s="30">
        <f>IF(COUNTIF(Synonymes!$A:$A,$A78)&gt;0,"ok","")</f>
        <v/>
      </c>
      <c r="J78" s="30">
        <f>COUNTIF(E78:H78,"à faire")</f>
        <v/>
      </c>
    </row>
    <row r="79">
      <c r="A79" s="30" t="inlineStr">
        <is>
          <t>four_a_raclette</t>
        </is>
      </c>
      <c r="B79" s="30">
        <f>IFERROR(INDEX(Mots!$B:$B,MATCH($A79,Mots!$A:$A,0)),"introuvable")</f>
        <v/>
      </c>
      <c r="C79" s="30">
        <f>IFERROR(INDEX(Mots!$S:$S,MATCH($A79,Mots!$A:$A,0)),"")</f>
        <v/>
      </c>
      <c r="D79" s="30">
        <f>IFERROR(COUNTA(INDEX(Mots!$J:$J,MATCH($A79,Mots!$A:$A,0)):INDEX(Mots!$P:$P,MATCH($A79,Mots!$A:$A,0))),0)</f>
        <v/>
      </c>
      <c r="E79" s="30">
        <f>IF(COUNTIF(Classement!$A:$A,$A79)&gt;0,"ok","à faire")</f>
        <v/>
      </c>
      <c r="F79" s="30">
        <f>IF(COUNTIF(Tags!$A:$A,$A79)&gt;0,"ok","à faire")</f>
        <v/>
      </c>
      <c r="G79" s="30">
        <f>IF(COUNTIF(Phrases!$A:$A,$A79)&gt;0,"ok","à faire")</f>
        <v/>
      </c>
      <c r="H79" s="30">
        <f>IF(COUNTIFS(Phrases!$A:$A,$A79,Phrases!$I:$I,"&lt;&gt;")&gt;0,"ok","à faire")</f>
        <v/>
      </c>
      <c r="I79" s="30">
        <f>IF(COUNTIF(Synonymes!$A:$A,$A79)&gt;0,"ok","")</f>
        <v/>
      </c>
      <c r="J79" s="30">
        <f>COUNTIF(E79:H79,"à faire")</f>
        <v/>
      </c>
    </row>
    <row r="80">
      <c r="A80" s="30" t="inlineStr">
        <is>
          <t>robinet</t>
        </is>
      </c>
      <c r="B80" s="30">
        <f>IFERROR(INDEX(Mots!$B:$B,MATCH($A80,Mots!$A:$A,0)),"introuvable")</f>
        <v/>
      </c>
      <c r="C80" s="30">
        <f>IFERROR(INDEX(Mots!$S:$S,MATCH($A80,Mots!$A:$A,0)),"")</f>
        <v/>
      </c>
      <c r="D80" s="30">
        <f>IFERROR(COUNTA(INDEX(Mots!$J:$J,MATCH($A80,Mots!$A:$A,0)):INDEX(Mots!$P:$P,MATCH($A80,Mots!$A:$A,0))),0)</f>
        <v/>
      </c>
      <c r="E80" s="30">
        <f>IF(COUNTIF(Classement!$A:$A,$A80)&gt;0,"ok","à faire")</f>
        <v/>
      </c>
      <c r="F80" s="30">
        <f>IF(COUNTIF(Tags!$A:$A,$A80)&gt;0,"ok","à faire")</f>
        <v/>
      </c>
      <c r="G80" s="30">
        <f>IF(COUNTIF(Phrases!$A:$A,$A80)&gt;0,"ok","à faire")</f>
        <v/>
      </c>
      <c r="H80" s="30">
        <f>IF(COUNTIFS(Phrases!$A:$A,$A80,Phrases!$I:$I,"&lt;&gt;")&gt;0,"ok","à faire")</f>
        <v/>
      </c>
      <c r="I80" s="30">
        <f>IF(COUNTIF(Synonymes!$A:$A,$A80)&gt;0,"ok","")</f>
        <v/>
      </c>
      <c r="J80" s="30">
        <f>COUNTIF(E80:H80,"à faire")</f>
        <v/>
      </c>
    </row>
    <row r="81">
      <c r="A81" s="30" t="inlineStr">
        <is>
          <t>table</t>
        </is>
      </c>
      <c r="B81" s="30">
        <f>IFERROR(INDEX(Mots!$B:$B,MATCH($A81,Mots!$A:$A,0)),"introuvable")</f>
        <v/>
      </c>
      <c r="C81" s="30">
        <f>IFERROR(INDEX(Mots!$S:$S,MATCH($A81,Mots!$A:$A,0)),"")</f>
        <v/>
      </c>
      <c r="D81" s="30">
        <f>IFERROR(COUNTA(INDEX(Mots!$J:$J,MATCH($A81,Mots!$A:$A,0)):INDEX(Mots!$P:$P,MATCH($A81,Mots!$A:$A,0))),0)</f>
        <v/>
      </c>
      <c r="E81" s="30">
        <f>IF(COUNTIF(Classement!$A:$A,$A81)&gt;0,"ok","à faire")</f>
        <v/>
      </c>
      <c r="F81" s="30">
        <f>IF(COUNTIF(Tags!$A:$A,$A81)&gt;0,"ok","à faire")</f>
        <v/>
      </c>
      <c r="G81" s="30">
        <f>IF(COUNTIF(Phrases!$A:$A,$A81)&gt;0,"ok","à faire")</f>
        <v/>
      </c>
      <c r="H81" s="30">
        <f>IF(COUNTIFS(Phrases!$A:$A,$A81,Phrases!$I:$I,"&lt;&gt;")&gt;0,"ok","à faire")</f>
        <v/>
      </c>
      <c r="I81" s="30">
        <f>IF(COUNTIF(Synonymes!$A:$A,$A81)&gt;0,"ok","")</f>
        <v/>
      </c>
      <c r="J81" s="30">
        <f>COUNTIF(E81:H81,"à faire")</f>
        <v/>
      </c>
    </row>
    <row r="82">
      <c r="A82" s="30" t="inlineStr">
        <is>
          <t>chaise</t>
        </is>
      </c>
      <c r="B82" s="30">
        <f>IFERROR(INDEX(Mots!$B:$B,MATCH($A82,Mots!$A:$A,0)),"introuvable")</f>
        <v/>
      </c>
      <c r="C82" s="30">
        <f>IFERROR(INDEX(Mots!$S:$S,MATCH($A82,Mots!$A:$A,0)),"")</f>
        <v/>
      </c>
      <c r="D82" s="30">
        <f>IFERROR(COUNTA(INDEX(Mots!$J:$J,MATCH($A82,Mots!$A:$A,0)):INDEX(Mots!$P:$P,MATCH($A82,Mots!$A:$A,0))),0)</f>
        <v/>
      </c>
      <c r="E82" s="30">
        <f>IF(COUNTIF(Classement!$A:$A,$A82)&gt;0,"ok","à faire")</f>
        <v/>
      </c>
      <c r="F82" s="30">
        <f>IF(COUNTIF(Tags!$A:$A,$A82)&gt;0,"ok","à faire")</f>
        <v/>
      </c>
      <c r="G82" s="30">
        <f>IF(COUNTIF(Phrases!$A:$A,$A82)&gt;0,"ok","à faire")</f>
        <v/>
      </c>
      <c r="H82" s="30">
        <f>IF(COUNTIFS(Phrases!$A:$A,$A82,Phrases!$I:$I,"&lt;&gt;")&gt;0,"ok","à faire")</f>
        <v/>
      </c>
      <c r="I82" s="30">
        <f>IF(COUNTIF(Synonymes!$A:$A,$A82)&gt;0,"ok","")</f>
        <v/>
      </c>
      <c r="J82" s="30">
        <f>COUNTIF(E82:H82,"à faire")</f>
        <v/>
      </c>
    </row>
    <row r="83">
      <c r="A83" s="30" t="inlineStr">
        <is>
          <t>buffet</t>
        </is>
      </c>
      <c r="B83" s="30">
        <f>IFERROR(INDEX(Mots!$B:$B,MATCH($A83,Mots!$A:$A,0)),"introuvable")</f>
        <v/>
      </c>
      <c r="C83" s="30">
        <f>IFERROR(INDEX(Mots!$S:$S,MATCH($A83,Mots!$A:$A,0)),"")</f>
        <v/>
      </c>
      <c r="D83" s="30">
        <f>IFERROR(COUNTA(INDEX(Mots!$J:$J,MATCH($A83,Mots!$A:$A,0)):INDEX(Mots!$P:$P,MATCH($A83,Mots!$A:$A,0))),0)</f>
        <v/>
      </c>
      <c r="E83" s="30">
        <f>IF(COUNTIF(Classement!$A:$A,$A83)&gt;0,"ok","à faire")</f>
        <v/>
      </c>
      <c r="F83" s="30">
        <f>IF(COUNTIF(Tags!$A:$A,$A83)&gt;0,"ok","à faire")</f>
        <v/>
      </c>
      <c r="G83" s="30">
        <f>IF(COUNTIF(Phrases!$A:$A,$A83)&gt;0,"ok","à faire")</f>
        <v/>
      </c>
      <c r="H83" s="30">
        <f>IF(COUNTIFS(Phrases!$A:$A,$A83,Phrases!$I:$I,"&lt;&gt;")&gt;0,"ok","à faire")</f>
        <v/>
      </c>
      <c r="I83" s="30">
        <f>IF(COUNTIF(Synonymes!$A:$A,$A83)&gt;0,"ok","")</f>
        <v/>
      </c>
      <c r="J83" s="30">
        <f>COUNTIF(E83:H83,"à faire")</f>
        <v/>
      </c>
    </row>
    <row r="84">
      <c r="A84" s="30" t="inlineStr">
        <is>
          <t>vaisselle</t>
        </is>
      </c>
      <c r="B84" s="30">
        <f>IFERROR(INDEX(Mots!$B:$B,MATCH($A84,Mots!$A:$A,0)),"introuvable")</f>
        <v/>
      </c>
      <c r="C84" s="30">
        <f>IFERROR(INDEX(Mots!$S:$S,MATCH($A84,Mots!$A:$A,0)),"")</f>
        <v/>
      </c>
      <c r="D84" s="30">
        <f>IFERROR(COUNTA(INDEX(Mots!$J:$J,MATCH($A84,Mots!$A:$A,0)):INDEX(Mots!$P:$P,MATCH($A84,Mots!$A:$A,0))),0)</f>
        <v/>
      </c>
      <c r="E84" s="30">
        <f>IF(COUNTIF(Classement!$A:$A,$A84)&gt;0,"ok","à faire")</f>
        <v/>
      </c>
      <c r="F84" s="30">
        <f>IF(COUNTIF(Tags!$A:$A,$A84)&gt;0,"ok","à faire")</f>
        <v/>
      </c>
      <c r="G84" s="30">
        <f>IF(COUNTIF(Phrases!$A:$A,$A84)&gt;0,"ok","à faire")</f>
        <v/>
      </c>
      <c r="H84" s="30">
        <f>IF(COUNTIFS(Phrases!$A:$A,$A84,Phrases!$I:$I,"&lt;&gt;")&gt;0,"ok","à faire")</f>
        <v/>
      </c>
      <c r="I84" s="30">
        <f>IF(COUNTIF(Synonymes!$A:$A,$A84)&gt;0,"ok","")</f>
        <v/>
      </c>
      <c r="J84" s="30">
        <f>COUNTIF(E84:H84,"à faire")</f>
        <v/>
      </c>
    </row>
    <row r="85">
      <c r="A85" s="30" t="inlineStr">
        <is>
          <t>dossier</t>
        </is>
      </c>
      <c r="B85" s="30">
        <f>IFERROR(INDEX(Mots!$B:$B,MATCH($A85,Mots!$A:$A,0)),"introuvable")</f>
        <v/>
      </c>
      <c r="C85" s="30">
        <f>IFERROR(INDEX(Mots!$S:$S,MATCH($A85,Mots!$A:$A,0)),"")</f>
        <v/>
      </c>
      <c r="D85" s="30">
        <f>IFERROR(COUNTA(INDEX(Mots!$J:$J,MATCH($A85,Mots!$A:$A,0)):INDEX(Mots!$P:$P,MATCH($A85,Mots!$A:$A,0))),0)</f>
        <v/>
      </c>
      <c r="E85" s="30">
        <f>IF(COUNTIF(Classement!$A:$A,$A85)&gt;0,"ok","à faire")</f>
        <v/>
      </c>
      <c r="F85" s="30">
        <f>IF(COUNTIF(Tags!$A:$A,$A85)&gt;0,"ok","à faire")</f>
        <v/>
      </c>
      <c r="G85" s="30">
        <f>IF(COUNTIF(Phrases!$A:$A,$A85)&gt;0,"ok","à faire")</f>
        <v/>
      </c>
      <c r="H85" s="30">
        <f>IF(COUNTIFS(Phrases!$A:$A,$A85,Phrases!$I:$I,"&lt;&gt;")&gt;0,"ok","à faire")</f>
        <v/>
      </c>
      <c r="I85" s="30">
        <f>IF(COUNTIF(Synonymes!$A:$A,$A85)&gt;0,"ok","")</f>
        <v/>
      </c>
      <c r="J85" s="30">
        <f>COUNTIF(E85:H85,"à faire")</f>
        <v/>
      </c>
    </row>
    <row r="86">
      <c r="A86" s="30" t="inlineStr">
        <is>
          <t>lave_linge</t>
        </is>
      </c>
      <c r="B86" s="30">
        <f>IFERROR(INDEX(Mots!$B:$B,MATCH($A86,Mots!$A:$A,0)),"introuvable")</f>
        <v/>
      </c>
      <c r="C86" s="30">
        <f>IFERROR(INDEX(Mots!$S:$S,MATCH($A86,Mots!$A:$A,0)),"")</f>
        <v/>
      </c>
      <c r="D86" s="30">
        <f>IFERROR(COUNTA(INDEX(Mots!$J:$J,MATCH($A86,Mots!$A:$A,0)):INDEX(Mots!$P:$P,MATCH($A86,Mots!$A:$A,0))),0)</f>
        <v/>
      </c>
      <c r="E86" s="30">
        <f>IF(COUNTIF(Classement!$A:$A,$A86)&gt;0,"ok","à faire")</f>
        <v/>
      </c>
      <c r="F86" s="30">
        <f>IF(COUNTIF(Tags!$A:$A,$A86)&gt;0,"ok","à faire")</f>
        <v/>
      </c>
      <c r="G86" s="30">
        <f>IF(COUNTIF(Phrases!$A:$A,$A86)&gt;0,"ok","à faire")</f>
        <v/>
      </c>
      <c r="H86" s="30">
        <f>IF(COUNTIFS(Phrases!$A:$A,$A86,Phrases!$I:$I,"&lt;&gt;")&gt;0,"ok","à faire")</f>
        <v/>
      </c>
      <c r="I86" s="30">
        <f>IF(COUNTIF(Synonymes!$A:$A,$A86)&gt;0,"ok","")</f>
        <v/>
      </c>
      <c r="J86" s="30">
        <f>COUNTIF(E86:H86,"à faire")</f>
        <v/>
      </c>
    </row>
    <row r="87">
      <c r="A87" s="30" t="inlineStr">
        <is>
          <t>seche_linge</t>
        </is>
      </c>
      <c r="B87" s="30">
        <f>IFERROR(INDEX(Mots!$B:$B,MATCH($A87,Mots!$A:$A,0)),"introuvable")</f>
        <v/>
      </c>
      <c r="C87" s="30">
        <f>IFERROR(INDEX(Mots!$S:$S,MATCH($A87,Mots!$A:$A,0)),"")</f>
        <v/>
      </c>
      <c r="D87" s="30">
        <f>IFERROR(COUNTA(INDEX(Mots!$J:$J,MATCH($A87,Mots!$A:$A,0)):INDEX(Mots!$P:$P,MATCH($A87,Mots!$A:$A,0))),0)</f>
        <v/>
      </c>
      <c r="E87" s="30">
        <f>IF(COUNTIF(Classement!$A:$A,$A87)&gt;0,"ok","à faire")</f>
        <v/>
      </c>
      <c r="F87" s="30">
        <f>IF(COUNTIF(Tags!$A:$A,$A87)&gt;0,"ok","à faire")</f>
        <v/>
      </c>
      <c r="G87" s="30">
        <f>IF(COUNTIF(Phrases!$A:$A,$A87)&gt;0,"ok","à faire")</f>
        <v/>
      </c>
      <c r="H87" s="30">
        <f>IF(COUNTIFS(Phrases!$A:$A,$A87,Phrases!$I:$I,"&lt;&gt;")&gt;0,"ok","à faire")</f>
        <v/>
      </c>
      <c r="I87" s="30">
        <f>IF(COUNTIF(Synonymes!$A:$A,$A87)&gt;0,"ok","")</f>
        <v/>
      </c>
      <c r="J87" s="30">
        <f>COUNTIF(E87:H87,"à faire")</f>
        <v/>
      </c>
    </row>
    <row r="88">
      <c r="A88" s="30" t="inlineStr">
        <is>
          <t>fer_a_repasser</t>
        </is>
      </c>
      <c r="B88" s="30">
        <f>IFERROR(INDEX(Mots!$B:$B,MATCH($A88,Mots!$A:$A,0)),"introuvable")</f>
        <v/>
      </c>
      <c r="C88" s="30">
        <f>IFERROR(INDEX(Mots!$S:$S,MATCH($A88,Mots!$A:$A,0)),"")</f>
        <v/>
      </c>
      <c r="D88" s="30">
        <f>IFERROR(COUNTA(INDEX(Mots!$J:$J,MATCH($A88,Mots!$A:$A,0)):INDEX(Mots!$P:$P,MATCH($A88,Mots!$A:$A,0))),0)</f>
        <v/>
      </c>
      <c r="E88" s="30">
        <f>IF(COUNTIF(Classement!$A:$A,$A88)&gt;0,"ok","à faire")</f>
        <v/>
      </c>
      <c r="F88" s="30">
        <f>IF(COUNTIF(Tags!$A:$A,$A88)&gt;0,"ok","à faire")</f>
        <v/>
      </c>
      <c r="G88" s="30">
        <f>IF(COUNTIF(Phrases!$A:$A,$A88)&gt;0,"ok","à faire")</f>
        <v/>
      </c>
      <c r="H88" s="30">
        <f>IF(COUNTIFS(Phrases!$A:$A,$A88,Phrases!$I:$I,"&lt;&gt;")&gt;0,"ok","à faire")</f>
        <v/>
      </c>
      <c r="I88" s="30">
        <f>IF(COUNTIF(Synonymes!$A:$A,$A88)&gt;0,"ok","")</f>
        <v/>
      </c>
      <c r="J88" s="30">
        <f>COUNTIF(E88:H88,"à faire")</f>
        <v/>
      </c>
    </row>
    <row r="89">
      <c r="A89" s="30" t="inlineStr">
        <is>
          <t>salon</t>
        </is>
      </c>
      <c r="B89" s="30">
        <f>IFERROR(INDEX(Mots!$B:$B,MATCH($A89,Mots!$A:$A,0)),"introuvable")</f>
        <v/>
      </c>
      <c r="C89" s="30">
        <f>IFERROR(INDEX(Mots!$S:$S,MATCH($A89,Mots!$A:$A,0)),"")</f>
        <v/>
      </c>
      <c r="D89" s="30">
        <f>IFERROR(COUNTA(INDEX(Mots!$J:$J,MATCH($A89,Mots!$A:$A,0)):INDEX(Mots!$P:$P,MATCH($A89,Mots!$A:$A,0))),0)</f>
        <v/>
      </c>
      <c r="E89" s="30">
        <f>IF(COUNTIF(Classement!$A:$A,$A89)&gt;0,"ok","à faire")</f>
        <v/>
      </c>
      <c r="F89" s="30">
        <f>IF(COUNTIF(Tags!$A:$A,$A89)&gt;0,"ok","à faire")</f>
        <v/>
      </c>
      <c r="G89" s="30">
        <f>IF(COUNTIF(Phrases!$A:$A,$A89)&gt;0,"ok","à faire")</f>
        <v/>
      </c>
      <c r="H89" s="30">
        <f>IF(COUNTIFS(Phrases!$A:$A,$A89,Phrases!$I:$I,"&lt;&gt;")&gt;0,"ok","à faire")</f>
        <v/>
      </c>
      <c r="I89" s="30">
        <f>IF(COUNTIF(Synonymes!$A:$A,$A89)&gt;0,"ok","")</f>
        <v/>
      </c>
      <c r="J89" s="30">
        <f>COUNTIF(E89:H89,"à faire")</f>
        <v/>
      </c>
    </row>
    <row r="90">
      <c r="A90" s="30" t="inlineStr">
        <is>
          <t>canape</t>
        </is>
      </c>
      <c r="B90" s="30">
        <f>IFERROR(INDEX(Mots!$B:$B,MATCH($A90,Mots!$A:$A,0)),"introuvable")</f>
        <v/>
      </c>
      <c r="C90" s="30">
        <f>IFERROR(INDEX(Mots!$S:$S,MATCH($A90,Mots!$A:$A,0)),"")</f>
        <v/>
      </c>
      <c r="D90" s="30">
        <f>IFERROR(COUNTA(INDEX(Mots!$J:$J,MATCH($A90,Mots!$A:$A,0)):INDEX(Mots!$P:$P,MATCH($A90,Mots!$A:$A,0))),0)</f>
        <v/>
      </c>
      <c r="E90" s="30">
        <f>IF(COUNTIF(Classement!$A:$A,$A90)&gt;0,"ok","à faire")</f>
        <v/>
      </c>
      <c r="F90" s="30">
        <f>IF(COUNTIF(Tags!$A:$A,$A90)&gt;0,"ok","à faire")</f>
        <v/>
      </c>
      <c r="G90" s="30">
        <f>IF(COUNTIF(Phrases!$A:$A,$A90)&gt;0,"ok","à faire")</f>
        <v/>
      </c>
      <c r="H90" s="30">
        <f>IF(COUNTIFS(Phrases!$A:$A,$A90,Phrases!$I:$I,"&lt;&gt;")&gt;0,"ok","à faire")</f>
        <v/>
      </c>
      <c r="I90" s="30">
        <f>IF(COUNTIF(Synonymes!$A:$A,$A90)&gt;0,"ok","")</f>
        <v/>
      </c>
      <c r="J90" s="30">
        <f>COUNTIF(E90:H90,"à faire")</f>
        <v/>
      </c>
    </row>
    <row r="91">
      <c r="A91" s="30" t="inlineStr">
        <is>
          <t>fauteuil</t>
        </is>
      </c>
      <c r="B91" s="30">
        <f>IFERROR(INDEX(Mots!$B:$B,MATCH($A91,Mots!$A:$A,0)),"introuvable")</f>
        <v/>
      </c>
      <c r="C91" s="30">
        <f>IFERROR(INDEX(Mots!$S:$S,MATCH($A91,Mots!$A:$A,0)),"")</f>
        <v/>
      </c>
      <c r="D91" s="30">
        <f>IFERROR(COUNTA(INDEX(Mots!$J:$J,MATCH($A91,Mots!$A:$A,0)):INDEX(Mots!$P:$P,MATCH($A91,Mots!$A:$A,0))),0)</f>
        <v/>
      </c>
      <c r="E91" s="30">
        <f>IF(COUNTIF(Classement!$A:$A,$A91)&gt;0,"ok","à faire")</f>
        <v/>
      </c>
      <c r="F91" s="30">
        <f>IF(COUNTIF(Tags!$A:$A,$A91)&gt;0,"ok","à faire")</f>
        <v/>
      </c>
      <c r="G91" s="30">
        <f>IF(COUNTIF(Phrases!$A:$A,$A91)&gt;0,"ok","à faire")</f>
        <v/>
      </c>
      <c r="H91" s="30">
        <f>IF(COUNTIFS(Phrases!$A:$A,$A91,Phrases!$I:$I,"&lt;&gt;")&gt;0,"ok","à faire")</f>
        <v/>
      </c>
      <c r="I91" s="30">
        <f>IF(COUNTIF(Synonymes!$A:$A,$A91)&gt;0,"ok","")</f>
        <v/>
      </c>
      <c r="J91" s="30">
        <f>COUNTIF(E91:H91,"à faire")</f>
        <v/>
      </c>
    </row>
    <row r="92">
      <c r="A92" s="30" t="inlineStr">
        <is>
          <t>meuble</t>
        </is>
      </c>
      <c r="B92" s="30">
        <f>IFERROR(INDEX(Mots!$B:$B,MATCH($A92,Mots!$A:$A,0)),"introuvable")</f>
        <v/>
      </c>
      <c r="C92" s="30">
        <f>IFERROR(INDEX(Mots!$S:$S,MATCH($A92,Mots!$A:$A,0)),"")</f>
        <v/>
      </c>
      <c r="D92" s="30">
        <f>IFERROR(COUNTA(INDEX(Mots!$J:$J,MATCH($A92,Mots!$A:$A,0)):INDEX(Mots!$P:$P,MATCH($A92,Mots!$A:$A,0))),0)</f>
        <v/>
      </c>
      <c r="E92" s="30">
        <f>IF(COUNTIF(Classement!$A:$A,$A92)&gt;0,"ok","à faire")</f>
        <v/>
      </c>
      <c r="F92" s="30">
        <f>IF(COUNTIF(Tags!$A:$A,$A92)&gt;0,"ok","à faire")</f>
        <v/>
      </c>
      <c r="G92" s="30">
        <f>IF(COUNTIF(Phrases!$A:$A,$A92)&gt;0,"ok","à faire")</f>
        <v/>
      </c>
      <c r="H92" s="30">
        <f>IF(COUNTIFS(Phrases!$A:$A,$A92,Phrases!$I:$I,"&lt;&gt;")&gt;0,"ok","à faire")</f>
        <v/>
      </c>
      <c r="I92" s="30">
        <f>IF(COUNTIF(Synonymes!$A:$A,$A92)&gt;0,"ok","")</f>
        <v/>
      </c>
      <c r="J92" s="30">
        <f>COUNTIF(E92:H92,"à faire")</f>
        <v/>
      </c>
    </row>
    <row r="93">
      <c r="A93" s="30" t="inlineStr">
        <is>
          <t>television</t>
        </is>
      </c>
      <c r="B93" s="30">
        <f>IFERROR(INDEX(Mots!$B:$B,MATCH($A93,Mots!$A:$A,0)),"introuvable")</f>
        <v/>
      </c>
      <c r="C93" s="30">
        <f>IFERROR(INDEX(Mots!$S:$S,MATCH($A93,Mots!$A:$A,0)),"")</f>
        <v/>
      </c>
      <c r="D93" s="30">
        <f>IFERROR(COUNTA(INDEX(Mots!$J:$J,MATCH($A93,Mots!$A:$A,0)):INDEX(Mots!$P:$P,MATCH($A93,Mots!$A:$A,0))),0)</f>
        <v/>
      </c>
      <c r="E93" s="30">
        <f>IF(COUNTIF(Classement!$A:$A,$A93)&gt;0,"ok","à faire")</f>
        <v/>
      </c>
      <c r="F93" s="30">
        <f>IF(COUNTIF(Tags!$A:$A,$A93)&gt;0,"ok","à faire")</f>
        <v/>
      </c>
      <c r="G93" s="30">
        <f>IF(COUNTIF(Phrases!$A:$A,$A93)&gt;0,"ok","à faire")</f>
        <v/>
      </c>
      <c r="H93" s="30">
        <f>IF(COUNTIFS(Phrases!$A:$A,$A93,Phrases!$I:$I,"&lt;&gt;")&gt;0,"ok","à faire")</f>
        <v/>
      </c>
      <c r="I93" s="30">
        <f>IF(COUNTIF(Synonymes!$A:$A,$A93)&gt;0,"ok","")</f>
        <v/>
      </c>
      <c r="J93" s="30">
        <f>COUNTIF(E93:H93,"à faire")</f>
        <v/>
      </c>
    </row>
    <row r="94">
      <c r="A94" s="30" t="inlineStr">
        <is>
          <t>lampe</t>
        </is>
      </c>
      <c r="B94" s="30">
        <f>IFERROR(INDEX(Mots!$B:$B,MATCH($A94,Mots!$A:$A,0)),"introuvable")</f>
        <v/>
      </c>
      <c r="C94" s="30">
        <f>IFERROR(INDEX(Mots!$S:$S,MATCH($A94,Mots!$A:$A,0)),"")</f>
        <v/>
      </c>
      <c r="D94" s="30">
        <f>IFERROR(COUNTA(INDEX(Mots!$J:$J,MATCH($A94,Mots!$A:$A,0)):INDEX(Mots!$P:$P,MATCH($A94,Mots!$A:$A,0))),0)</f>
        <v/>
      </c>
      <c r="E94" s="30">
        <f>IF(COUNTIF(Classement!$A:$A,$A94)&gt;0,"ok","à faire")</f>
        <v/>
      </c>
      <c r="F94" s="30">
        <f>IF(COUNTIF(Tags!$A:$A,$A94)&gt;0,"ok","à faire")</f>
        <v/>
      </c>
      <c r="G94" s="30">
        <f>IF(COUNTIF(Phrases!$A:$A,$A94)&gt;0,"ok","à faire")</f>
        <v/>
      </c>
      <c r="H94" s="30">
        <f>IF(COUNTIFS(Phrases!$A:$A,$A94,Phrases!$I:$I,"&lt;&gt;")&gt;0,"ok","à faire")</f>
        <v/>
      </c>
      <c r="I94" s="30">
        <f>IF(COUNTIF(Synonymes!$A:$A,$A94)&gt;0,"ok","")</f>
        <v/>
      </c>
      <c r="J94" s="30">
        <f>COUNTIF(E94:H94,"à faire")</f>
        <v/>
      </c>
    </row>
    <row r="95">
      <c r="A95" s="30" t="inlineStr">
        <is>
          <t>portee_et_mesures</t>
        </is>
      </c>
      <c r="B95" s="30">
        <f>IFERROR(INDEX(Mots!$B:$B,MATCH($A95,Mots!$A:$A,0)),"introuvable")</f>
        <v/>
      </c>
      <c r="C95" s="30">
        <f>IFERROR(INDEX(Mots!$S:$S,MATCH($A95,Mots!$A:$A,0)),"")</f>
        <v/>
      </c>
      <c r="D95" s="30">
        <f>IFERROR(COUNTA(INDEX(Mots!$J:$J,MATCH($A95,Mots!$A:$A,0)):INDEX(Mots!$P:$P,MATCH($A95,Mots!$A:$A,0))),0)</f>
        <v/>
      </c>
      <c r="E95" s="30">
        <f>IF(COUNTIF(Classement!$A:$A,$A95)&gt;0,"ok","à faire")</f>
        <v/>
      </c>
      <c r="F95" s="30">
        <f>IF(COUNTIF(Tags!$A:$A,$A95)&gt;0,"ok","à faire")</f>
        <v/>
      </c>
      <c r="G95" s="30">
        <f>IF(COUNTIF(Phrases!$A:$A,$A95)&gt;0,"ok","à faire")</f>
        <v/>
      </c>
      <c r="H95" s="30">
        <f>IF(COUNTIFS(Phrases!$A:$A,$A95,Phrases!$I:$I,"&lt;&gt;")&gt;0,"ok","à faire")</f>
        <v/>
      </c>
      <c r="I95" s="30">
        <f>IF(COUNTIF(Synonymes!$A:$A,$A95)&gt;0,"ok","")</f>
        <v/>
      </c>
      <c r="J95" s="30">
        <f>COUNTIF(E95:H95,"à faire")</f>
        <v/>
      </c>
    </row>
    <row r="96">
      <c r="A96" s="30" t="inlineStr">
        <is>
          <t>cle_de_sol</t>
        </is>
      </c>
      <c r="B96" s="30">
        <f>IFERROR(INDEX(Mots!$B:$B,MATCH($A96,Mots!$A:$A,0)),"introuvable")</f>
        <v/>
      </c>
      <c r="C96" s="30">
        <f>IFERROR(INDEX(Mots!$S:$S,MATCH($A96,Mots!$A:$A,0)),"")</f>
        <v/>
      </c>
      <c r="D96" s="30">
        <f>IFERROR(COUNTA(INDEX(Mots!$J:$J,MATCH($A96,Mots!$A:$A,0)):INDEX(Mots!$P:$P,MATCH($A96,Mots!$A:$A,0))),0)</f>
        <v/>
      </c>
      <c r="E96" s="30">
        <f>IF(COUNTIF(Classement!$A:$A,$A96)&gt;0,"ok","à faire")</f>
        <v/>
      </c>
      <c r="F96" s="30">
        <f>IF(COUNTIF(Tags!$A:$A,$A96)&gt;0,"ok","à faire")</f>
        <v/>
      </c>
      <c r="G96" s="30">
        <f>IF(COUNTIF(Phrases!$A:$A,$A96)&gt;0,"ok","à faire")</f>
        <v/>
      </c>
      <c r="H96" s="30">
        <f>IF(COUNTIFS(Phrases!$A:$A,$A96,Phrases!$I:$I,"&lt;&gt;")&gt;0,"ok","à faire")</f>
        <v/>
      </c>
      <c r="I96" s="30">
        <f>IF(COUNTIF(Synonymes!$A:$A,$A96)&gt;0,"ok","")</f>
        <v/>
      </c>
      <c r="J96" s="30">
        <f>COUNTIF(E96:H96,"à faire")</f>
        <v/>
      </c>
    </row>
    <row r="97">
      <c r="A97" s="30" t="inlineStr">
        <is>
          <t>figures_notes</t>
        </is>
      </c>
      <c r="B97" s="30">
        <f>IFERROR(INDEX(Mots!$B:$B,MATCH($A97,Mots!$A:$A,0)),"introuvable")</f>
        <v/>
      </c>
      <c r="C97" s="30">
        <f>IFERROR(INDEX(Mots!$S:$S,MATCH($A97,Mots!$A:$A,0)),"")</f>
        <v/>
      </c>
      <c r="D97" s="30">
        <f>IFERROR(COUNTA(INDEX(Mots!$J:$J,MATCH($A97,Mots!$A:$A,0)):INDEX(Mots!$P:$P,MATCH($A97,Mots!$A:$A,0))),0)</f>
        <v/>
      </c>
      <c r="E97" s="30">
        <f>IF(COUNTIF(Classement!$A:$A,$A97)&gt;0,"ok","à faire")</f>
        <v/>
      </c>
      <c r="F97" s="30">
        <f>IF(COUNTIF(Tags!$A:$A,$A97)&gt;0,"ok","à faire")</f>
        <v/>
      </c>
      <c r="G97" s="30">
        <f>IF(COUNTIF(Phrases!$A:$A,$A97)&gt;0,"ok","à faire")</f>
        <v/>
      </c>
      <c r="H97" s="30">
        <f>IF(COUNTIFS(Phrases!$A:$A,$A97,Phrases!$I:$I,"&lt;&gt;")&gt;0,"ok","à faire")</f>
        <v/>
      </c>
      <c r="I97" s="30">
        <f>IF(COUNTIF(Synonymes!$A:$A,$A97)&gt;0,"ok","")</f>
        <v/>
      </c>
      <c r="J97" s="30">
        <f>COUNTIF(E97:H97,"à faire")</f>
        <v/>
      </c>
    </row>
    <row r="98">
      <c r="A98" s="30" t="inlineStr">
        <is>
          <t>alterations</t>
        </is>
      </c>
      <c r="B98" s="30">
        <f>IFERROR(INDEX(Mots!$B:$B,MATCH($A98,Mots!$A:$A,0)),"introuvable")</f>
        <v/>
      </c>
      <c r="C98" s="30">
        <f>IFERROR(INDEX(Mots!$S:$S,MATCH($A98,Mots!$A:$A,0)),"")</f>
        <v/>
      </c>
      <c r="D98" s="30">
        <f>IFERROR(COUNTA(INDEX(Mots!$J:$J,MATCH($A98,Mots!$A:$A,0)):INDEX(Mots!$P:$P,MATCH($A98,Mots!$A:$A,0))),0)</f>
        <v/>
      </c>
      <c r="E98" s="30">
        <f>IF(COUNTIF(Classement!$A:$A,$A98)&gt;0,"ok","à faire")</f>
        <v/>
      </c>
      <c r="F98" s="30">
        <f>IF(COUNTIF(Tags!$A:$A,$A98)&gt;0,"ok","à faire")</f>
        <v/>
      </c>
      <c r="G98" s="30">
        <f>IF(COUNTIF(Phrases!$A:$A,$A98)&gt;0,"ok","à faire")</f>
        <v/>
      </c>
      <c r="H98" s="30">
        <f>IF(COUNTIFS(Phrases!$A:$A,$A98,Phrases!$I:$I,"&lt;&gt;")&gt;0,"ok","à faire")</f>
        <v/>
      </c>
      <c r="I98" s="30">
        <f>IF(COUNTIF(Synonymes!$A:$A,$A98)&gt;0,"ok","")</f>
        <v/>
      </c>
      <c r="J98" s="30">
        <f>COUNTIF(E98:H98,"à faire")</f>
        <v/>
      </c>
    </row>
    <row r="99">
      <c r="A99" s="30" t="inlineStr">
        <is>
          <t>silences</t>
        </is>
      </c>
      <c r="B99" s="30">
        <f>IFERROR(INDEX(Mots!$B:$B,MATCH($A99,Mots!$A:$A,0)),"introuvable")</f>
        <v/>
      </c>
      <c r="C99" s="30">
        <f>IFERROR(INDEX(Mots!$S:$S,MATCH($A99,Mots!$A:$A,0)),"")</f>
        <v/>
      </c>
      <c r="D99" s="30">
        <f>IFERROR(COUNTA(INDEX(Mots!$J:$J,MATCH($A99,Mots!$A:$A,0)):INDEX(Mots!$P:$P,MATCH($A99,Mots!$A:$A,0))),0)</f>
        <v/>
      </c>
      <c r="E99" s="30">
        <f>IF(COUNTIF(Classement!$A:$A,$A99)&gt;0,"ok","à faire")</f>
        <v/>
      </c>
      <c r="F99" s="30">
        <f>IF(COUNTIF(Tags!$A:$A,$A99)&gt;0,"ok","à faire")</f>
        <v/>
      </c>
      <c r="G99" s="30">
        <f>IF(COUNTIF(Phrases!$A:$A,$A99)&gt;0,"ok","à faire")</f>
        <v/>
      </c>
      <c r="H99" s="30">
        <f>IF(COUNTIFS(Phrases!$A:$A,$A99,Phrases!$I:$I,"&lt;&gt;")&gt;0,"ok","à faire")</f>
        <v/>
      </c>
      <c r="I99" s="30">
        <f>IF(COUNTIF(Synonymes!$A:$A,$A99)&gt;0,"ok","")</f>
        <v/>
      </c>
      <c r="J99" s="30">
        <f>COUNTIF(E99:H99,"à faire")</f>
        <v/>
      </c>
    </row>
    <row r="100">
      <c r="A100" s="30" t="inlineStr">
        <is>
          <t>les_nuances</t>
        </is>
      </c>
      <c r="B100" s="30">
        <f>IFERROR(INDEX(Mots!$B:$B,MATCH($A100,Mots!$A:$A,0)),"introuvable")</f>
        <v/>
      </c>
      <c r="C100" s="30">
        <f>IFERROR(INDEX(Mots!$S:$S,MATCH($A100,Mots!$A:$A,0)),"")</f>
        <v/>
      </c>
      <c r="D100" s="30">
        <f>IFERROR(COUNTA(INDEX(Mots!$J:$J,MATCH($A100,Mots!$A:$A,0)):INDEX(Mots!$P:$P,MATCH($A100,Mots!$A:$A,0))),0)</f>
        <v/>
      </c>
      <c r="E100" s="30">
        <f>IF(COUNTIF(Classement!$A:$A,$A100)&gt;0,"ok","à faire")</f>
        <v/>
      </c>
      <c r="F100" s="30">
        <f>IF(COUNTIF(Tags!$A:$A,$A100)&gt;0,"ok","à faire")</f>
        <v/>
      </c>
      <c r="G100" s="30">
        <f>IF(COUNTIF(Phrases!$A:$A,$A100)&gt;0,"ok","à faire")</f>
        <v/>
      </c>
      <c r="H100" s="30">
        <f>IF(COUNTIFS(Phrases!$A:$A,$A100,Phrases!$I:$I,"&lt;&gt;")&gt;0,"ok","à faire")</f>
        <v/>
      </c>
      <c r="I100" s="30">
        <f>IF(COUNTIF(Synonymes!$A:$A,$A100)&gt;0,"ok","")</f>
        <v/>
      </c>
      <c r="J100" s="30">
        <f>COUNTIF(E100:H100,"à faire")</f>
        <v/>
      </c>
    </row>
    <row r="101">
      <c r="A101" s="30" t="inlineStr">
        <is>
          <t>crescendo_decrescendo</t>
        </is>
      </c>
      <c r="B101" s="30">
        <f>IFERROR(INDEX(Mots!$B:$B,MATCH($A101,Mots!$A:$A,0)),"introuvable")</f>
        <v/>
      </c>
      <c r="C101" s="30">
        <f>IFERROR(INDEX(Mots!$S:$S,MATCH($A101,Mots!$A:$A,0)),"")</f>
        <v/>
      </c>
      <c r="D101" s="30">
        <f>IFERROR(COUNTA(INDEX(Mots!$J:$J,MATCH($A101,Mots!$A:$A,0)):INDEX(Mots!$P:$P,MATCH($A101,Mots!$A:$A,0))),0)</f>
        <v/>
      </c>
      <c r="E101" s="30">
        <f>IF(COUNTIF(Classement!$A:$A,$A101)&gt;0,"ok","à faire")</f>
        <v/>
      </c>
      <c r="F101" s="30">
        <f>IF(COUNTIF(Tags!$A:$A,$A101)&gt;0,"ok","à faire")</f>
        <v/>
      </c>
      <c r="G101" s="30">
        <f>IF(COUNTIF(Phrases!$A:$A,$A101)&gt;0,"ok","à faire")</f>
        <v/>
      </c>
      <c r="H101" s="30">
        <f>IF(COUNTIFS(Phrases!$A:$A,$A101,Phrases!$I:$I,"&lt;&gt;")&gt;0,"ok","à faire")</f>
        <v/>
      </c>
      <c r="I101" s="30">
        <f>IF(COUNTIF(Synonymes!$A:$A,$A101)&gt;0,"ok","")</f>
        <v/>
      </c>
      <c r="J101" s="30">
        <f>COUNTIF(E101:H101,"à faire")</f>
        <v/>
      </c>
    </row>
    <row r="102">
      <c r="A102" s="30" t="inlineStr">
        <is>
          <t>seconde</t>
        </is>
      </c>
      <c r="B102" s="30">
        <f>IFERROR(INDEX(Mots!$B:$B,MATCH($A102,Mots!$A:$A,0)),"introuvable")</f>
        <v/>
      </c>
      <c r="C102" s="30">
        <f>IFERROR(INDEX(Mots!$S:$S,MATCH($A102,Mots!$A:$A,0)),"")</f>
        <v/>
      </c>
      <c r="D102" s="30">
        <f>IFERROR(COUNTA(INDEX(Mots!$J:$J,MATCH($A102,Mots!$A:$A,0)):INDEX(Mots!$P:$P,MATCH($A102,Mots!$A:$A,0))),0)</f>
        <v/>
      </c>
      <c r="E102" s="30">
        <f>IF(COUNTIF(Classement!$A:$A,$A102)&gt;0,"ok","à faire")</f>
        <v/>
      </c>
      <c r="F102" s="30">
        <f>IF(COUNTIF(Tags!$A:$A,$A102)&gt;0,"ok","à faire")</f>
        <v/>
      </c>
      <c r="G102" s="30">
        <f>IF(COUNTIF(Phrases!$A:$A,$A102)&gt;0,"ok","à faire")</f>
        <v/>
      </c>
      <c r="H102" s="30">
        <f>IF(COUNTIFS(Phrases!$A:$A,$A102,Phrases!$I:$I,"&lt;&gt;")&gt;0,"ok","à faire")</f>
        <v/>
      </c>
      <c r="I102" s="30">
        <f>IF(COUNTIF(Synonymes!$A:$A,$A102)&gt;0,"ok","")</f>
        <v/>
      </c>
      <c r="J102" s="30">
        <f>COUNTIF(E102:H102,"à faire")</f>
        <v/>
      </c>
    </row>
    <row r="103">
      <c r="A103" s="30" t="inlineStr">
        <is>
          <t>minute</t>
        </is>
      </c>
      <c r="B103" s="30">
        <f>IFERROR(INDEX(Mots!$B:$B,MATCH($A103,Mots!$A:$A,0)),"introuvable")</f>
        <v/>
      </c>
      <c r="C103" s="30">
        <f>IFERROR(INDEX(Mots!$S:$S,MATCH($A103,Mots!$A:$A,0)),"")</f>
        <v/>
      </c>
      <c r="D103" s="30">
        <f>IFERROR(COUNTA(INDEX(Mots!$J:$J,MATCH($A103,Mots!$A:$A,0)):INDEX(Mots!$P:$P,MATCH($A103,Mots!$A:$A,0))),0)</f>
        <v/>
      </c>
      <c r="E103" s="30">
        <f>IF(COUNTIF(Classement!$A:$A,$A103)&gt;0,"ok","à faire")</f>
        <v/>
      </c>
      <c r="F103" s="30">
        <f>IF(COUNTIF(Tags!$A:$A,$A103)&gt;0,"ok","à faire")</f>
        <v/>
      </c>
      <c r="G103" s="30">
        <f>IF(COUNTIF(Phrases!$A:$A,$A103)&gt;0,"ok","à faire")</f>
        <v/>
      </c>
      <c r="H103" s="30">
        <f>IF(COUNTIFS(Phrases!$A:$A,$A103,Phrases!$I:$I,"&lt;&gt;")&gt;0,"ok","à faire")</f>
        <v/>
      </c>
      <c r="I103" s="30">
        <f>IF(COUNTIF(Synonymes!$A:$A,$A103)&gt;0,"ok","")</f>
        <v/>
      </c>
      <c r="J103" s="30">
        <f>COUNTIF(E103:H103,"à faire")</f>
        <v/>
      </c>
    </row>
    <row r="104">
      <c r="A104" s="30" t="inlineStr">
        <is>
          <t>heure</t>
        </is>
      </c>
      <c r="B104" s="30">
        <f>IFERROR(INDEX(Mots!$B:$B,MATCH($A104,Mots!$A:$A,0)),"introuvable")</f>
        <v/>
      </c>
      <c r="C104" s="30">
        <f>IFERROR(INDEX(Mots!$S:$S,MATCH($A104,Mots!$A:$A,0)),"")</f>
        <v/>
      </c>
      <c r="D104" s="30">
        <f>IFERROR(COUNTA(INDEX(Mots!$J:$J,MATCH($A104,Mots!$A:$A,0)):INDEX(Mots!$P:$P,MATCH($A104,Mots!$A:$A,0))),0)</f>
        <v/>
      </c>
      <c r="E104" s="30">
        <f>IF(COUNTIF(Classement!$A:$A,$A104)&gt;0,"ok","à faire")</f>
        <v/>
      </c>
      <c r="F104" s="30">
        <f>IF(COUNTIF(Tags!$A:$A,$A104)&gt;0,"ok","à faire")</f>
        <v/>
      </c>
      <c r="G104" s="30">
        <f>IF(COUNTIF(Phrases!$A:$A,$A104)&gt;0,"ok","à faire")</f>
        <v/>
      </c>
      <c r="H104" s="30">
        <f>IF(COUNTIFS(Phrases!$A:$A,$A104,Phrases!$I:$I,"&lt;&gt;")&gt;0,"ok","à faire")</f>
        <v/>
      </c>
      <c r="I104" s="30">
        <f>IF(COUNTIF(Synonymes!$A:$A,$A104)&gt;0,"ok","")</f>
        <v/>
      </c>
      <c r="J104" s="30">
        <f>COUNTIF(E104:H104,"à faire")</f>
        <v/>
      </c>
    </row>
    <row r="105">
      <c r="A105" s="30" t="inlineStr">
        <is>
          <t>jour</t>
        </is>
      </c>
      <c r="B105" s="30">
        <f>IFERROR(INDEX(Mots!$B:$B,MATCH($A105,Mots!$A:$A,0)),"introuvable")</f>
        <v/>
      </c>
      <c r="C105" s="30">
        <f>IFERROR(INDEX(Mots!$S:$S,MATCH($A105,Mots!$A:$A,0)),"")</f>
        <v/>
      </c>
      <c r="D105" s="30">
        <f>IFERROR(COUNTA(INDEX(Mots!$J:$J,MATCH($A105,Mots!$A:$A,0)):INDEX(Mots!$P:$P,MATCH($A105,Mots!$A:$A,0))),0)</f>
        <v/>
      </c>
      <c r="E105" s="30">
        <f>IF(COUNTIF(Classement!$A:$A,$A105)&gt;0,"ok","à faire")</f>
        <v/>
      </c>
      <c r="F105" s="30">
        <f>IF(COUNTIF(Tags!$A:$A,$A105)&gt;0,"ok","à faire")</f>
        <v/>
      </c>
      <c r="G105" s="30">
        <f>IF(COUNTIF(Phrases!$A:$A,$A105)&gt;0,"ok","à faire")</f>
        <v/>
      </c>
      <c r="H105" s="30">
        <f>IF(COUNTIFS(Phrases!$A:$A,$A105,Phrases!$I:$I,"&lt;&gt;")&gt;0,"ok","à faire")</f>
        <v/>
      </c>
      <c r="I105" s="30">
        <f>IF(COUNTIF(Synonymes!$A:$A,$A105)&gt;0,"ok","")</f>
        <v/>
      </c>
      <c r="J105" s="30">
        <f>COUNTIF(E105:H105,"à faire")</f>
        <v/>
      </c>
    </row>
    <row r="106">
      <c r="A106" s="30" t="inlineStr">
        <is>
          <t>matin</t>
        </is>
      </c>
      <c r="B106" s="30">
        <f>IFERROR(INDEX(Mots!$B:$B,MATCH($A106,Mots!$A:$A,0)),"introuvable")</f>
        <v/>
      </c>
      <c r="C106" s="30">
        <f>IFERROR(INDEX(Mots!$S:$S,MATCH($A106,Mots!$A:$A,0)),"")</f>
        <v/>
      </c>
      <c r="D106" s="30">
        <f>IFERROR(COUNTA(INDEX(Mots!$J:$J,MATCH($A106,Mots!$A:$A,0)):INDEX(Mots!$P:$P,MATCH($A106,Mots!$A:$A,0))),0)</f>
        <v/>
      </c>
      <c r="E106" s="30">
        <f>IF(COUNTIF(Classement!$A:$A,$A106)&gt;0,"ok","à faire")</f>
        <v/>
      </c>
      <c r="F106" s="30">
        <f>IF(COUNTIF(Tags!$A:$A,$A106)&gt;0,"ok","à faire")</f>
        <v/>
      </c>
      <c r="G106" s="30">
        <f>IF(COUNTIF(Phrases!$A:$A,$A106)&gt;0,"ok","à faire")</f>
        <v/>
      </c>
      <c r="H106" s="30">
        <f>IF(COUNTIFS(Phrases!$A:$A,$A106,Phrases!$I:$I,"&lt;&gt;")&gt;0,"ok","à faire")</f>
        <v/>
      </c>
      <c r="I106" s="30">
        <f>IF(COUNTIF(Synonymes!$A:$A,$A106)&gt;0,"ok","")</f>
        <v/>
      </c>
      <c r="J106" s="30">
        <f>COUNTIF(E106:H106,"à faire")</f>
        <v/>
      </c>
    </row>
    <row r="107">
      <c r="A107" s="30" t="inlineStr">
        <is>
          <t>soir</t>
        </is>
      </c>
      <c r="B107" s="30">
        <f>IFERROR(INDEX(Mots!$B:$B,MATCH($A107,Mots!$A:$A,0)),"introuvable")</f>
        <v/>
      </c>
      <c r="C107" s="30">
        <f>IFERROR(INDEX(Mots!$S:$S,MATCH($A107,Mots!$A:$A,0)),"")</f>
        <v/>
      </c>
      <c r="D107" s="30">
        <f>IFERROR(COUNTA(INDEX(Mots!$J:$J,MATCH($A107,Mots!$A:$A,0)):INDEX(Mots!$P:$P,MATCH($A107,Mots!$A:$A,0))),0)</f>
        <v/>
      </c>
      <c r="E107" s="30">
        <f>IF(COUNTIF(Classement!$A:$A,$A107)&gt;0,"ok","à faire")</f>
        <v/>
      </c>
      <c r="F107" s="30">
        <f>IF(COUNTIF(Tags!$A:$A,$A107)&gt;0,"ok","à faire")</f>
        <v/>
      </c>
      <c r="G107" s="30">
        <f>IF(COUNTIF(Phrases!$A:$A,$A107)&gt;0,"ok","à faire")</f>
        <v/>
      </c>
      <c r="H107" s="30">
        <f>IF(COUNTIFS(Phrases!$A:$A,$A107,Phrases!$I:$I,"&lt;&gt;")&gt;0,"ok","à faire")</f>
        <v/>
      </c>
      <c r="I107" s="30">
        <f>IF(COUNTIF(Synonymes!$A:$A,$A107)&gt;0,"ok","")</f>
        <v/>
      </c>
      <c r="J107" s="30">
        <f>COUNTIF(E107:H107,"à faire")</f>
        <v/>
      </c>
    </row>
    <row r="108">
      <c r="A108" s="30" t="inlineStr">
        <is>
          <t>nuit</t>
        </is>
      </c>
      <c r="B108" s="30">
        <f>IFERROR(INDEX(Mots!$B:$B,MATCH($A108,Mots!$A:$A,0)),"introuvable")</f>
        <v/>
      </c>
      <c r="C108" s="30">
        <f>IFERROR(INDEX(Mots!$S:$S,MATCH($A108,Mots!$A:$A,0)),"")</f>
        <v/>
      </c>
      <c r="D108" s="30">
        <f>IFERROR(COUNTA(INDEX(Mots!$J:$J,MATCH($A108,Mots!$A:$A,0)):INDEX(Mots!$P:$P,MATCH($A108,Mots!$A:$A,0))),0)</f>
        <v/>
      </c>
      <c r="E108" s="30">
        <f>IF(COUNTIF(Classement!$A:$A,$A108)&gt;0,"ok","à faire")</f>
        <v/>
      </c>
      <c r="F108" s="30">
        <f>IF(COUNTIF(Tags!$A:$A,$A108)&gt;0,"ok","à faire")</f>
        <v/>
      </c>
      <c r="G108" s="30">
        <f>IF(COUNTIF(Phrases!$A:$A,$A108)&gt;0,"ok","à faire")</f>
        <v/>
      </c>
      <c r="H108" s="30">
        <f>IF(COUNTIFS(Phrases!$A:$A,$A108,Phrases!$I:$I,"&lt;&gt;")&gt;0,"ok","à faire")</f>
        <v/>
      </c>
      <c r="I108" s="30">
        <f>IF(COUNTIF(Synonymes!$A:$A,$A108)&gt;0,"ok","")</f>
        <v/>
      </c>
      <c r="J108" s="30">
        <f>COUNTIF(E108:H108,"à faire")</f>
        <v/>
      </c>
    </row>
    <row r="109">
      <c r="A109" s="30" t="inlineStr">
        <is>
          <t>semaine</t>
        </is>
      </c>
      <c r="B109" s="30">
        <f>IFERROR(INDEX(Mots!$B:$B,MATCH($A109,Mots!$A:$A,0)),"introuvable")</f>
        <v/>
      </c>
      <c r="C109" s="30">
        <f>IFERROR(INDEX(Mots!$S:$S,MATCH($A109,Mots!$A:$A,0)),"")</f>
        <v/>
      </c>
      <c r="D109" s="30">
        <f>IFERROR(COUNTA(INDEX(Mots!$J:$J,MATCH($A109,Mots!$A:$A,0)):INDEX(Mots!$P:$P,MATCH($A109,Mots!$A:$A,0))),0)</f>
        <v/>
      </c>
      <c r="E109" s="30">
        <f>IF(COUNTIF(Classement!$A:$A,$A109)&gt;0,"ok","à faire")</f>
        <v/>
      </c>
      <c r="F109" s="30">
        <f>IF(COUNTIF(Tags!$A:$A,$A109)&gt;0,"ok","à faire")</f>
        <v/>
      </c>
      <c r="G109" s="30">
        <f>IF(COUNTIF(Phrases!$A:$A,$A109)&gt;0,"ok","à faire")</f>
        <v/>
      </c>
      <c r="H109" s="30">
        <f>IF(COUNTIFS(Phrases!$A:$A,$A109,Phrases!$I:$I,"&lt;&gt;")&gt;0,"ok","à faire")</f>
        <v/>
      </c>
      <c r="I109" s="30">
        <f>IF(COUNTIF(Synonymes!$A:$A,$A109)&gt;0,"ok","")</f>
        <v/>
      </c>
      <c r="J109" s="30">
        <f>COUNTIF(E109:H109,"à faire")</f>
        <v/>
      </c>
    </row>
    <row r="110">
      <c r="A110" s="30" t="inlineStr">
        <is>
          <t>mois</t>
        </is>
      </c>
      <c r="B110" s="30">
        <f>IFERROR(INDEX(Mots!$B:$B,MATCH($A110,Mots!$A:$A,0)),"introuvable")</f>
        <v/>
      </c>
      <c r="C110" s="30">
        <f>IFERROR(INDEX(Mots!$S:$S,MATCH($A110,Mots!$A:$A,0)),"")</f>
        <v/>
      </c>
      <c r="D110" s="30">
        <f>IFERROR(COUNTA(INDEX(Mots!$J:$J,MATCH($A110,Mots!$A:$A,0)):INDEX(Mots!$P:$P,MATCH($A110,Mots!$A:$A,0))),0)</f>
        <v/>
      </c>
      <c r="E110" s="30">
        <f>IF(COUNTIF(Classement!$A:$A,$A110)&gt;0,"ok","à faire")</f>
        <v/>
      </c>
      <c r="F110" s="30">
        <f>IF(COUNTIF(Tags!$A:$A,$A110)&gt;0,"ok","à faire")</f>
        <v/>
      </c>
      <c r="G110" s="30">
        <f>IF(COUNTIF(Phrases!$A:$A,$A110)&gt;0,"ok","à faire")</f>
        <v/>
      </c>
      <c r="H110" s="30">
        <f>IF(COUNTIFS(Phrases!$A:$A,$A110,Phrases!$I:$I,"&lt;&gt;")&gt;0,"ok","à faire")</f>
        <v/>
      </c>
      <c r="I110" s="30">
        <f>IF(COUNTIF(Synonymes!$A:$A,$A110)&gt;0,"ok","")</f>
        <v/>
      </c>
      <c r="J110" s="30">
        <f>COUNTIF(E110:H110,"à faire")</f>
        <v/>
      </c>
    </row>
    <row r="111">
      <c r="A111" s="30" t="inlineStr">
        <is>
          <t>annee</t>
        </is>
      </c>
      <c r="B111" s="30">
        <f>IFERROR(INDEX(Mots!$B:$B,MATCH($A111,Mots!$A:$A,0)),"introuvable")</f>
        <v/>
      </c>
      <c r="C111" s="30">
        <f>IFERROR(INDEX(Mots!$S:$S,MATCH($A111,Mots!$A:$A,0)),"")</f>
        <v/>
      </c>
      <c r="D111" s="30">
        <f>IFERROR(COUNTA(INDEX(Mots!$J:$J,MATCH($A111,Mots!$A:$A,0)):INDEX(Mots!$P:$P,MATCH($A111,Mots!$A:$A,0))),0)</f>
        <v/>
      </c>
      <c r="E111" s="30">
        <f>IF(COUNTIF(Classement!$A:$A,$A111)&gt;0,"ok","à faire")</f>
        <v/>
      </c>
      <c r="F111" s="30">
        <f>IF(COUNTIF(Tags!$A:$A,$A111)&gt;0,"ok","à faire")</f>
        <v/>
      </c>
      <c r="G111" s="30">
        <f>IF(COUNTIF(Phrases!$A:$A,$A111)&gt;0,"ok","à faire")</f>
        <v/>
      </c>
      <c r="H111" s="30">
        <f>IF(COUNTIFS(Phrases!$A:$A,$A111,Phrases!$I:$I,"&lt;&gt;")&gt;0,"ok","à faire")</f>
        <v/>
      </c>
      <c r="I111" s="30">
        <f>IF(COUNTIF(Synonymes!$A:$A,$A111)&gt;0,"ok","")</f>
        <v/>
      </c>
      <c r="J111" s="30">
        <f>COUNTIF(E111:H111,"à faire")</f>
        <v/>
      </c>
    </row>
    <row r="112">
      <c r="A112" s="30" t="inlineStr">
        <is>
          <t>siecle</t>
        </is>
      </c>
      <c r="B112" s="30">
        <f>IFERROR(INDEX(Mots!$B:$B,MATCH($A112,Mots!$A:$A,0)),"introuvable")</f>
        <v/>
      </c>
      <c r="C112" s="30">
        <f>IFERROR(INDEX(Mots!$S:$S,MATCH($A112,Mots!$A:$A,0)),"")</f>
        <v/>
      </c>
      <c r="D112" s="30">
        <f>IFERROR(COUNTA(INDEX(Mots!$J:$J,MATCH($A112,Mots!$A:$A,0)):INDEX(Mots!$P:$P,MATCH($A112,Mots!$A:$A,0))),0)</f>
        <v/>
      </c>
      <c r="E112" s="30">
        <f>IF(COUNTIF(Classement!$A:$A,$A112)&gt;0,"ok","à faire")</f>
        <v/>
      </c>
      <c r="F112" s="30">
        <f>IF(COUNTIF(Tags!$A:$A,$A112)&gt;0,"ok","à faire")</f>
        <v/>
      </c>
      <c r="G112" s="30">
        <f>IF(COUNTIF(Phrases!$A:$A,$A112)&gt;0,"ok","à faire")</f>
        <v/>
      </c>
      <c r="H112" s="30">
        <f>IF(COUNTIFS(Phrases!$A:$A,$A112,Phrases!$I:$I,"&lt;&gt;")&gt;0,"ok","à faire")</f>
        <v/>
      </c>
      <c r="I112" s="30">
        <f>IF(COUNTIF(Synonymes!$A:$A,$A112)&gt;0,"ok","")</f>
        <v/>
      </c>
      <c r="J112" s="30">
        <f>COUNTIF(E112:H112,"à faire")</f>
        <v/>
      </c>
    </row>
    <row r="113">
      <c r="A113" s="30" t="inlineStr">
        <is>
          <t>printemps</t>
        </is>
      </c>
      <c r="B113" s="30">
        <f>IFERROR(INDEX(Mots!$B:$B,MATCH($A113,Mots!$A:$A,0)),"introuvable")</f>
        <v/>
      </c>
      <c r="C113" s="30">
        <f>IFERROR(INDEX(Mots!$S:$S,MATCH($A113,Mots!$A:$A,0)),"")</f>
        <v/>
      </c>
      <c r="D113" s="30">
        <f>IFERROR(COUNTA(INDEX(Mots!$J:$J,MATCH($A113,Mots!$A:$A,0)):INDEX(Mots!$P:$P,MATCH($A113,Mots!$A:$A,0))),0)</f>
        <v/>
      </c>
      <c r="E113" s="30">
        <f>IF(COUNTIF(Classement!$A:$A,$A113)&gt;0,"ok","à faire")</f>
        <v/>
      </c>
      <c r="F113" s="30">
        <f>IF(COUNTIF(Tags!$A:$A,$A113)&gt;0,"ok","à faire")</f>
        <v/>
      </c>
      <c r="G113" s="30">
        <f>IF(COUNTIF(Phrases!$A:$A,$A113)&gt;0,"ok","à faire")</f>
        <v/>
      </c>
      <c r="H113" s="30">
        <f>IF(COUNTIFS(Phrases!$A:$A,$A113,Phrases!$I:$I,"&lt;&gt;")&gt;0,"ok","à faire")</f>
        <v/>
      </c>
      <c r="I113" s="30">
        <f>IF(COUNTIF(Synonymes!$A:$A,$A113)&gt;0,"ok","")</f>
        <v/>
      </c>
      <c r="J113" s="30">
        <f>COUNTIF(E113:H113,"à faire")</f>
        <v/>
      </c>
    </row>
    <row r="114">
      <c r="A114" s="30" t="inlineStr">
        <is>
          <t>ete</t>
        </is>
      </c>
      <c r="B114" s="30">
        <f>IFERROR(INDEX(Mots!$B:$B,MATCH($A114,Mots!$A:$A,0)),"introuvable")</f>
        <v/>
      </c>
      <c r="C114" s="30">
        <f>IFERROR(INDEX(Mots!$S:$S,MATCH($A114,Mots!$A:$A,0)),"")</f>
        <v/>
      </c>
      <c r="D114" s="30">
        <f>IFERROR(COUNTA(INDEX(Mots!$J:$J,MATCH($A114,Mots!$A:$A,0)):INDEX(Mots!$P:$P,MATCH($A114,Mots!$A:$A,0))),0)</f>
        <v/>
      </c>
      <c r="E114" s="30">
        <f>IF(COUNTIF(Classement!$A:$A,$A114)&gt;0,"ok","à faire")</f>
        <v/>
      </c>
      <c r="F114" s="30">
        <f>IF(COUNTIF(Tags!$A:$A,$A114)&gt;0,"ok","à faire")</f>
        <v/>
      </c>
      <c r="G114" s="30">
        <f>IF(COUNTIF(Phrases!$A:$A,$A114)&gt;0,"ok","à faire")</f>
        <v/>
      </c>
      <c r="H114" s="30">
        <f>IF(COUNTIFS(Phrases!$A:$A,$A114,Phrases!$I:$I,"&lt;&gt;")&gt;0,"ok","à faire")</f>
        <v/>
      </c>
      <c r="I114" s="30">
        <f>IF(COUNTIF(Synonymes!$A:$A,$A114)&gt;0,"ok","")</f>
        <v/>
      </c>
      <c r="J114" s="30">
        <f>COUNTIF(E114:H114,"à faire")</f>
        <v/>
      </c>
    </row>
    <row r="115">
      <c r="A115" s="30" t="inlineStr">
        <is>
          <t>automne</t>
        </is>
      </c>
      <c r="B115" s="30">
        <f>IFERROR(INDEX(Mots!$B:$B,MATCH($A115,Mots!$A:$A,0)),"introuvable")</f>
        <v/>
      </c>
      <c r="C115" s="30">
        <f>IFERROR(INDEX(Mots!$S:$S,MATCH($A115,Mots!$A:$A,0)),"")</f>
        <v/>
      </c>
      <c r="D115" s="30">
        <f>IFERROR(COUNTA(INDEX(Mots!$J:$J,MATCH($A115,Mots!$A:$A,0)):INDEX(Mots!$P:$P,MATCH($A115,Mots!$A:$A,0))),0)</f>
        <v/>
      </c>
      <c r="E115" s="30">
        <f>IF(COUNTIF(Classement!$A:$A,$A115)&gt;0,"ok","à faire")</f>
        <v/>
      </c>
      <c r="F115" s="30">
        <f>IF(COUNTIF(Tags!$A:$A,$A115)&gt;0,"ok","à faire")</f>
        <v/>
      </c>
      <c r="G115" s="30">
        <f>IF(COUNTIF(Phrases!$A:$A,$A115)&gt;0,"ok","à faire")</f>
        <v/>
      </c>
      <c r="H115" s="30">
        <f>IF(COUNTIFS(Phrases!$A:$A,$A115,Phrases!$I:$I,"&lt;&gt;")&gt;0,"ok","à faire")</f>
        <v/>
      </c>
      <c r="I115" s="30">
        <f>IF(COUNTIF(Synonymes!$A:$A,$A115)&gt;0,"ok","")</f>
        <v/>
      </c>
      <c r="J115" s="30">
        <f>COUNTIF(E115:H115,"à faire")</f>
        <v/>
      </c>
    </row>
    <row r="116">
      <c r="A116" s="30" t="inlineStr">
        <is>
          <t>hiver</t>
        </is>
      </c>
      <c r="B116" s="30">
        <f>IFERROR(INDEX(Mots!$B:$B,MATCH($A116,Mots!$A:$A,0)),"introuvable")</f>
        <v/>
      </c>
      <c r="C116" s="30">
        <f>IFERROR(INDEX(Mots!$S:$S,MATCH($A116,Mots!$A:$A,0)),"")</f>
        <v/>
      </c>
      <c r="D116" s="30">
        <f>IFERROR(COUNTA(INDEX(Mots!$J:$J,MATCH($A116,Mots!$A:$A,0)):INDEX(Mots!$P:$P,MATCH($A116,Mots!$A:$A,0))),0)</f>
        <v/>
      </c>
      <c r="E116" s="30">
        <f>IF(COUNTIF(Classement!$A:$A,$A116)&gt;0,"ok","à faire")</f>
        <v/>
      </c>
      <c r="F116" s="30">
        <f>IF(COUNTIF(Tags!$A:$A,$A116)&gt;0,"ok","à faire")</f>
        <v/>
      </c>
      <c r="G116" s="30">
        <f>IF(COUNTIF(Phrases!$A:$A,$A116)&gt;0,"ok","à faire")</f>
        <v/>
      </c>
      <c r="H116" s="30">
        <f>IF(COUNTIFS(Phrases!$A:$A,$A116,Phrases!$I:$I,"&lt;&gt;")&gt;0,"ok","à faire")</f>
        <v/>
      </c>
      <c r="I116" s="30">
        <f>IF(COUNTIF(Synonymes!$A:$A,$A116)&gt;0,"ok","")</f>
        <v/>
      </c>
      <c r="J116" s="30">
        <f>COUNTIF(E116:H116,"à faire")</f>
        <v/>
      </c>
    </row>
    <row r="117">
      <c r="A117" s="30" t="inlineStr">
        <is>
          <t>saison</t>
        </is>
      </c>
      <c r="B117" s="30">
        <f>IFERROR(INDEX(Mots!$B:$B,MATCH($A117,Mots!$A:$A,0)),"introuvable")</f>
        <v/>
      </c>
      <c r="C117" s="30">
        <f>IFERROR(INDEX(Mots!$S:$S,MATCH($A117,Mots!$A:$A,0)),"")</f>
        <v/>
      </c>
      <c r="D117" s="30">
        <f>IFERROR(COUNTA(INDEX(Mots!$J:$J,MATCH($A117,Mots!$A:$A,0)):INDEX(Mots!$P:$P,MATCH($A117,Mots!$A:$A,0))),0)</f>
        <v/>
      </c>
      <c r="E117" s="30">
        <f>IF(COUNTIF(Classement!$A:$A,$A117)&gt;0,"ok","à faire")</f>
        <v/>
      </c>
      <c r="F117" s="30">
        <f>IF(COUNTIF(Tags!$A:$A,$A117)&gt;0,"ok","à faire")</f>
        <v/>
      </c>
      <c r="G117" s="30">
        <f>IF(COUNTIF(Phrases!$A:$A,$A117)&gt;0,"ok","à faire")</f>
        <v/>
      </c>
      <c r="H117" s="30">
        <f>IF(COUNTIFS(Phrases!$A:$A,$A117,Phrases!$I:$I,"&lt;&gt;")&gt;0,"ok","à faire")</f>
        <v/>
      </c>
      <c r="I117" s="30">
        <f>IF(COUNTIF(Synonymes!$A:$A,$A117)&gt;0,"ok","")</f>
        <v/>
      </c>
      <c r="J117" s="30">
        <f>COUNTIF(E117:H117,"à faire")</f>
        <v/>
      </c>
    </row>
    <row r="118">
      <c r="A118" s="30" t="inlineStr">
        <is>
          <t>date</t>
        </is>
      </c>
      <c r="B118" s="30">
        <f>IFERROR(INDEX(Mots!$B:$B,MATCH($A118,Mots!$A:$A,0)),"introuvable")</f>
        <v/>
      </c>
      <c r="C118" s="30">
        <f>IFERROR(INDEX(Mots!$S:$S,MATCH($A118,Mots!$A:$A,0)),"")</f>
        <v/>
      </c>
      <c r="D118" s="30">
        <f>IFERROR(COUNTA(INDEX(Mots!$J:$J,MATCH($A118,Mots!$A:$A,0)):INDEX(Mots!$P:$P,MATCH($A118,Mots!$A:$A,0))),0)</f>
        <v/>
      </c>
      <c r="E118" s="30">
        <f>IF(COUNTIF(Classement!$A:$A,$A118)&gt;0,"ok","à faire")</f>
        <v/>
      </c>
      <c r="F118" s="30">
        <f>IF(COUNTIF(Tags!$A:$A,$A118)&gt;0,"ok","à faire")</f>
        <v/>
      </c>
      <c r="G118" s="30">
        <f>IF(COUNTIF(Phrases!$A:$A,$A118)&gt;0,"ok","à faire")</f>
        <v/>
      </c>
      <c r="H118" s="30">
        <f>IF(COUNTIFS(Phrases!$A:$A,$A118,Phrases!$I:$I,"&lt;&gt;")&gt;0,"ok","à faire")</f>
        <v/>
      </c>
      <c r="I118" s="30">
        <f>IF(COUNTIF(Synonymes!$A:$A,$A118)&gt;0,"ok","")</f>
        <v/>
      </c>
      <c r="J118" s="30">
        <f>COUNTIF(E118:H118,"à faire")</f>
        <v/>
      </c>
    </row>
    <row r="119">
      <c r="A119" s="30" t="inlineStr">
        <is>
          <t>anniversaire</t>
        </is>
      </c>
      <c r="B119" s="30">
        <f>IFERROR(INDEX(Mots!$B:$B,MATCH($A119,Mots!$A:$A,0)),"introuvable")</f>
        <v/>
      </c>
      <c r="C119" s="30">
        <f>IFERROR(INDEX(Mots!$S:$S,MATCH($A119,Mots!$A:$A,0)),"")</f>
        <v/>
      </c>
      <c r="D119" s="30">
        <f>IFERROR(COUNTA(INDEX(Mots!$J:$J,MATCH($A119,Mots!$A:$A,0)):INDEX(Mots!$P:$P,MATCH($A119,Mots!$A:$A,0))),0)</f>
        <v/>
      </c>
      <c r="E119" s="30">
        <f>IF(COUNTIF(Classement!$A:$A,$A119)&gt;0,"ok","à faire")</f>
        <v/>
      </c>
      <c r="F119" s="30">
        <f>IF(COUNTIF(Tags!$A:$A,$A119)&gt;0,"ok","à faire")</f>
        <v/>
      </c>
      <c r="G119" s="30">
        <f>IF(COUNTIF(Phrases!$A:$A,$A119)&gt;0,"ok","à faire")</f>
        <v/>
      </c>
      <c r="H119" s="30">
        <f>IF(COUNTIFS(Phrases!$A:$A,$A119,Phrases!$I:$I,"&lt;&gt;")&gt;0,"ok","à faire")</f>
        <v/>
      </c>
      <c r="I119" s="30">
        <f>IF(COUNTIF(Synonymes!$A:$A,$A119)&gt;0,"ok","")</f>
        <v/>
      </c>
      <c r="J119" s="30">
        <f>COUNTIF(E119:H119,"à faire")</f>
        <v/>
      </c>
    </row>
    <row r="120">
      <c r="A120" s="30" t="inlineStr">
        <is>
          <t>aujourd_hui</t>
        </is>
      </c>
      <c r="B120" s="30">
        <f>IFERROR(INDEX(Mots!$B:$B,MATCH($A120,Mots!$A:$A,0)),"introuvable")</f>
        <v/>
      </c>
      <c r="C120" s="30">
        <f>IFERROR(INDEX(Mots!$S:$S,MATCH($A120,Mots!$A:$A,0)),"")</f>
        <v/>
      </c>
      <c r="D120" s="30">
        <f>IFERROR(COUNTA(INDEX(Mots!$J:$J,MATCH($A120,Mots!$A:$A,0)):INDEX(Mots!$P:$P,MATCH($A120,Mots!$A:$A,0))),0)</f>
        <v/>
      </c>
      <c r="E120" s="30">
        <f>IF(COUNTIF(Classement!$A:$A,$A120)&gt;0,"ok","à faire")</f>
        <v/>
      </c>
      <c r="F120" s="30">
        <f>IF(COUNTIF(Tags!$A:$A,$A120)&gt;0,"ok","à faire")</f>
        <v/>
      </c>
      <c r="G120" s="30">
        <f>IF(COUNTIF(Phrases!$A:$A,$A120)&gt;0,"ok","à faire")</f>
        <v/>
      </c>
      <c r="H120" s="30">
        <f>IF(COUNTIFS(Phrases!$A:$A,$A120,Phrases!$I:$I,"&lt;&gt;")&gt;0,"ok","à faire")</f>
        <v/>
      </c>
      <c r="I120" s="30">
        <f>IF(COUNTIF(Synonymes!$A:$A,$A120)&gt;0,"ok","")</f>
        <v/>
      </c>
      <c r="J120" s="30">
        <f>COUNTIF(E120:H120,"à faire")</f>
        <v/>
      </c>
    </row>
    <row r="121">
      <c r="A121" s="30" t="inlineStr">
        <is>
          <t>hier</t>
        </is>
      </c>
      <c r="B121" s="30">
        <f>IFERROR(INDEX(Mots!$B:$B,MATCH($A121,Mots!$A:$A,0)),"introuvable")</f>
        <v/>
      </c>
      <c r="C121" s="30">
        <f>IFERROR(INDEX(Mots!$S:$S,MATCH($A121,Mots!$A:$A,0)),"")</f>
        <v/>
      </c>
      <c r="D121" s="30">
        <f>IFERROR(COUNTA(INDEX(Mots!$J:$J,MATCH($A121,Mots!$A:$A,0)):INDEX(Mots!$P:$P,MATCH($A121,Mots!$A:$A,0))),0)</f>
        <v/>
      </c>
      <c r="E121" s="30">
        <f>IF(COUNTIF(Classement!$A:$A,$A121)&gt;0,"ok","à faire")</f>
        <v/>
      </c>
      <c r="F121" s="30">
        <f>IF(COUNTIF(Tags!$A:$A,$A121)&gt;0,"ok","à faire")</f>
        <v/>
      </c>
      <c r="G121" s="30">
        <f>IF(COUNTIF(Phrases!$A:$A,$A121)&gt;0,"ok","à faire")</f>
        <v/>
      </c>
      <c r="H121" s="30">
        <f>IF(COUNTIFS(Phrases!$A:$A,$A121,Phrases!$I:$I,"&lt;&gt;")&gt;0,"ok","à faire")</f>
        <v/>
      </c>
      <c r="I121" s="30">
        <f>IF(COUNTIF(Synonymes!$A:$A,$A121)&gt;0,"ok","")</f>
        <v/>
      </c>
      <c r="J121" s="30">
        <f>COUNTIF(E121:H121,"à faire")</f>
        <v/>
      </c>
    </row>
    <row r="122">
      <c r="A122" s="30" t="inlineStr">
        <is>
          <t>demain</t>
        </is>
      </c>
      <c r="B122" s="30">
        <f>IFERROR(INDEX(Mots!$B:$B,MATCH($A122,Mots!$A:$A,0)),"introuvable")</f>
        <v/>
      </c>
      <c r="C122" s="30">
        <f>IFERROR(INDEX(Mots!$S:$S,MATCH($A122,Mots!$A:$A,0)),"")</f>
        <v/>
      </c>
      <c r="D122" s="30">
        <f>IFERROR(COUNTA(INDEX(Mots!$J:$J,MATCH($A122,Mots!$A:$A,0)):INDEX(Mots!$P:$P,MATCH($A122,Mots!$A:$A,0))),0)</f>
        <v/>
      </c>
      <c r="E122" s="30">
        <f>IF(COUNTIF(Classement!$A:$A,$A122)&gt;0,"ok","à faire")</f>
        <v/>
      </c>
      <c r="F122" s="30">
        <f>IF(COUNTIF(Tags!$A:$A,$A122)&gt;0,"ok","à faire")</f>
        <v/>
      </c>
      <c r="G122" s="30">
        <f>IF(COUNTIF(Phrases!$A:$A,$A122)&gt;0,"ok","à faire")</f>
        <v/>
      </c>
      <c r="H122" s="30">
        <f>IF(COUNTIFS(Phrases!$A:$A,$A122,Phrases!$I:$I,"&lt;&gt;")&gt;0,"ok","à faire")</f>
        <v/>
      </c>
      <c r="I122" s="30">
        <f>IF(COUNTIF(Synonymes!$A:$A,$A122)&gt;0,"ok","")</f>
        <v/>
      </c>
      <c r="J122" s="30">
        <f>COUNTIF(E122:H122,"à faire")</f>
        <v/>
      </c>
    </row>
    <row r="123">
      <c r="A123" s="30" t="inlineStr">
        <is>
          <t>maintenant</t>
        </is>
      </c>
      <c r="B123" s="30">
        <f>IFERROR(INDEX(Mots!$B:$B,MATCH($A123,Mots!$A:$A,0)),"introuvable")</f>
        <v/>
      </c>
      <c r="C123" s="30">
        <f>IFERROR(INDEX(Mots!$S:$S,MATCH($A123,Mots!$A:$A,0)),"")</f>
        <v/>
      </c>
      <c r="D123" s="30">
        <f>IFERROR(COUNTA(INDEX(Mots!$J:$J,MATCH($A123,Mots!$A:$A,0)):INDEX(Mots!$P:$P,MATCH($A123,Mots!$A:$A,0))),0)</f>
        <v/>
      </c>
      <c r="E123" s="30">
        <f>IF(COUNTIF(Classement!$A:$A,$A123)&gt;0,"ok","à faire")</f>
        <v/>
      </c>
      <c r="F123" s="30">
        <f>IF(COUNTIF(Tags!$A:$A,$A123)&gt;0,"ok","à faire")</f>
        <v/>
      </c>
      <c r="G123" s="30">
        <f>IF(COUNTIF(Phrases!$A:$A,$A123)&gt;0,"ok","à faire")</f>
        <v/>
      </c>
      <c r="H123" s="30">
        <f>IF(COUNTIFS(Phrases!$A:$A,$A123,Phrases!$I:$I,"&lt;&gt;")&gt;0,"ok","à faire")</f>
        <v/>
      </c>
      <c r="I123" s="30">
        <f>IF(COUNTIF(Synonymes!$A:$A,$A123)&gt;0,"ok","")</f>
        <v/>
      </c>
      <c r="J123" s="30">
        <f>COUNTIF(E123:H123,"à faire")</f>
        <v/>
      </c>
    </row>
    <row r="124">
      <c r="A124" s="30" t="inlineStr">
        <is>
          <t>calendrier</t>
        </is>
      </c>
      <c r="B124" s="30">
        <f>IFERROR(INDEX(Mots!$B:$B,MATCH($A124,Mots!$A:$A,0)),"introuvable")</f>
        <v/>
      </c>
      <c r="C124" s="30">
        <f>IFERROR(INDEX(Mots!$S:$S,MATCH($A124,Mots!$A:$A,0)),"")</f>
        <v/>
      </c>
      <c r="D124" s="30">
        <f>IFERROR(COUNTA(INDEX(Mots!$J:$J,MATCH($A124,Mots!$A:$A,0)):INDEX(Mots!$P:$P,MATCH($A124,Mots!$A:$A,0))),0)</f>
        <v/>
      </c>
      <c r="E124" s="30">
        <f>IF(COUNTIF(Classement!$A:$A,$A124)&gt;0,"ok","à faire")</f>
        <v/>
      </c>
      <c r="F124" s="30">
        <f>IF(COUNTIF(Tags!$A:$A,$A124)&gt;0,"ok","à faire")</f>
        <v/>
      </c>
      <c r="G124" s="30">
        <f>IF(COUNTIF(Phrases!$A:$A,$A124)&gt;0,"ok","à faire")</f>
        <v/>
      </c>
      <c r="H124" s="30">
        <f>IF(COUNTIFS(Phrases!$A:$A,$A124,Phrases!$I:$I,"&lt;&gt;")&gt;0,"ok","à faire")</f>
        <v/>
      </c>
      <c r="I124" s="30">
        <f>IF(COUNTIF(Synonymes!$A:$A,$A124)&gt;0,"ok","")</f>
        <v/>
      </c>
      <c r="J124" s="30">
        <f>COUNTIF(E124:H124,"à faire")</f>
        <v/>
      </c>
    </row>
    <row r="125">
      <c r="A125" s="30" t="inlineStr">
        <is>
          <t>agenda</t>
        </is>
      </c>
      <c r="B125" s="30">
        <f>IFERROR(INDEX(Mots!$B:$B,MATCH($A125,Mots!$A:$A,0)),"introuvable")</f>
        <v/>
      </c>
      <c r="C125" s="30">
        <f>IFERROR(INDEX(Mots!$S:$S,MATCH($A125,Mots!$A:$A,0)),"")</f>
        <v/>
      </c>
      <c r="D125" s="30">
        <f>IFERROR(COUNTA(INDEX(Mots!$J:$J,MATCH($A125,Mots!$A:$A,0)):INDEX(Mots!$P:$P,MATCH($A125,Mots!$A:$A,0))),0)</f>
        <v/>
      </c>
      <c r="E125" s="30">
        <f>IF(COUNTIF(Classement!$A:$A,$A125)&gt;0,"ok","à faire")</f>
        <v/>
      </c>
      <c r="F125" s="30">
        <f>IF(COUNTIF(Tags!$A:$A,$A125)&gt;0,"ok","à faire")</f>
        <v/>
      </c>
      <c r="G125" s="30">
        <f>IF(COUNTIF(Phrases!$A:$A,$A125)&gt;0,"ok","à faire")</f>
        <v/>
      </c>
      <c r="H125" s="30">
        <f>IF(COUNTIFS(Phrases!$A:$A,$A125,Phrases!$I:$I,"&lt;&gt;")&gt;0,"ok","à faire")</f>
        <v/>
      </c>
      <c r="I125" s="30">
        <f>IF(COUNTIF(Synonymes!$A:$A,$A125)&gt;0,"ok","")</f>
        <v/>
      </c>
      <c r="J125" s="30">
        <f>COUNTIF(E125:H125,"à faire")</f>
        <v/>
      </c>
    </row>
    <row r="126">
      <c r="A126" s="30" t="inlineStr">
        <is>
          <t>duree</t>
        </is>
      </c>
      <c r="B126" s="30">
        <f>IFERROR(INDEX(Mots!$B:$B,MATCH($A126,Mots!$A:$A,0)),"introuvable")</f>
        <v/>
      </c>
      <c r="C126" s="30">
        <f>IFERROR(INDEX(Mots!$S:$S,MATCH($A126,Mots!$A:$A,0)),"")</f>
        <v/>
      </c>
      <c r="D126" s="30">
        <f>IFERROR(COUNTA(INDEX(Mots!$J:$J,MATCH($A126,Mots!$A:$A,0)):INDEX(Mots!$P:$P,MATCH($A126,Mots!$A:$A,0))),0)</f>
        <v/>
      </c>
      <c r="E126" s="30">
        <f>IF(COUNTIF(Classement!$A:$A,$A126)&gt;0,"ok","à faire")</f>
        <v/>
      </c>
      <c r="F126" s="30">
        <f>IF(COUNTIF(Tags!$A:$A,$A126)&gt;0,"ok","à faire")</f>
        <v/>
      </c>
      <c r="G126" s="30">
        <f>IF(COUNTIF(Phrases!$A:$A,$A126)&gt;0,"ok","à faire")</f>
        <v/>
      </c>
      <c r="H126" s="30">
        <f>IF(COUNTIFS(Phrases!$A:$A,$A126,Phrases!$I:$I,"&lt;&gt;")&gt;0,"ok","à faire")</f>
        <v/>
      </c>
      <c r="I126" s="30">
        <f>IF(COUNTIF(Synonymes!$A:$A,$A126)&gt;0,"ok","")</f>
        <v/>
      </c>
      <c r="J126" s="30">
        <f>COUNTIF(E126:H126,"à faire")</f>
        <v/>
      </c>
    </row>
    <row r="127">
      <c r="A127" s="30" t="inlineStr">
        <is>
          <t>tot</t>
        </is>
      </c>
      <c r="B127" s="30">
        <f>IFERROR(INDEX(Mots!$B:$B,MATCH($A127,Mots!$A:$A,0)),"introuvable")</f>
        <v/>
      </c>
      <c r="C127" s="30">
        <f>IFERROR(INDEX(Mots!$S:$S,MATCH($A127,Mots!$A:$A,0)),"")</f>
        <v/>
      </c>
      <c r="D127" s="30">
        <f>IFERROR(COUNTA(INDEX(Mots!$J:$J,MATCH($A127,Mots!$A:$A,0)):INDEX(Mots!$P:$P,MATCH($A127,Mots!$A:$A,0))),0)</f>
        <v/>
      </c>
      <c r="E127" s="30">
        <f>IF(COUNTIF(Classement!$A:$A,$A127)&gt;0,"ok","à faire")</f>
        <v/>
      </c>
      <c r="F127" s="30">
        <f>IF(COUNTIF(Tags!$A:$A,$A127)&gt;0,"ok","à faire")</f>
        <v/>
      </c>
      <c r="G127" s="30">
        <f>IF(COUNTIF(Phrases!$A:$A,$A127)&gt;0,"ok","à faire")</f>
        <v/>
      </c>
      <c r="H127" s="30">
        <f>IF(COUNTIFS(Phrases!$A:$A,$A127,Phrases!$I:$I,"&lt;&gt;")&gt;0,"ok","à faire")</f>
        <v/>
      </c>
      <c r="I127" s="30">
        <f>IF(COUNTIF(Synonymes!$A:$A,$A127)&gt;0,"ok","")</f>
        <v/>
      </c>
      <c r="J127" s="30">
        <f>COUNTIF(E127:H127,"à faire")</f>
        <v/>
      </c>
    </row>
    <row r="128">
      <c r="A128" s="30" t="inlineStr">
        <is>
          <t>tard</t>
        </is>
      </c>
      <c r="B128" s="30">
        <f>IFERROR(INDEX(Mots!$B:$B,MATCH($A128,Mots!$A:$A,0)),"introuvable")</f>
        <v/>
      </c>
      <c r="C128" s="30">
        <f>IFERROR(INDEX(Mots!$S:$S,MATCH($A128,Mots!$A:$A,0)),"")</f>
        <v/>
      </c>
      <c r="D128" s="30">
        <f>IFERROR(COUNTA(INDEX(Mots!$J:$J,MATCH($A128,Mots!$A:$A,0)):INDEX(Mots!$P:$P,MATCH($A128,Mots!$A:$A,0))),0)</f>
        <v/>
      </c>
      <c r="E128" s="30">
        <f>IF(COUNTIF(Classement!$A:$A,$A128)&gt;0,"ok","à faire")</f>
        <v/>
      </c>
      <c r="F128" s="30">
        <f>IF(COUNTIF(Tags!$A:$A,$A128)&gt;0,"ok","à faire")</f>
        <v/>
      </c>
      <c r="G128" s="30">
        <f>IF(COUNTIF(Phrases!$A:$A,$A128)&gt;0,"ok","à faire")</f>
        <v/>
      </c>
      <c r="H128" s="30">
        <f>IF(COUNTIFS(Phrases!$A:$A,$A128,Phrases!$I:$I,"&lt;&gt;")&gt;0,"ok","à faire")</f>
        <v/>
      </c>
      <c r="I128" s="30">
        <f>IF(COUNTIF(Synonymes!$A:$A,$A128)&gt;0,"ok","")</f>
        <v/>
      </c>
      <c r="J128" s="30">
        <f>COUNTIF(E128:H128,"à faire")</f>
        <v/>
      </c>
    </row>
    <row r="129">
      <c r="A129" s="30" t="inlineStr">
        <is>
          <t>toujours</t>
        </is>
      </c>
      <c r="B129" s="30">
        <f>IFERROR(INDEX(Mots!$B:$B,MATCH($A129,Mots!$A:$A,0)),"introuvable")</f>
        <v/>
      </c>
      <c r="C129" s="30">
        <f>IFERROR(INDEX(Mots!$S:$S,MATCH($A129,Mots!$A:$A,0)),"")</f>
        <v/>
      </c>
      <c r="D129" s="30">
        <f>IFERROR(COUNTA(INDEX(Mots!$J:$J,MATCH($A129,Mots!$A:$A,0)):INDEX(Mots!$P:$P,MATCH($A129,Mots!$A:$A,0))),0)</f>
        <v/>
      </c>
      <c r="E129" s="30">
        <f>IF(COUNTIF(Classement!$A:$A,$A129)&gt;0,"ok","à faire")</f>
        <v/>
      </c>
      <c r="F129" s="30">
        <f>IF(COUNTIF(Tags!$A:$A,$A129)&gt;0,"ok","à faire")</f>
        <v/>
      </c>
      <c r="G129" s="30">
        <f>IF(COUNTIF(Phrases!$A:$A,$A129)&gt;0,"ok","à faire")</f>
        <v/>
      </c>
      <c r="H129" s="30">
        <f>IF(COUNTIFS(Phrases!$A:$A,$A129,Phrases!$I:$I,"&lt;&gt;")&gt;0,"ok","à faire")</f>
        <v/>
      </c>
      <c r="I129" s="30">
        <f>IF(COUNTIF(Synonymes!$A:$A,$A129)&gt;0,"ok","")</f>
        <v/>
      </c>
      <c r="J129" s="30">
        <f>COUNTIF(E129:H129,"à faire")</f>
        <v/>
      </c>
    </row>
    <row r="130">
      <c r="A130" s="30" t="inlineStr">
        <is>
          <t>jamais</t>
        </is>
      </c>
      <c r="B130" s="30">
        <f>IFERROR(INDEX(Mots!$B:$B,MATCH($A130,Mots!$A:$A,0)),"introuvable")</f>
        <v/>
      </c>
      <c r="C130" s="30">
        <f>IFERROR(INDEX(Mots!$S:$S,MATCH($A130,Mots!$A:$A,0)),"")</f>
        <v/>
      </c>
      <c r="D130" s="30">
        <f>IFERROR(COUNTA(INDEX(Mots!$J:$J,MATCH($A130,Mots!$A:$A,0)):INDEX(Mots!$P:$P,MATCH($A130,Mots!$A:$A,0))),0)</f>
        <v/>
      </c>
      <c r="E130" s="30">
        <f>IF(COUNTIF(Classement!$A:$A,$A130)&gt;0,"ok","à faire")</f>
        <v/>
      </c>
      <c r="F130" s="30">
        <f>IF(COUNTIF(Tags!$A:$A,$A130)&gt;0,"ok","à faire")</f>
        <v/>
      </c>
      <c r="G130" s="30">
        <f>IF(COUNTIF(Phrases!$A:$A,$A130)&gt;0,"ok","à faire")</f>
        <v/>
      </c>
      <c r="H130" s="30">
        <f>IF(COUNTIFS(Phrases!$A:$A,$A130,Phrases!$I:$I,"&lt;&gt;")&gt;0,"ok","à faire")</f>
        <v/>
      </c>
      <c r="I130" s="30">
        <f>IF(COUNTIF(Synonymes!$A:$A,$A130)&gt;0,"ok","")</f>
        <v/>
      </c>
      <c r="J130" s="30">
        <f>COUNTIF(E130:H130,"à faire")</f>
        <v/>
      </c>
    </row>
    <row r="131">
      <c r="A131" s="30" t="inlineStr">
        <is>
          <t>souvent</t>
        </is>
      </c>
      <c r="B131" s="30">
        <f>IFERROR(INDEX(Mots!$B:$B,MATCH($A131,Mots!$A:$A,0)),"introuvable")</f>
        <v/>
      </c>
      <c r="C131" s="30">
        <f>IFERROR(INDEX(Mots!$S:$S,MATCH($A131,Mots!$A:$A,0)),"")</f>
        <v/>
      </c>
      <c r="D131" s="30">
        <f>IFERROR(COUNTA(INDEX(Mots!$J:$J,MATCH($A131,Mots!$A:$A,0)):INDEX(Mots!$P:$P,MATCH($A131,Mots!$A:$A,0))),0)</f>
        <v/>
      </c>
      <c r="E131" s="30">
        <f>IF(COUNTIF(Classement!$A:$A,$A131)&gt;0,"ok","à faire")</f>
        <v/>
      </c>
      <c r="F131" s="30">
        <f>IF(COUNTIF(Tags!$A:$A,$A131)&gt;0,"ok","à faire")</f>
        <v/>
      </c>
      <c r="G131" s="30">
        <f>IF(COUNTIF(Phrases!$A:$A,$A131)&gt;0,"ok","à faire")</f>
        <v/>
      </c>
      <c r="H131" s="30">
        <f>IF(COUNTIFS(Phrases!$A:$A,$A131,Phrases!$I:$I,"&lt;&gt;")&gt;0,"ok","à faire")</f>
        <v/>
      </c>
      <c r="I131" s="30">
        <f>IF(COUNTIF(Synonymes!$A:$A,$A131)&gt;0,"ok","")</f>
        <v/>
      </c>
      <c r="J131" s="30">
        <f>COUNTIF(E131:H131,"à faire")</f>
        <v/>
      </c>
    </row>
    <row r="132">
      <c r="A132" s="30" t="inlineStr">
        <is>
          <t>parfois</t>
        </is>
      </c>
      <c r="B132" s="30">
        <f>IFERROR(INDEX(Mots!$B:$B,MATCH($A132,Mots!$A:$A,0)),"introuvable")</f>
        <v/>
      </c>
      <c r="C132" s="30">
        <f>IFERROR(INDEX(Mots!$S:$S,MATCH($A132,Mots!$A:$A,0)),"")</f>
        <v/>
      </c>
      <c r="D132" s="30">
        <f>IFERROR(COUNTA(INDEX(Mots!$J:$J,MATCH($A132,Mots!$A:$A,0)):INDEX(Mots!$P:$P,MATCH($A132,Mots!$A:$A,0))),0)</f>
        <v/>
      </c>
      <c r="E132" s="30">
        <f>IF(COUNTIF(Classement!$A:$A,$A132)&gt;0,"ok","à faire")</f>
        <v/>
      </c>
      <c r="F132" s="30">
        <f>IF(COUNTIF(Tags!$A:$A,$A132)&gt;0,"ok","à faire")</f>
        <v/>
      </c>
      <c r="G132" s="30">
        <f>IF(COUNTIF(Phrases!$A:$A,$A132)&gt;0,"ok","à faire")</f>
        <v/>
      </c>
      <c r="H132" s="30">
        <f>IF(COUNTIFS(Phrases!$A:$A,$A132,Phrases!$I:$I,"&lt;&gt;")&gt;0,"ok","à faire")</f>
        <v/>
      </c>
      <c r="I132" s="30">
        <f>IF(COUNTIF(Synonymes!$A:$A,$A132)&gt;0,"ok","")</f>
        <v/>
      </c>
      <c r="J132" s="30">
        <f>COUNTIF(E132:H132,"à faire")</f>
        <v/>
      </c>
    </row>
    <row r="133">
      <c r="A133" s="30" t="inlineStr">
        <is>
          <t>paire</t>
        </is>
      </c>
      <c r="B133" s="30">
        <f>IFERROR(INDEX(Mots!$B:$B,MATCH($A133,Mots!$A:$A,0)),"introuvable")</f>
        <v/>
      </c>
      <c r="C133" s="30">
        <f>IFERROR(INDEX(Mots!$S:$S,MATCH($A133,Mots!$A:$A,0)),"")</f>
        <v/>
      </c>
      <c r="D133" s="30">
        <f>IFERROR(COUNTA(INDEX(Mots!$J:$J,MATCH($A133,Mots!$A:$A,0)):INDEX(Mots!$P:$P,MATCH($A133,Mots!$A:$A,0))),0)</f>
        <v/>
      </c>
      <c r="E133" s="30">
        <f>IF(COUNTIF(Classement!$A:$A,$A133)&gt;0,"ok","à faire")</f>
        <v/>
      </c>
      <c r="F133" s="30">
        <f>IF(COUNTIF(Tags!$A:$A,$A133)&gt;0,"ok","à faire")</f>
        <v/>
      </c>
      <c r="G133" s="30">
        <f>IF(COUNTIF(Phrases!$A:$A,$A133)&gt;0,"ok","à faire")</f>
        <v/>
      </c>
      <c r="H133" s="30">
        <f>IF(COUNTIFS(Phrases!$A:$A,$A133,Phrases!$I:$I,"&lt;&gt;")&gt;0,"ok","à faire")</f>
        <v/>
      </c>
      <c r="I133" s="30">
        <f>IF(COUNTIF(Synonymes!$A:$A,$A133)&gt;0,"ok","")</f>
        <v/>
      </c>
      <c r="J133" s="30">
        <f>COUNTIF(E133:H133,"à faire")</f>
        <v/>
      </c>
    </row>
    <row r="134">
      <c r="A134" s="30" t="inlineStr">
        <is>
          <t>douzaine</t>
        </is>
      </c>
      <c r="B134" s="30">
        <f>IFERROR(INDEX(Mots!$B:$B,MATCH($A134,Mots!$A:$A,0)),"introuvable")</f>
        <v/>
      </c>
      <c r="C134" s="30">
        <f>IFERROR(INDEX(Mots!$S:$S,MATCH($A134,Mots!$A:$A,0)),"")</f>
        <v/>
      </c>
      <c r="D134" s="30">
        <f>IFERROR(COUNTA(INDEX(Mots!$J:$J,MATCH($A134,Mots!$A:$A,0)):INDEX(Mots!$P:$P,MATCH($A134,Mots!$A:$A,0))),0)</f>
        <v/>
      </c>
      <c r="E134" s="30">
        <f>IF(COUNTIF(Classement!$A:$A,$A134)&gt;0,"ok","à faire")</f>
        <v/>
      </c>
      <c r="F134" s="30">
        <f>IF(COUNTIF(Tags!$A:$A,$A134)&gt;0,"ok","à faire")</f>
        <v/>
      </c>
      <c r="G134" s="30">
        <f>IF(COUNTIF(Phrases!$A:$A,$A134)&gt;0,"ok","à faire")</f>
        <v/>
      </c>
      <c r="H134" s="30">
        <f>IF(COUNTIFS(Phrases!$A:$A,$A134,Phrases!$I:$I,"&lt;&gt;")&gt;0,"ok","à faire")</f>
        <v/>
      </c>
      <c r="I134" s="30">
        <f>IF(COUNTIF(Synonymes!$A:$A,$A134)&gt;0,"ok","")</f>
        <v/>
      </c>
      <c r="J134" s="30">
        <f>COUNTIF(E134:H134,"à faire")</f>
        <v/>
      </c>
    </row>
    <row r="135">
      <c r="A135" s="30" t="inlineStr">
        <is>
          <t>centaine</t>
        </is>
      </c>
      <c r="B135" s="30">
        <f>IFERROR(INDEX(Mots!$B:$B,MATCH($A135,Mots!$A:$A,0)),"introuvable")</f>
        <v/>
      </c>
      <c r="C135" s="30">
        <f>IFERROR(INDEX(Mots!$S:$S,MATCH($A135,Mots!$A:$A,0)),"")</f>
        <v/>
      </c>
      <c r="D135" s="30">
        <f>IFERROR(COUNTA(INDEX(Mots!$J:$J,MATCH($A135,Mots!$A:$A,0)):INDEX(Mots!$P:$P,MATCH($A135,Mots!$A:$A,0))),0)</f>
        <v/>
      </c>
      <c r="E135" s="30">
        <f>IF(COUNTIF(Classement!$A:$A,$A135)&gt;0,"ok","à faire")</f>
        <v/>
      </c>
      <c r="F135" s="30">
        <f>IF(COUNTIF(Tags!$A:$A,$A135)&gt;0,"ok","à faire")</f>
        <v/>
      </c>
      <c r="G135" s="30">
        <f>IF(COUNTIF(Phrases!$A:$A,$A135)&gt;0,"ok","à faire")</f>
        <v/>
      </c>
      <c r="H135" s="30">
        <f>IF(COUNTIFS(Phrases!$A:$A,$A135,Phrases!$I:$I,"&lt;&gt;")&gt;0,"ok","à faire")</f>
        <v/>
      </c>
      <c r="I135" s="30">
        <f>IF(COUNTIF(Synonymes!$A:$A,$A135)&gt;0,"ok","")</f>
        <v/>
      </c>
      <c r="J135" s="30">
        <f>COUNTIF(E135:H135,"à faire")</f>
        <v/>
      </c>
    </row>
    <row r="136">
      <c r="A136" s="30" t="inlineStr">
        <is>
          <t>ventre</t>
        </is>
      </c>
      <c r="B136" s="30">
        <f>IFERROR(INDEX(Mots!$B:$B,MATCH($A136,Mots!$A:$A,0)),"introuvable")</f>
        <v/>
      </c>
      <c r="C136" s="30">
        <f>IFERROR(INDEX(Mots!$S:$S,MATCH($A136,Mots!$A:$A,0)),"")</f>
        <v/>
      </c>
      <c r="D136" s="30">
        <f>IFERROR(COUNTA(INDEX(Mots!$J:$J,MATCH($A136,Mots!$A:$A,0)):INDEX(Mots!$P:$P,MATCH($A136,Mots!$A:$A,0))),0)</f>
        <v/>
      </c>
      <c r="E136" s="30">
        <f>IF(COUNTIF(Classement!$A:$A,$A136)&gt;0,"ok","à faire")</f>
        <v/>
      </c>
      <c r="F136" s="30">
        <f>IF(COUNTIF(Tags!$A:$A,$A136)&gt;0,"ok","à faire")</f>
        <v/>
      </c>
      <c r="G136" s="30">
        <f>IF(COUNTIF(Phrases!$A:$A,$A136)&gt;0,"ok","à faire")</f>
        <v/>
      </c>
      <c r="H136" s="30">
        <f>IF(COUNTIFS(Phrases!$A:$A,$A136,Phrases!$I:$I,"&lt;&gt;")&gt;0,"ok","à faire")</f>
        <v/>
      </c>
      <c r="I136" s="30">
        <f>IF(COUNTIF(Synonymes!$A:$A,$A136)&gt;0,"ok","")</f>
        <v/>
      </c>
      <c r="J136" s="30">
        <f>COUNTIF(E136:H136,"à faire")</f>
        <v/>
      </c>
    </row>
    <row r="137">
      <c r="A137" s="30" t="inlineStr">
        <is>
          <t>dos</t>
        </is>
      </c>
      <c r="B137" s="30">
        <f>IFERROR(INDEX(Mots!$B:$B,MATCH($A137,Mots!$A:$A,0)),"introuvable")</f>
        <v/>
      </c>
      <c r="C137" s="30">
        <f>IFERROR(INDEX(Mots!$S:$S,MATCH($A137,Mots!$A:$A,0)),"")</f>
        <v/>
      </c>
      <c r="D137" s="30">
        <f>IFERROR(COUNTA(INDEX(Mots!$J:$J,MATCH($A137,Mots!$A:$A,0)):INDEX(Mots!$P:$P,MATCH($A137,Mots!$A:$A,0))),0)</f>
        <v/>
      </c>
      <c r="E137" s="30">
        <f>IF(COUNTIF(Classement!$A:$A,$A137)&gt;0,"ok","à faire")</f>
        <v/>
      </c>
      <c r="F137" s="30">
        <f>IF(COUNTIF(Tags!$A:$A,$A137)&gt;0,"ok","à faire")</f>
        <v/>
      </c>
      <c r="G137" s="30">
        <f>IF(COUNTIF(Phrases!$A:$A,$A137)&gt;0,"ok","à faire")</f>
        <v/>
      </c>
      <c r="H137" s="30">
        <f>IF(COUNTIFS(Phrases!$A:$A,$A137,Phrases!$I:$I,"&lt;&gt;")&gt;0,"ok","à faire")</f>
        <v/>
      </c>
      <c r="I137" s="30">
        <f>IF(COUNTIF(Synonymes!$A:$A,$A137)&gt;0,"ok","")</f>
        <v/>
      </c>
      <c r="J137" s="30">
        <f>COUNTIF(E137:H137,"à faire")</f>
        <v/>
      </c>
    </row>
    <row r="138">
      <c r="A138" s="30" t="inlineStr">
        <is>
          <t>coeur</t>
        </is>
      </c>
      <c r="B138" s="30">
        <f>IFERROR(INDEX(Mots!$B:$B,MATCH($A138,Mots!$A:$A,0)),"introuvable")</f>
        <v/>
      </c>
      <c r="C138" s="30">
        <f>IFERROR(INDEX(Mots!$S:$S,MATCH($A138,Mots!$A:$A,0)),"")</f>
        <v/>
      </c>
      <c r="D138" s="30">
        <f>IFERROR(COUNTA(INDEX(Mots!$J:$J,MATCH($A138,Mots!$A:$A,0)):INDEX(Mots!$P:$P,MATCH($A138,Mots!$A:$A,0))),0)</f>
        <v/>
      </c>
      <c r="E138" s="30">
        <f>IF(COUNTIF(Classement!$A:$A,$A138)&gt;0,"ok","à faire")</f>
        <v/>
      </c>
      <c r="F138" s="30">
        <f>IF(COUNTIF(Tags!$A:$A,$A138)&gt;0,"ok","à faire")</f>
        <v/>
      </c>
      <c r="G138" s="30">
        <f>IF(COUNTIF(Phrases!$A:$A,$A138)&gt;0,"ok","à faire")</f>
        <v/>
      </c>
      <c r="H138" s="30">
        <f>IF(COUNTIFS(Phrases!$A:$A,$A138,Phrases!$I:$I,"&lt;&gt;")&gt;0,"ok","à faire")</f>
        <v/>
      </c>
      <c r="I138" s="30">
        <f>IF(COUNTIF(Synonymes!$A:$A,$A138)&gt;0,"ok","")</f>
        <v/>
      </c>
      <c r="J138" s="30">
        <f>COUNTIF(E138:H138,"à faire")</f>
        <v/>
      </c>
    </row>
    <row r="139">
      <c r="A139" s="30" t="inlineStr">
        <is>
          <t>poitrine</t>
        </is>
      </c>
      <c r="B139" s="30">
        <f>IFERROR(INDEX(Mots!$B:$B,MATCH($A139,Mots!$A:$A,0)),"introuvable")</f>
        <v/>
      </c>
      <c r="C139" s="30">
        <f>IFERROR(INDEX(Mots!$S:$S,MATCH($A139,Mots!$A:$A,0)),"")</f>
        <v/>
      </c>
      <c r="D139" s="30">
        <f>IFERROR(COUNTA(INDEX(Mots!$J:$J,MATCH($A139,Mots!$A:$A,0)):INDEX(Mots!$P:$P,MATCH($A139,Mots!$A:$A,0))),0)</f>
        <v/>
      </c>
      <c r="E139" s="30">
        <f>IF(COUNTIF(Classement!$A:$A,$A139)&gt;0,"ok","à faire")</f>
        <v/>
      </c>
      <c r="F139" s="30">
        <f>IF(COUNTIF(Tags!$A:$A,$A139)&gt;0,"ok","à faire")</f>
        <v/>
      </c>
      <c r="G139" s="30">
        <f>IF(COUNTIF(Phrases!$A:$A,$A139)&gt;0,"ok","à faire")</f>
        <v/>
      </c>
      <c r="H139" s="30">
        <f>IF(COUNTIFS(Phrases!$A:$A,$A139,Phrases!$I:$I,"&lt;&gt;")&gt;0,"ok","à faire")</f>
        <v/>
      </c>
      <c r="I139" s="30">
        <f>IF(COUNTIF(Synonymes!$A:$A,$A139)&gt;0,"ok","")</f>
        <v/>
      </c>
      <c r="J139" s="30">
        <f>COUNTIF(E139:H139,"à faire")</f>
        <v/>
      </c>
    </row>
    <row r="140">
      <c r="A140" s="30" t="inlineStr">
        <is>
          <t>torse</t>
        </is>
      </c>
      <c r="B140" s="30">
        <f>IFERROR(INDEX(Mots!$B:$B,MATCH($A140,Mots!$A:$A,0)),"introuvable")</f>
        <v/>
      </c>
      <c r="C140" s="30">
        <f>IFERROR(INDEX(Mots!$S:$S,MATCH($A140,Mots!$A:$A,0)),"")</f>
        <v/>
      </c>
      <c r="D140" s="30">
        <f>IFERROR(COUNTA(INDEX(Mots!$J:$J,MATCH($A140,Mots!$A:$A,0)):INDEX(Mots!$P:$P,MATCH($A140,Mots!$A:$A,0))),0)</f>
        <v/>
      </c>
      <c r="E140" s="30">
        <f>IF(COUNTIF(Classement!$A:$A,$A140)&gt;0,"ok","à faire")</f>
        <v/>
      </c>
      <c r="F140" s="30">
        <f>IF(COUNTIF(Tags!$A:$A,$A140)&gt;0,"ok","à faire")</f>
        <v/>
      </c>
      <c r="G140" s="30">
        <f>IF(COUNTIF(Phrases!$A:$A,$A140)&gt;0,"ok","à faire")</f>
        <v/>
      </c>
      <c r="H140" s="30">
        <f>IF(COUNTIFS(Phrases!$A:$A,$A140,Phrases!$I:$I,"&lt;&gt;")&gt;0,"ok","à faire")</f>
        <v/>
      </c>
      <c r="I140" s="30">
        <f>IF(COUNTIF(Synonymes!$A:$A,$A140)&gt;0,"ok","")</f>
        <v/>
      </c>
      <c r="J140" s="30">
        <f>COUNTIF(E140:H140,"à faire")</f>
        <v/>
      </c>
    </row>
    <row r="141">
      <c r="A141" s="30" t="inlineStr">
        <is>
          <t>epaule</t>
        </is>
      </c>
      <c r="B141" s="30">
        <f>IFERROR(INDEX(Mots!$B:$B,MATCH($A141,Mots!$A:$A,0)),"introuvable")</f>
        <v/>
      </c>
      <c r="C141" s="30">
        <f>IFERROR(INDEX(Mots!$S:$S,MATCH($A141,Mots!$A:$A,0)),"")</f>
        <v/>
      </c>
      <c r="D141" s="30">
        <f>IFERROR(COUNTA(INDEX(Mots!$J:$J,MATCH($A141,Mots!$A:$A,0)):INDEX(Mots!$P:$P,MATCH($A141,Mots!$A:$A,0))),0)</f>
        <v/>
      </c>
      <c r="E141" s="30">
        <f>IF(COUNTIF(Classement!$A:$A,$A141)&gt;0,"ok","à faire")</f>
        <v/>
      </c>
      <c r="F141" s="30">
        <f>IF(COUNTIF(Tags!$A:$A,$A141)&gt;0,"ok","à faire")</f>
        <v/>
      </c>
      <c r="G141" s="30">
        <f>IF(COUNTIF(Phrases!$A:$A,$A141)&gt;0,"ok","à faire")</f>
        <v/>
      </c>
      <c r="H141" s="30">
        <f>IF(COUNTIFS(Phrases!$A:$A,$A141,Phrases!$I:$I,"&lt;&gt;")&gt;0,"ok","à faire")</f>
        <v/>
      </c>
      <c r="I141" s="30">
        <f>IF(COUNTIF(Synonymes!$A:$A,$A141)&gt;0,"ok","")</f>
        <v/>
      </c>
      <c r="J141" s="30">
        <f>COUNTIF(E141:H141,"à faire")</f>
        <v/>
      </c>
    </row>
    <row r="142">
      <c r="A142" s="30" t="inlineStr">
        <is>
          <t>tete</t>
        </is>
      </c>
      <c r="B142" s="30">
        <f>IFERROR(INDEX(Mots!$B:$B,MATCH($A142,Mots!$A:$A,0)),"introuvable")</f>
        <v/>
      </c>
      <c r="C142" s="30">
        <f>IFERROR(INDEX(Mots!$S:$S,MATCH($A142,Mots!$A:$A,0)),"")</f>
        <v/>
      </c>
      <c r="D142" s="30">
        <f>IFERROR(COUNTA(INDEX(Mots!$J:$J,MATCH($A142,Mots!$A:$A,0)):INDEX(Mots!$P:$P,MATCH($A142,Mots!$A:$A,0))),0)</f>
        <v/>
      </c>
      <c r="E142" s="30">
        <f>IF(COUNTIF(Classement!$A:$A,$A142)&gt;0,"ok","à faire")</f>
        <v/>
      </c>
      <c r="F142" s="30">
        <f>IF(COUNTIF(Tags!$A:$A,$A142)&gt;0,"ok","à faire")</f>
        <v/>
      </c>
      <c r="G142" s="30">
        <f>IF(COUNTIF(Phrases!$A:$A,$A142)&gt;0,"ok","à faire")</f>
        <v/>
      </c>
      <c r="H142" s="30">
        <f>IF(COUNTIFS(Phrases!$A:$A,$A142,Phrases!$I:$I,"&lt;&gt;")&gt;0,"ok","à faire")</f>
        <v/>
      </c>
      <c r="I142" s="30">
        <f>IF(COUNTIF(Synonymes!$A:$A,$A142)&gt;0,"ok","")</f>
        <v/>
      </c>
      <c r="J142" s="30">
        <f>COUNTIF(E142:H142,"à faire")</f>
        <v/>
      </c>
    </row>
    <row r="143">
      <c r="A143" s="30" t="inlineStr">
        <is>
          <t>cheveux</t>
        </is>
      </c>
      <c r="B143" s="30">
        <f>IFERROR(INDEX(Mots!$B:$B,MATCH($A143,Mots!$A:$A,0)),"introuvable")</f>
        <v/>
      </c>
      <c r="C143" s="30">
        <f>IFERROR(INDEX(Mots!$S:$S,MATCH($A143,Mots!$A:$A,0)),"")</f>
        <v/>
      </c>
      <c r="D143" s="30">
        <f>IFERROR(COUNTA(INDEX(Mots!$J:$J,MATCH($A143,Mots!$A:$A,0)):INDEX(Mots!$P:$P,MATCH($A143,Mots!$A:$A,0))),0)</f>
        <v/>
      </c>
      <c r="E143" s="30">
        <f>IF(COUNTIF(Classement!$A:$A,$A143)&gt;0,"ok","à faire")</f>
        <v/>
      </c>
      <c r="F143" s="30">
        <f>IF(COUNTIF(Tags!$A:$A,$A143)&gt;0,"ok","à faire")</f>
        <v/>
      </c>
      <c r="G143" s="30">
        <f>IF(COUNTIF(Phrases!$A:$A,$A143)&gt;0,"ok","à faire")</f>
        <v/>
      </c>
      <c r="H143" s="30">
        <f>IF(COUNTIFS(Phrases!$A:$A,$A143,Phrases!$I:$I,"&lt;&gt;")&gt;0,"ok","à faire")</f>
        <v/>
      </c>
      <c r="I143" s="30">
        <f>IF(COUNTIF(Synonymes!$A:$A,$A143)&gt;0,"ok","")</f>
        <v/>
      </c>
      <c r="J143" s="30">
        <f>COUNTIF(E143:H143,"à faire")</f>
        <v/>
      </c>
    </row>
    <row r="144">
      <c r="A144" s="30" t="inlineStr">
        <is>
          <t>oeil</t>
        </is>
      </c>
      <c r="B144" s="30">
        <f>IFERROR(INDEX(Mots!$B:$B,MATCH($A144,Mots!$A:$A,0)),"introuvable")</f>
        <v/>
      </c>
      <c r="C144" s="30">
        <f>IFERROR(INDEX(Mots!$S:$S,MATCH($A144,Mots!$A:$A,0)),"")</f>
        <v/>
      </c>
      <c r="D144" s="30">
        <f>IFERROR(COUNTA(INDEX(Mots!$J:$J,MATCH($A144,Mots!$A:$A,0)):INDEX(Mots!$P:$P,MATCH($A144,Mots!$A:$A,0))),0)</f>
        <v/>
      </c>
      <c r="E144" s="30">
        <f>IF(COUNTIF(Classement!$A:$A,$A144)&gt;0,"ok","à faire")</f>
        <v/>
      </c>
      <c r="F144" s="30">
        <f>IF(COUNTIF(Tags!$A:$A,$A144)&gt;0,"ok","à faire")</f>
        <v/>
      </c>
      <c r="G144" s="30">
        <f>IF(COUNTIF(Phrases!$A:$A,$A144)&gt;0,"ok","à faire")</f>
        <v/>
      </c>
      <c r="H144" s="30">
        <f>IF(COUNTIFS(Phrases!$A:$A,$A144,Phrases!$I:$I,"&lt;&gt;")&gt;0,"ok","à faire")</f>
        <v/>
      </c>
      <c r="I144" s="30">
        <f>IF(COUNTIF(Synonymes!$A:$A,$A144)&gt;0,"ok","")</f>
        <v/>
      </c>
      <c r="J144" s="30">
        <f>COUNTIF(E144:H144,"à faire")</f>
        <v/>
      </c>
    </row>
    <row r="145">
      <c r="A145" s="30" t="inlineStr">
        <is>
          <t>nez</t>
        </is>
      </c>
      <c r="B145" s="30">
        <f>IFERROR(INDEX(Mots!$B:$B,MATCH($A145,Mots!$A:$A,0)),"introuvable")</f>
        <v/>
      </c>
      <c r="C145" s="30">
        <f>IFERROR(INDEX(Mots!$S:$S,MATCH($A145,Mots!$A:$A,0)),"")</f>
        <v/>
      </c>
      <c r="D145" s="30">
        <f>IFERROR(COUNTA(INDEX(Mots!$J:$J,MATCH($A145,Mots!$A:$A,0)):INDEX(Mots!$P:$P,MATCH($A145,Mots!$A:$A,0))),0)</f>
        <v/>
      </c>
      <c r="E145" s="30">
        <f>IF(COUNTIF(Classement!$A:$A,$A145)&gt;0,"ok","à faire")</f>
        <v/>
      </c>
      <c r="F145" s="30">
        <f>IF(COUNTIF(Tags!$A:$A,$A145)&gt;0,"ok","à faire")</f>
        <v/>
      </c>
      <c r="G145" s="30">
        <f>IF(COUNTIF(Phrases!$A:$A,$A145)&gt;0,"ok","à faire")</f>
        <v/>
      </c>
      <c r="H145" s="30">
        <f>IF(COUNTIFS(Phrases!$A:$A,$A145,Phrases!$I:$I,"&lt;&gt;")&gt;0,"ok","à faire")</f>
        <v/>
      </c>
      <c r="I145" s="30">
        <f>IF(COUNTIF(Synonymes!$A:$A,$A145)&gt;0,"ok","")</f>
        <v/>
      </c>
      <c r="J145" s="30">
        <f>COUNTIF(E145:H145,"à faire")</f>
        <v/>
      </c>
    </row>
    <row r="146">
      <c r="A146" s="30" t="inlineStr">
        <is>
          <t>bouche</t>
        </is>
      </c>
      <c r="B146" s="30">
        <f>IFERROR(INDEX(Mots!$B:$B,MATCH($A146,Mots!$A:$A,0)),"introuvable")</f>
        <v/>
      </c>
      <c r="C146" s="30">
        <f>IFERROR(INDEX(Mots!$S:$S,MATCH($A146,Mots!$A:$A,0)),"")</f>
        <v/>
      </c>
      <c r="D146" s="30">
        <f>IFERROR(COUNTA(INDEX(Mots!$J:$J,MATCH($A146,Mots!$A:$A,0)):INDEX(Mots!$P:$P,MATCH($A146,Mots!$A:$A,0))),0)</f>
        <v/>
      </c>
      <c r="E146" s="30">
        <f>IF(COUNTIF(Classement!$A:$A,$A146)&gt;0,"ok","à faire")</f>
        <v/>
      </c>
      <c r="F146" s="30">
        <f>IF(COUNTIF(Tags!$A:$A,$A146)&gt;0,"ok","à faire")</f>
        <v/>
      </c>
      <c r="G146" s="30">
        <f>IF(COUNTIF(Phrases!$A:$A,$A146)&gt;0,"ok","à faire")</f>
        <v/>
      </c>
      <c r="H146" s="30">
        <f>IF(COUNTIFS(Phrases!$A:$A,$A146,Phrases!$I:$I,"&lt;&gt;")&gt;0,"ok","à faire")</f>
        <v/>
      </c>
      <c r="I146" s="30">
        <f>IF(COUNTIF(Synonymes!$A:$A,$A146)&gt;0,"ok","")</f>
        <v/>
      </c>
      <c r="J146" s="30">
        <f>COUNTIF(E146:H146,"à faire")</f>
        <v/>
      </c>
    </row>
    <row r="147">
      <c r="A147" s="30" t="inlineStr">
        <is>
          <t>dent</t>
        </is>
      </c>
      <c r="B147" s="30">
        <f>IFERROR(INDEX(Mots!$B:$B,MATCH($A147,Mots!$A:$A,0)),"introuvable")</f>
        <v/>
      </c>
      <c r="C147" s="30">
        <f>IFERROR(INDEX(Mots!$S:$S,MATCH($A147,Mots!$A:$A,0)),"")</f>
        <v/>
      </c>
      <c r="D147" s="30">
        <f>IFERROR(COUNTA(INDEX(Mots!$J:$J,MATCH($A147,Mots!$A:$A,0)):INDEX(Mots!$P:$P,MATCH($A147,Mots!$A:$A,0))),0)</f>
        <v/>
      </c>
      <c r="E147" s="30">
        <f>IF(COUNTIF(Classement!$A:$A,$A147)&gt;0,"ok","à faire")</f>
        <v/>
      </c>
      <c r="F147" s="30">
        <f>IF(COUNTIF(Tags!$A:$A,$A147)&gt;0,"ok","à faire")</f>
        <v/>
      </c>
      <c r="G147" s="30">
        <f>IF(COUNTIF(Phrases!$A:$A,$A147)&gt;0,"ok","à faire")</f>
        <v/>
      </c>
      <c r="H147" s="30">
        <f>IF(COUNTIFS(Phrases!$A:$A,$A147,Phrases!$I:$I,"&lt;&gt;")&gt;0,"ok","à faire")</f>
        <v/>
      </c>
      <c r="I147" s="30">
        <f>IF(COUNTIF(Synonymes!$A:$A,$A147)&gt;0,"ok","")</f>
        <v/>
      </c>
      <c r="J147" s="30">
        <f>COUNTIF(E147:H147,"à faire")</f>
        <v/>
      </c>
    </row>
    <row r="148">
      <c r="A148" s="30" t="inlineStr">
        <is>
          <t>oreille</t>
        </is>
      </c>
      <c r="B148" s="30">
        <f>IFERROR(INDEX(Mots!$B:$B,MATCH($A148,Mots!$A:$A,0)),"introuvable")</f>
        <v/>
      </c>
      <c r="C148" s="30">
        <f>IFERROR(INDEX(Mots!$S:$S,MATCH($A148,Mots!$A:$A,0)),"")</f>
        <v/>
      </c>
      <c r="D148" s="30">
        <f>IFERROR(COUNTA(INDEX(Mots!$J:$J,MATCH($A148,Mots!$A:$A,0)):INDEX(Mots!$P:$P,MATCH($A148,Mots!$A:$A,0))),0)</f>
        <v/>
      </c>
      <c r="E148" s="30">
        <f>IF(COUNTIF(Classement!$A:$A,$A148)&gt;0,"ok","à faire")</f>
        <v/>
      </c>
      <c r="F148" s="30">
        <f>IF(COUNTIF(Tags!$A:$A,$A148)&gt;0,"ok","à faire")</f>
        <v/>
      </c>
      <c r="G148" s="30">
        <f>IF(COUNTIF(Phrases!$A:$A,$A148)&gt;0,"ok","à faire")</f>
        <v/>
      </c>
      <c r="H148" s="30">
        <f>IF(COUNTIFS(Phrases!$A:$A,$A148,Phrases!$I:$I,"&lt;&gt;")&gt;0,"ok","à faire")</f>
        <v/>
      </c>
      <c r="I148" s="30">
        <f>IF(COUNTIF(Synonymes!$A:$A,$A148)&gt;0,"ok","")</f>
        <v/>
      </c>
      <c r="J148" s="30">
        <f>COUNTIF(E148:H148,"à faire")</f>
        <v/>
      </c>
    </row>
    <row r="149">
      <c r="A149" s="30" t="inlineStr">
        <is>
          <t>joue</t>
        </is>
      </c>
      <c r="B149" s="30">
        <f>IFERROR(INDEX(Mots!$B:$B,MATCH($A149,Mots!$A:$A,0)),"introuvable")</f>
        <v/>
      </c>
      <c r="C149" s="30">
        <f>IFERROR(INDEX(Mots!$S:$S,MATCH($A149,Mots!$A:$A,0)),"")</f>
        <v/>
      </c>
      <c r="D149" s="30">
        <f>IFERROR(COUNTA(INDEX(Mots!$J:$J,MATCH($A149,Mots!$A:$A,0)):INDEX(Mots!$P:$P,MATCH($A149,Mots!$A:$A,0))),0)</f>
        <v/>
      </c>
      <c r="E149" s="30">
        <f>IF(COUNTIF(Classement!$A:$A,$A149)&gt;0,"ok","à faire")</f>
        <v/>
      </c>
      <c r="F149" s="30">
        <f>IF(COUNTIF(Tags!$A:$A,$A149)&gt;0,"ok","à faire")</f>
        <v/>
      </c>
      <c r="G149" s="30">
        <f>IF(COUNTIF(Phrases!$A:$A,$A149)&gt;0,"ok","à faire")</f>
        <v/>
      </c>
      <c r="H149" s="30">
        <f>IF(COUNTIFS(Phrases!$A:$A,$A149,Phrases!$I:$I,"&lt;&gt;")&gt;0,"ok","à faire")</f>
        <v/>
      </c>
      <c r="I149" s="30">
        <f>IF(COUNTIF(Synonymes!$A:$A,$A149)&gt;0,"ok","")</f>
        <v/>
      </c>
      <c r="J149" s="30">
        <f>COUNTIF(E149:H149,"à faire")</f>
        <v/>
      </c>
    </row>
    <row r="150">
      <c r="A150" s="30" t="inlineStr">
        <is>
          <t>langue</t>
        </is>
      </c>
      <c r="B150" s="30">
        <f>IFERROR(INDEX(Mots!$B:$B,MATCH($A150,Mots!$A:$A,0)),"introuvable")</f>
        <v/>
      </c>
      <c r="C150" s="30">
        <f>IFERROR(INDEX(Mots!$S:$S,MATCH($A150,Mots!$A:$A,0)),"")</f>
        <v/>
      </c>
      <c r="D150" s="30">
        <f>IFERROR(COUNTA(INDEX(Mots!$J:$J,MATCH($A150,Mots!$A:$A,0)):INDEX(Mots!$P:$P,MATCH($A150,Mots!$A:$A,0))),0)</f>
        <v/>
      </c>
      <c r="E150" s="30">
        <f>IF(COUNTIF(Classement!$A:$A,$A150)&gt;0,"ok","à faire")</f>
        <v/>
      </c>
      <c r="F150" s="30">
        <f>IF(COUNTIF(Tags!$A:$A,$A150)&gt;0,"ok","à faire")</f>
        <v/>
      </c>
      <c r="G150" s="30">
        <f>IF(COUNTIF(Phrases!$A:$A,$A150)&gt;0,"ok","à faire")</f>
        <v/>
      </c>
      <c r="H150" s="30">
        <f>IF(COUNTIFS(Phrases!$A:$A,$A150,Phrases!$I:$I,"&lt;&gt;")&gt;0,"ok","à faire")</f>
        <v/>
      </c>
      <c r="I150" s="30">
        <f>IF(COUNTIF(Synonymes!$A:$A,$A150)&gt;0,"ok","")</f>
        <v/>
      </c>
      <c r="J150" s="30">
        <f>COUNTIF(E150:H150,"à faire")</f>
        <v/>
      </c>
    </row>
    <row r="151">
      <c r="A151" s="30" t="inlineStr">
        <is>
          <t>levre</t>
        </is>
      </c>
      <c r="B151" s="30">
        <f>IFERROR(INDEX(Mots!$B:$B,MATCH($A151,Mots!$A:$A,0)),"introuvable")</f>
        <v/>
      </c>
      <c r="C151" s="30">
        <f>IFERROR(INDEX(Mots!$S:$S,MATCH($A151,Mots!$A:$A,0)),"")</f>
        <v/>
      </c>
      <c r="D151" s="30">
        <f>IFERROR(COUNTA(INDEX(Mots!$J:$J,MATCH($A151,Mots!$A:$A,0)):INDEX(Mots!$P:$P,MATCH($A151,Mots!$A:$A,0))),0)</f>
        <v/>
      </c>
      <c r="E151" s="30">
        <f>IF(COUNTIF(Classement!$A:$A,$A151)&gt;0,"ok","à faire")</f>
        <v/>
      </c>
      <c r="F151" s="30">
        <f>IF(COUNTIF(Tags!$A:$A,$A151)&gt;0,"ok","à faire")</f>
        <v/>
      </c>
      <c r="G151" s="30">
        <f>IF(COUNTIF(Phrases!$A:$A,$A151)&gt;0,"ok","à faire")</f>
        <v/>
      </c>
      <c r="H151" s="30">
        <f>IF(COUNTIFS(Phrases!$A:$A,$A151,Phrases!$I:$I,"&lt;&gt;")&gt;0,"ok","à faire")</f>
        <v/>
      </c>
      <c r="I151" s="30">
        <f>IF(COUNTIF(Synonymes!$A:$A,$A151)&gt;0,"ok","")</f>
        <v/>
      </c>
      <c r="J151" s="30">
        <f>COUNTIF(E151:H151,"à faire")</f>
        <v/>
      </c>
    </row>
    <row r="152">
      <c r="A152" s="30" t="inlineStr">
        <is>
          <t>cou</t>
        </is>
      </c>
      <c r="B152" s="30">
        <f>IFERROR(INDEX(Mots!$B:$B,MATCH($A152,Mots!$A:$A,0)),"introuvable")</f>
        <v/>
      </c>
      <c r="C152" s="30">
        <f>IFERROR(INDEX(Mots!$S:$S,MATCH($A152,Mots!$A:$A,0)),"")</f>
        <v/>
      </c>
      <c r="D152" s="30">
        <f>IFERROR(COUNTA(INDEX(Mots!$J:$J,MATCH($A152,Mots!$A:$A,0)):INDEX(Mots!$P:$P,MATCH($A152,Mots!$A:$A,0))),0)</f>
        <v/>
      </c>
      <c r="E152" s="30">
        <f>IF(COUNTIF(Classement!$A:$A,$A152)&gt;0,"ok","à faire")</f>
        <v/>
      </c>
      <c r="F152" s="30">
        <f>IF(COUNTIF(Tags!$A:$A,$A152)&gt;0,"ok","à faire")</f>
        <v/>
      </c>
      <c r="G152" s="30">
        <f>IF(COUNTIF(Phrases!$A:$A,$A152)&gt;0,"ok","à faire")</f>
        <v/>
      </c>
      <c r="H152" s="30">
        <f>IF(COUNTIFS(Phrases!$A:$A,$A152,Phrases!$I:$I,"&lt;&gt;")&gt;0,"ok","à faire")</f>
        <v/>
      </c>
      <c r="I152" s="30">
        <f>IF(COUNTIF(Synonymes!$A:$A,$A152)&gt;0,"ok","")</f>
        <v/>
      </c>
      <c r="J152" s="30">
        <f>COUNTIF(E152:H152,"à faire")</f>
        <v/>
      </c>
    </row>
    <row r="153">
      <c r="A153" s="30" t="inlineStr">
        <is>
          <t>front</t>
        </is>
      </c>
      <c r="B153" s="30">
        <f>IFERROR(INDEX(Mots!$B:$B,MATCH($A153,Mots!$A:$A,0)),"introuvable")</f>
        <v/>
      </c>
      <c r="C153" s="30">
        <f>IFERROR(INDEX(Mots!$S:$S,MATCH($A153,Mots!$A:$A,0)),"")</f>
        <v/>
      </c>
      <c r="D153" s="30">
        <f>IFERROR(COUNTA(INDEX(Mots!$J:$J,MATCH($A153,Mots!$A:$A,0)):INDEX(Mots!$P:$P,MATCH($A153,Mots!$A:$A,0))),0)</f>
        <v/>
      </c>
      <c r="E153" s="30">
        <f>IF(COUNTIF(Classement!$A:$A,$A153)&gt;0,"ok","à faire")</f>
        <v/>
      </c>
      <c r="F153" s="30">
        <f>IF(COUNTIF(Tags!$A:$A,$A153)&gt;0,"ok","à faire")</f>
        <v/>
      </c>
      <c r="G153" s="30">
        <f>IF(COUNTIF(Phrases!$A:$A,$A153)&gt;0,"ok","à faire")</f>
        <v/>
      </c>
      <c r="H153" s="30">
        <f>IF(COUNTIFS(Phrases!$A:$A,$A153,Phrases!$I:$I,"&lt;&gt;")&gt;0,"ok","à faire")</f>
        <v/>
      </c>
      <c r="I153" s="30">
        <f>IF(COUNTIF(Synonymes!$A:$A,$A153)&gt;0,"ok","")</f>
        <v/>
      </c>
      <c r="J153" s="30">
        <f>COUNTIF(E153:H153,"à faire")</f>
        <v/>
      </c>
    </row>
    <row r="154">
      <c r="A154" s="30" t="inlineStr">
        <is>
          <t>casquette</t>
        </is>
      </c>
      <c r="B154" s="30">
        <f>IFERROR(INDEX(Mots!$B:$B,MATCH($A154,Mots!$A:$A,0)),"introuvable")</f>
        <v/>
      </c>
      <c r="C154" s="30">
        <f>IFERROR(INDEX(Mots!$S:$S,MATCH($A154,Mots!$A:$A,0)),"")</f>
        <v/>
      </c>
      <c r="D154" s="30">
        <f>IFERROR(COUNTA(INDEX(Mots!$J:$J,MATCH($A154,Mots!$A:$A,0)):INDEX(Mots!$P:$P,MATCH($A154,Mots!$A:$A,0))),0)</f>
        <v/>
      </c>
      <c r="E154" s="30">
        <f>IF(COUNTIF(Classement!$A:$A,$A154)&gt;0,"ok","à faire")</f>
        <v/>
      </c>
      <c r="F154" s="30">
        <f>IF(COUNTIF(Tags!$A:$A,$A154)&gt;0,"ok","à faire")</f>
        <v/>
      </c>
      <c r="G154" s="30">
        <f>IF(COUNTIF(Phrases!$A:$A,$A154)&gt;0,"ok","à faire")</f>
        <v/>
      </c>
      <c r="H154" s="30">
        <f>IF(COUNTIFS(Phrases!$A:$A,$A154,Phrases!$I:$I,"&lt;&gt;")&gt;0,"ok","à faire")</f>
        <v/>
      </c>
      <c r="I154" s="30">
        <f>IF(COUNTIF(Synonymes!$A:$A,$A154)&gt;0,"ok","")</f>
        <v/>
      </c>
      <c r="J154" s="30">
        <f>COUNTIF(E154:H154,"à faire")</f>
        <v/>
      </c>
    </row>
    <row r="155">
      <c r="A155" s="30" t="inlineStr">
        <is>
          <t>ceinture</t>
        </is>
      </c>
      <c r="B155" s="30">
        <f>IFERROR(INDEX(Mots!$B:$B,MATCH($A155,Mots!$A:$A,0)),"introuvable")</f>
        <v/>
      </c>
      <c r="C155" s="30">
        <f>IFERROR(INDEX(Mots!$S:$S,MATCH($A155,Mots!$A:$A,0)),"")</f>
        <v/>
      </c>
      <c r="D155" s="30">
        <f>IFERROR(COUNTA(INDEX(Mots!$J:$J,MATCH($A155,Mots!$A:$A,0)):INDEX(Mots!$P:$P,MATCH($A155,Mots!$A:$A,0))),0)</f>
        <v/>
      </c>
      <c r="E155" s="30">
        <f>IF(COUNTIF(Classement!$A:$A,$A155)&gt;0,"ok","à faire")</f>
        <v/>
      </c>
      <c r="F155" s="30">
        <f>IF(COUNTIF(Tags!$A:$A,$A155)&gt;0,"ok","à faire")</f>
        <v/>
      </c>
      <c r="G155" s="30">
        <f>IF(COUNTIF(Phrases!$A:$A,$A155)&gt;0,"ok","à faire")</f>
        <v/>
      </c>
      <c r="H155" s="30">
        <f>IF(COUNTIFS(Phrases!$A:$A,$A155,Phrases!$I:$I,"&lt;&gt;")&gt;0,"ok","à faire")</f>
        <v/>
      </c>
      <c r="I155" s="30">
        <f>IF(COUNTIF(Synonymes!$A:$A,$A155)&gt;0,"ok","")</f>
        <v/>
      </c>
      <c r="J155" s="30">
        <f>COUNTIF(E155:H155,"à faire")</f>
        <v/>
      </c>
    </row>
    <row r="156">
      <c r="A156" s="30" t="inlineStr">
        <is>
          <t>bonnet</t>
        </is>
      </c>
      <c r="B156" s="30">
        <f>IFERROR(INDEX(Mots!$B:$B,MATCH($A156,Mots!$A:$A,0)),"introuvable")</f>
        <v/>
      </c>
      <c r="C156" s="30">
        <f>IFERROR(INDEX(Mots!$S:$S,MATCH($A156,Mots!$A:$A,0)),"")</f>
        <v/>
      </c>
      <c r="D156" s="30">
        <f>IFERROR(COUNTA(INDEX(Mots!$J:$J,MATCH($A156,Mots!$A:$A,0)):INDEX(Mots!$P:$P,MATCH($A156,Mots!$A:$A,0))),0)</f>
        <v/>
      </c>
      <c r="E156" s="30">
        <f>IF(COUNTIF(Classement!$A:$A,$A156)&gt;0,"ok","à faire")</f>
        <v/>
      </c>
      <c r="F156" s="30">
        <f>IF(COUNTIF(Tags!$A:$A,$A156)&gt;0,"ok","à faire")</f>
        <v/>
      </c>
      <c r="G156" s="30">
        <f>IF(COUNTIF(Phrases!$A:$A,$A156)&gt;0,"ok","à faire")</f>
        <v/>
      </c>
      <c r="H156" s="30">
        <f>IF(COUNTIFS(Phrases!$A:$A,$A156,Phrases!$I:$I,"&lt;&gt;")&gt;0,"ok","à faire")</f>
        <v/>
      </c>
      <c r="I156" s="30">
        <f>IF(COUNTIF(Synonymes!$A:$A,$A156)&gt;0,"ok","")</f>
        <v/>
      </c>
      <c r="J156" s="30">
        <f>COUNTIF(E156:H156,"à faire")</f>
        <v/>
      </c>
    </row>
    <row r="157">
      <c r="A157" s="30" t="inlineStr">
        <is>
          <t>gant</t>
        </is>
      </c>
      <c r="B157" s="30">
        <f>IFERROR(INDEX(Mots!$B:$B,MATCH($A157,Mots!$A:$A,0)),"introuvable")</f>
        <v/>
      </c>
      <c r="C157" s="30">
        <f>IFERROR(INDEX(Mots!$S:$S,MATCH($A157,Mots!$A:$A,0)),"")</f>
        <v/>
      </c>
      <c r="D157" s="30">
        <f>IFERROR(COUNTA(INDEX(Mots!$J:$J,MATCH($A157,Mots!$A:$A,0)):INDEX(Mots!$P:$P,MATCH($A157,Mots!$A:$A,0))),0)</f>
        <v/>
      </c>
      <c r="E157" s="30">
        <f>IF(COUNTIF(Classement!$A:$A,$A157)&gt;0,"ok","à faire")</f>
        <v/>
      </c>
      <c r="F157" s="30">
        <f>IF(COUNTIF(Tags!$A:$A,$A157)&gt;0,"ok","à faire")</f>
        <v/>
      </c>
      <c r="G157" s="30">
        <f>IF(COUNTIF(Phrases!$A:$A,$A157)&gt;0,"ok","à faire")</f>
        <v/>
      </c>
      <c r="H157" s="30">
        <f>IF(COUNTIFS(Phrases!$A:$A,$A157,Phrases!$I:$I,"&lt;&gt;")&gt;0,"ok","à faire")</f>
        <v/>
      </c>
      <c r="I157" s="30">
        <f>IF(COUNTIF(Synonymes!$A:$A,$A157)&gt;0,"ok","")</f>
        <v/>
      </c>
      <c r="J157" s="30">
        <f>COUNTIF(E157:H157,"à faire")</f>
        <v/>
      </c>
    </row>
    <row r="158">
      <c r="A158" s="30" t="inlineStr">
        <is>
          <t>echarpe</t>
        </is>
      </c>
      <c r="B158" s="30">
        <f>IFERROR(INDEX(Mots!$B:$B,MATCH($A158,Mots!$A:$A,0)),"introuvable")</f>
        <v/>
      </c>
      <c r="C158" s="30">
        <f>IFERROR(INDEX(Mots!$S:$S,MATCH($A158,Mots!$A:$A,0)),"")</f>
        <v/>
      </c>
      <c r="D158" s="30">
        <f>IFERROR(COUNTA(INDEX(Mots!$J:$J,MATCH($A158,Mots!$A:$A,0)):INDEX(Mots!$P:$P,MATCH($A158,Mots!$A:$A,0))),0)</f>
        <v/>
      </c>
      <c r="E158" s="30">
        <f>IF(COUNTIF(Classement!$A:$A,$A158)&gt;0,"ok","à faire")</f>
        <v/>
      </c>
      <c r="F158" s="30">
        <f>IF(COUNTIF(Tags!$A:$A,$A158)&gt;0,"ok","à faire")</f>
        <v/>
      </c>
      <c r="G158" s="30">
        <f>IF(COUNTIF(Phrases!$A:$A,$A158)&gt;0,"ok","à faire")</f>
        <v/>
      </c>
      <c r="H158" s="30">
        <f>IF(COUNTIFS(Phrases!$A:$A,$A158,Phrases!$I:$I,"&lt;&gt;")&gt;0,"ok","à faire")</f>
        <v/>
      </c>
      <c r="I158" s="30">
        <f>IF(COUNTIF(Synonymes!$A:$A,$A158)&gt;0,"ok","")</f>
        <v/>
      </c>
      <c r="J158" s="30">
        <f>COUNTIF(E158:H158,"à faire")</f>
        <v/>
      </c>
    </row>
    <row r="159">
      <c r="A159" s="30" t="inlineStr">
        <is>
          <t>sourdine_cup</t>
        </is>
      </c>
      <c r="B159" s="30">
        <f>IFERROR(INDEX(Mots!$B:$B,MATCH($A159,Mots!$A:$A,0)),"introuvable")</f>
        <v/>
      </c>
      <c r="C159" s="30">
        <f>IFERROR(INDEX(Mots!$S:$S,MATCH($A159,Mots!$A:$A,0)),"")</f>
        <v/>
      </c>
      <c r="D159" s="30">
        <f>IFERROR(COUNTA(INDEX(Mots!$J:$J,MATCH($A159,Mots!$A:$A,0)):INDEX(Mots!$P:$P,MATCH($A159,Mots!$A:$A,0))),0)</f>
        <v/>
      </c>
      <c r="E159" s="30">
        <f>IF(COUNTIF(Classement!$A:$A,$A159)&gt;0,"ok","à faire")</f>
        <v/>
      </c>
      <c r="F159" s="30">
        <f>IF(COUNTIF(Tags!$A:$A,$A159)&gt;0,"ok","à faire")</f>
        <v/>
      </c>
      <c r="G159" s="30">
        <f>IF(COUNTIF(Phrases!$A:$A,$A159)&gt;0,"ok","à faire")</f>
        <v/>
      </c>
      <c r="H159" s="30">
        <f>IF(COUNTIFS(Phrases!$A:$A,$A159,Phrases!$I:$I,"&lt;&gt;")&gt;0,"ok","à faire")</f>
        <v/>
      </c>
      <c r="I159" s="30">
        <f>IF(COUNTIF(Synonymes!$A:$A,$A159)&gt;0,"ok","")</f>
        <v/>
      </c>
      <c r="J159" s="30">
        <f>COUNTIF(E159:H159,"à faire")</f>
        <v/>
      </c>
    </row>
    <row r="160">
      <c r="A160" s="30" t="inlineStr">
        <is>
          <t>sourdine_straignt_ou_metal</t>
        </is>
      </c>
      <c r="B160" s="30">
        <f>IFERROR(INDEX(Mots!$B:$B,MATCH($A160,Mots!$A:$A,0)),"introuvable")</f>
        <v/>
      </c>
      <c r="C160" s="30">
        <f>IFERROR(INDEX(Mots!$S:$S,MATCH($A160,Mots!$A:$A,0)),"")</f>
        <v/>
      </c>
      <c r="D160" s="30">
        <f>IFERROR(COUNTA(INDEX(Mots!$J:$J,MATCH($A160,Mots!$A:$A,0)):INDEX(Mots!$P:$P,MATCH($A160,Mots!$A:$A,0))),0)</f>
        <v/>
      </c>
      <c r="E160" s="30">
        <f>IF(COUNTIF(Classement!$A:$A,$A160)&gt;0,"ok","à faire")</f>
        <v/>
      </c>
      <c r="F160" s="30">
        <f>IF(COUNTIF(Tags!$A:$A,$A160)&gt;0,"ok","à faire")</f>
        <v/>
      </c>
      <c r="G160" s="30">
        <f>IF(COUNTIF(Phrases!$A:$A,$A160)&gt;0,"ok","à faire")</f>
        <v/>
      </c>
      <c r="H160" s="30">
        <f>IF(COUNTIFS(Phrases!$A:$A,$A160,Phrases!$I:$I,"&lt;&gt;")&gt;0,"ok","à faire")</f>
        <v/>
      </c>
      <c r="I160" s="30">
        <f>IF(COUNTIF(Synonymes!$A:$A,$A160)&gt;0,"ok","")</f>
        <v/>
      </c>
      <c r="J160" s="30">
        <f>COUNTIF(E160:H160,"à faire")</f>
        <v/>
      </c>
    </row>
    <row r="161">
      <c r="A161" s="30" t="inlineStr">
        <is>
          <t>embouchure</t>
        </is>
      </c>
      <c r="B161" s="30">
        <f>IFERROR(INDEX(Mots!$B:$B,MATCH($A161,Mots!$A:$A,0)),"introuvable")</f>
        <v/>
      </c>
      <c r="C161" s="30">
        <f>IFERROR(INDEX(Mots!$S:$S,MATCH($A161,Mots!$A:$A,0)),"")</f>
        <v/>
      </c>
      <c r="D161" s="30">
        <f>IFERROR(COUNTA(INDEX(Mots!$J:$J,MATCH($A161,Mots!$A:$A,0)):INDEX(Mots!$P:$P,MATCH($A161,Mots!$A:$A,0))),0)</f>
        <v/>
      </c>
      <c r="E161" s="30">
        <f>IF(COUNTIF(Classement!$A:$A,$A161)&gt;0,"ok","à faire")</f>
        <v/>
      </c>
      <c r="F161" s="30">
        <f>IF(COUNTIF(Tags!$A:$A,$A161)&gt;0,"ok","à faire")</f>
        <v/>
      </c>
      <c r="G161" s="30">
        <f>IF(COUNTIF(Phrases!$A:$A,$A161)&gt;0,"ok","à faire")</f>
        <v/>
      </c>
      <c r="H161" s="30">
        <f>IF(COUNTIFS(Phrases!$A:$A,$A161,Phrases!$I:$I,"&lt;&gt;")&gt;0,"ok","à faire")</f>
        <v/>
      </c>
      <c r="I161" s="30">
        <f>IF(COUNTIF(Synonymes!$A:$A,$A161)&gt;0,"ok","")</f>
        <v/>
      </c>
      <c r="J161" s="30">
        <f>COUNTIF(E161:H161,"à faire")</f>
        <v/>
      </c>
    </row>
    <row r="162">
      <c r="A162" s="30" t="inlineStr">
        <is>
          <t>pistons</t>
        </is>
      </c>
      <c r="B162" s="30">
        <f>IFERROR(INDEX(Mots!$B:$B,MATCH($A162,Mots!$A:$A,0)),"introuvable")</f>
        <v/>
      </c>
      <c r="C162" s="30">
        <f>IFERROR(INDEX(Mots!$S:$S,MATCH($A162,Mots!$A:$A,0)),"")</f>
        <v/>
      </c>
      <c r="D162" s="30">
        <f>IFERROR(COUNTA(INDEX(Mots!$J:$J,MATCH($A162,Mots!$A:$A,0)):INDEX(Mots!$P:$P,MATCH($A162,Mots!$A:$A,0))),0)</f>
        <v/>
      </c>
      <c r="E162" s="30">
        <f>IF(COUNTIF(Classement!$A:$A,$A162)&gt;0,"ok","à faire")</f>
        <v/>
      </c>
      <c r="F162" s="30">
        <f>IF(COUNTIF(Tags!$A:$A,$A162)&gt;0,"ok","à faire")</f>
        <v/>
      </c>
      <c r="G162" s="30">
        <f>IF(COUNTIF(Phrases!$A:$A,$A162)&gt;0,"ok","à faire")</f>
        <v/>
      </c>
      <c r="H162" s="30">
        <f>IF(COUNTIFS(Phrases!$A:$A,$A162,Phrases!$I:$I,"&lt;&gt;")&gt;0,"ok","à faire")</f>
        <v/>
      </c>
      <c r="I162" s="30">
        <f>IF(COUNTIF(Synonymes!$A:$A,$A162)&gt;0,"ok","")</f>
        <v/>
      </c>
      <c r="J162" s="30">
        <f>COUNTIF(E162:H162,"à faire")</f>
        <v/>
      </c>
    </row>
    <row r="163">
      <c r="A163" s="30" t="inlineStr">
        <is>
          <t>coulisse</t>
        </is>
      </c>
      <c r="B163" s="30">
        <f>IFERROR(INDEX(Mots!$B:$B,MATCH($A163,Mots!$A:$A,0)),"introuvable")</f>
        <v/>
      </c>
      <c r="C163" s="30">
        <f>IFERROR(INDEX(Mots!$S:$S,MATCH($A163,Mots!$A:$A,0)),"")</f>
        <v/>
      </c>
      <c r="D163" s="30">
        <f>IFERROR(COUNTA(INDEX(Mots!$J:$J,MATCH($A163,Mots!$A:$A,0)):INDEX(Mots!$P:$P,MATCH($A163,Mots!$A:$A,0))),0)</f>
        <v/>
      </c>
      <c r="E163" s="30">
        <f>IF(COUNTIF(Classement!$A:$A,$A163)&gt;0,"ok","à faire")</f>
        <v/>
      </c>
      <c r="F163" s="30">
        <f>IF(COUNTIF(Tags!$A:$A,$A163)&gt;0,"ok","à faire")</f>
        <v/>
      </c>
      <c r="G163" s="30">
        <f>IF(COUNTIF(Phrases!$A:$A,$A163)&gt;0,"ok","à faire")</f>
        <v/>
      </c>
      <c r="H163" s="30">
        <f>IF(COUNTIFS(Phrases!$A:$A,$A163,Phrases!$I:$I,"&lt;&gt;")&gt;0,"ok","à faire")</f>
        <v/>
      </c>
      <c r="I163" s="30">
        <f>IF(COUNTIF(Synonymes!$A:$A,$A163)&gt;0,"ok","")</f>
        <v/>
      </c>
      <c r="J163" s="30">
        <f>COUNTIF(E163:H163,"à faire")</f>
        <v/>
      </c>
    </row>
    <row r="164">
      <c r="A164" s="30" t="inlineStr">
        <is>
          <t>coffre_instrument</t>
        </is>
      </c>
      <c r="B164" s="30">
        <f>IFERROR(INDEX(Mots!$B:$B,MATCH($A164,Mots!$A:$A,0)),"introuvable")</f>
        <v/>
      </c>
      <c r="C164" s="30">
        <f>IFERROR(INDEX(Mots!$S:$S,MATCH($A164,Mots!$A:$A,0)),"")</f>
        <v/>
      </c>
      <c r="D164" s="30">
        <f>IFERROR(COUNTA(INDEX(Mots!$J:$J,MATCH($A164,Mots!$A:$A,0)):INDEX(Mots!$P:$P,MATCH($A164,Mots!$A:$A,0))),0)</f>
        <v/>
      </c>
      <c r="E164" s="30">
        <f>IF(COUNTIF(Classement!$A:$A,$A164)&gt;0,"ok","à faire")</f>
        <v/>
      </c>
      <c r="F164" s="30">
        <f>IF(COUNTIF(Tags!$A:$A,$A164)&gt;0,"ok","à faire")</f>
        <v/>
      </c>
      <c r="G164" s="30">
        <f>IF(COUNTIF(Phrases!$A:$A,$A164)&gt;0,"ok","à faire")</f>
        <v/>
      </c>
      <c r="H164" s="30">
        <f>IF(COUNTIFS(Phrases!$A:$A,$A164,Phrases!$I:$I,"&lt;&gt;")&gt;0,"ok","à faire")</f>
        <v/>
      </c>
      <c r="I164" s="30">
        <f>IF(COUNTIF(Synonymes!$A:$A,$A164)&gt;0,"ok","")</f>
        <v/>
      </c>
      <c r="J164" s="30">
        <f>COUNTIF(E164:H164,"à faire")</f>
        <v/>
      </c>
    </row>
    <row r="165">
      <c r="A165" s="30" t="inlineStr">
        <is>
          <t>huile_instrument</t>
        </is>
      </c>
      <c r="B165" s="30">
        <f>IFERROR(INDEX(Mots!$B:$B,MATCH($A165,Mots!$A:$A,0)),"introuvable")</f>
        <v/>
      </c>
      <c r="C165" s="30">
        <f>IFERROR(INDEX(Mots!$S:$S,MATCH($A165,Mots!$A:$A,0)),"")</f>
        <v/>
      </c>
      <c r="D165" s="30">
        <f>IFERROR(COUNTA(INDEX(Mots!$J:$J,MATCH($A165,Mots!$A:$A,0)):INDEX(Mots!$P:$P,MATCH($A165,Mots!$A:$A,0))),0)</f>
        <v/>
      </c>
      <c r="E165" s="30">
        <f>IF(COUNTIF(Classement!$A:$A,$A165)&gt;0,"ok","à faire")</f>
        <v/>
      </c>
      <c r="F165" s="30">
        <f>IF(COUNTIF(Tags!$A:$A,$A165)&gt;0,"ok","à faire")</f>
        <v/>
      </c>
      <c r="G165" s="30">
        <f>IF(COUNTIF(Phrases!$A:$A,$A165)&gt;0,"ok","à faire")</f>
        <v/>
      </c>
      <c r="H165" s="30">
        <f>IF(COUNTIFS(Phrases!$A:$A,$A165,Phrases!$I:$I,"&lt;&gt;")&gt;0,"ok","à faire")</f>
        <v/>
      </c>
      <c r="I165" s="30">
        <f>IF(COUNTIF(Synonymes!$A:$A,$A165)&gt;0,"ok","")</f>
        <v/>
      </c>
      <c r="J165" s="30">
        <f>COUNTIF(E165:H165,"à faire")</f>
        <v/>
      </c>
    </row>
    <row r="166">
      <c r="A166" s="30" t="inlineStr">
        <is>
          <t>graisse_instrument</t>
        </is>
      </c>
      <c r="B166" s="30">
        <f>IFERROR(INDEX(Mots!$B:$B,MATCH($A166,Mots!$A:$A,0)),"introuvable")</f>
        <v/>
      </c>
      <c r="C166" s="30">
        <f>IFERROR(INDEX(Mots!$S:$S,MATCH($A166,Mots!$A:$A,0)),"")</f>
        <v/>
      </c>
      <c r="D166" s="30">
        <f>IFERROR(COUNTA(INDEX(Mots!$J:$J,MATCH($A166,Mots!$A:$A,0)):INDEX(Mots!$P:$P,MATCH($A166,Mots!$A:$A,0))),0)</f>
        <v/>
      </c>
      <c r="E166" s="30">
        <f>IF(COUNTIF(Classement!$A:$A,$A166)&gt;0,"ok","à faire")</f>
        <v/>
      </c>
      <c r="F166" s="30">
        <f>IF(COUNTIF(Tags!$A:$A,$A166)&gt;0,"ok","à faire")</f>
        <v/>
      </c>
      <c r="G166" s="30">
        <f>IF(COUNTIF(Phrases!$A:$A,$A166)&gt;0,"ok","à faire")</f>
        <v/>
      </c>
      <c r="H166" s="30">
        <f>IF(COUNTIFS(Phrases!$A:$A,$A166,Phrases!$I:$I,"&lt;&gt;")&gt;0,"ok","à faire")</f>
        <v/>
      </c>
      <c r="I166" s="30">
        <f>IF(COUNTIF(Synonymes!$A:$A,$A166)&gt;0,"ok","")</f>
        <v/>
      </c>
      <c r="J166" s="30">
        <f>COUNTIF(E166:H166,"à faire")</f>
        <v/>
      </c>
    </row>
    <row r="167">
      <c r="A167" s="30" t="inlineStr">
        <is>
          <t>brosses_instrument</t>
        </is>
      </c>
      <c r="B167" s="30">
        <f>IFERROR(INDEX(Mots!$B:$B,MATCH($A167,Mots!$A:$A,0)),"introuvable")</f>
        <v/>
      </c>
      <c r="C167" s="30">
        <f>IFERROR(INDEX(Mots!$S:$S,MATCH($A167,Mots!$A:$A,0)),"")</f>
        <v/>
      </c>
      <c r="D167" s="30">
        <f>IFERROR(COUNTA(INDEX(Mots!$J:$J,MATCH($A167,Mots!$A:$A,0)):INDEX(Mots!$P:$P,MATCH($A167,Mots!$A:$A,0))),0)</f>
        <v/>
      </c>
      <c r="E167" s="30">
        <f>IF(COUNTIF(Classement!$A:$A,$A167)&gt;0,"ok","à faire")</f>
        <v/>
      </c>
      <c r="F167" s="30">
        <f>IF(COUNTIF(Tags!$A:$A,$A167)&gt;0,"ok","à faire")</f>
        <v/>
      </c>
      <c r="G167" s="30">
        <f>IF(COUNTIF(Phrases!$A:$A,$A167)&gt;0,"ok","à faire")</f>
        <v/>
      </c>
      <c r="H167" s="30">
        <f>IF(COUNTIFS(Phrases!$A:$A,$A167,Phrases!$I:$I,"&lt;&gt;")&gt;0,"ok","à faire")</f>
        <v/>
      </c>
      <c r="I167" s="30">
        <f>IF(COUNTIF(Synonymes!$A:$A,$A167)&gt;0,"ok","")</f>
        <v/>
      </c>
      <c r="J167" s="30">
        <f>COUNTIF(E167:H167,"à faire")</f>
        <v/>
      </c>
    </row>
    <row r="168">
      <c r="A168" s="30" t="inlineStr">
        <is>
          <t>pupitre</t>
        </is>
      </c>
      <c r="B168" s="30">
        <f>IFERROR(INDEX(Mots!$B:$B,MATCH($A168,Mots!$A:$A,0)),"introuvable")</f>
        <v/>
      </c>
      <c r="C168" s="30">
        <f>IFERROR(INDEX(Mots!$S:$S,MATCH($A168,Mots!$A:$A,0)),"")</f>
        <v/>
      </c>
      <c r="D168" s="30">
        <f>IFERROR(COUNTA(INDEX(Mots!$J:$J,MATCH($A168,Mots!$A:$A,0)):INDEX(Mots!$P:$P,MATCH($A168,Mots!$A:$A,0))),0)</f>
        <v/>
      </c>
      <c r="E168" s="30">
        <f>IF(COUNTIF(Classement!$A:$A,$A168)&gt;0,"ok","à faire")</f>
        <v/>
      </c>
      <c r="F168" s="30">
        <f>IF(COUNTIF(Tags!$A:$A,$A168)&gt;0,"ok","à faire")</f>
        <v/>
      </c>
      <c r="G168" s="30">
        <f>IF(COUNTIF(Phrases!$A:$A,$A168)&gt;0,"ok","à faire")</f>
        <v/>
      </c>
      <c r="H168" s="30">
        <f>IF(COUNTIFS(Phrases!$A:$A,$A168,Phrases!$I:$I,"&lt;&gt;")&gt;0,"ok","à faire")</f>
        <v/>
      </c>
      <c r="I168" s="30">
        <f>IF(COUNTIF(Synonymes!$A:$A,$A168)&gt;0,"ok","")</f>
        <v/>
      </c>
      <c r="J168" s="30">
        <f>COUNTIF(E168:H168,"à faire")</f>
        <v/>
      </c>
    </row>
    <row r="169">
      <c r="A169" s="30" t="inlineStr">
        <is>
          <t>uniforme</t>
        </is>
      </c>
      <c r="B169" s="30">
        <f>IFERROR(INDEX(Mots!$B:$B,MATCH($A169,Mots!$A:$A,0)),"introuvable")</f>
        <v/>
      </c>
      <c r="C169" s="30">
        <f>IFERROR(INDEX(Mots!$S:$S,MATCH($A169,Mots!$A:$A,0)),"")</f>
        <v/>
      </c>
      <c r="D169" s="30">
        <f>IFERROR(COUNTA(INDEX(Mots!$J:$J,MATCH($A169,Mots!$A:$A,0)):INDEX(Mots!$P:$P,MATCH($A169,Mots!$A:$A,0))),0)</f>
        <v/>
      </c>
      <c r="E169" s="30">
        <f>IF(COUNTIF(Classement!$A:$A,$A169)&gt;0,"ok","à faire")</f>
        <v/>
      </c>
      <c r="F169" s="30">
        <f>IF(COUNTIF(Tags!$A:$A,$A169)&gt;0,"ok","à faire")</f>
        <v/>
      </c>
      <c r="G169" s="30">
        <f>IF(COUNTIF(Phrases!$A:$A,$A169)&gt;0,"ok","à faire")</f>
        <v/>
      </c>
      <c r="H169" s="30">
        <f>IF(COUNTIFS(Phrases!$A:$A,$A169,Phrases!$I:$I,"&lt;&gt;")&gt;0,"ok","à faire")</f>
        <v/>
      </c>
      <c r="I169" s="30">
        <f>IF(COUNTIF(Synonymes!$A:$A,$A169)&gt;0,"ok","")</f>
        <v/>
      </c>
      <c r="J169" s="30">
        <f>COUNTIF(E169:H169,"à faire")</f>
        <v/>
      </c>
    </row>
    <row r="170">
      <c r="A170" s="30" t="inlineStr">
        <is>
          <t>pates</t>
        </is>
      </c>
      <c r="B170" s="30">
        <f>IFERROR(INDEX(Mots!$B:$B,MATCH($A170,Mots!$A:$A,0)),"introuvable")</f>
        <v/>
      </c>
      <c r="C170" s="30">
        <f>IFERROR(INDEX(Mots!$S:$S,MATCH($A170,Mots!$A:$A,0)),"")</f>
        <v/>
      </c>
      <c r="D170" s="30">
        <f>IFERROR(COUNTA(INDEX(Mots!$J:$J,MATCH($A170,Mots!$A:$A,0)):INDEX(Mots!$P:$P,MATCH($A170,Mots!$A:$A,0))),0)</f>
        <v/>
      </c>
      <c r="E170" s="30">
        <f>IF(COUNTIF(Classement!$A:$A,$A170)&gt;0,"ok","à faire")</f>
        <v/>
      </c>
      <c r="F170" s="30">
        <f>IF(COUNTIF(Tags!$A:$A,$A170)&gt;0,"ok","à faire")</f>
        <v/>
      </c>
      <c r="G170" s="30">
        <f>IF(COUNTIF(Phrases!$A:$A,$A170)&gt;0,"ok","à faire")</f>
        <v/>
      </c>
      <c r="H170" s="30">
        <f>IF(COUNTIFS(Phrases!$A:$A,$A170,Phrases!$I:$I,"&lt;&gt;")&gt;0,"ok","à faire")</f>
        <v/>
      </c>
      <c r="I170" s="30">
        <f>IF(COUNTIF(Synonymes!$A:$A,$A170)&gt;0,"ok","")</f>
        <v/>
      </c>
      <c r="J170" s="30">
        <f>COUNTIF(E170:H170,"à faire")</f>
        <v/>
      </c>
    </row>
    <row r="171">
      <c r="A171" s="30" t="inlineStr">
        <is>
          <t>riz</t>
        </is>
      </c>
      <c r="B171" s="30">
        <f>IFERROR(INDEX(Mots!$B:$B,MATCH($A171,Mots!$A:$A,0)),"introuvable")</f>
        <v/>
      </c>
      <c r="C171" s="30">
        <f>IFERROR(INDEX(Mots!$S:$S,MATCH($A171,Mots!$A:$A,0)),"")</f>
        <v/>
      </c>
      <c r="D171" s="30">
        <f>IFERROR(COUNTA(INDEX(Mots!$J:$J,MATCH($A171,Mots!$A:$A,0)):INDEX(Mots!$P:$P,MATCH($A171,Mots!$A:$A,0))),0)</f>
        <v/>
      </c>
      <c r="E171" s="30">
        <f>IF(COUNTIF(Classement!$A:$A,$A171)&gt;0,"ok","à faire")</f>
        <v/>
      </c>
      <c r="F171" s="30">
        <f>IF(COUNTIF(Tags!$A:$A,$A171)&gt;0,"ok","à faire")</f>
        <v/>
      </c>
      <c r="G171" s="30">
        <f>IF(COUNTIF(Phrases!$A:$A,$A171)&gt;0,"ok","à faire")</f>
        <v/>
      </c>
      <c r="H171" s="30">
        <f>IF(COUNTIFS(Phrases!$A:$A,$A171,Phrases!$I:$I,"&lt;&gt;")&gt;0,"ok","à faire")</f>
        <v/>
      </c>
      <c r="I171" s="30">
        <f>IF(COUNTIF(Synonymes!$A:$A,$A171)&gt;0,"ok","")</f>
        <v/>
      </c>
      <c r="J171" s="30">
        <f>COUNTIF(E171:H171,"à faire")</f>
        <v/>
      </c>
    </row>
    <row r="172">
      <c r="A172" s="30" t="inlineStr">
        <is>
          <t>bagheera</t>
        </is>
      </c>
      <c r="B172" s="30">
        <f>IFERROR(INDEX(Mots!$B:$B,MATCH($A172,Mots!$A:$A,0)),"introuvable")</f>
        <v/>
      </c>
      <c r="C172" s="30">
        <f>IFERROR(INDEX(Mots!$S:$S,MATCH($A172,Mots!$A:$A,0)),"")</f>
        <v/>
      </c>
      <c r="D172" s="30">
        <f>IFERROR(COUNTA(INDEX(Mots!$J:$J,MATCH($A172,Mots!$A:$A,0)):INDEX(Mots!$P:$P,MATCH($A172,Mots!$A:$A,0))),0)</f>
        <v/>
      </c>
      <c r="E172" s="30">
        <f>IF(COUNTIF(Classement!$A:$A,$A172)&gt;0,"ok","à faire")</f>
        <v/>
      </c>
      <c r="F172" s="30">
        <f>IF(COUNTIF(Tags!$A:$A,$A172)&gt;0,"ok","à faire")</f>
        <v/>
      </c>
      <c r="G172" s="30">
        <f>IF(COUNTIF(Phrases!$A:$A,$A172)&gt;0,"ok","à faire")</f>
        <v/>
      </c>
      <c r="H172" s="30">
        <f>IF(COUNTIFS(Phrases!$A:$A,$A172,Phrases!$I:$I,"&lt;&gt;")&gt;0,"ok","à faire")</f>
        <v/>
      </c>
      <c r="I172" s="30">
        <f>IF(COUNTIF(Synonymes!$A:$A,$A172)&gt;0,"ok","")</f>
        <v/>
      </c>
      <c r="J172" s="30">
        <f>COUNTIF(E172:H172,"à faire")</f>
        <v/>
      </c>
    </row>
    <row r="173">
      <c r="A173" s="30" t="inlineStr">
        <is>
          <t>naya</t>
        </is>
      </c>
      <c r="B173" s="30">
        <f>IFERROR(INDEX(Mots!$B:$B,MATCH($A173,Mots!$A:$A,0)),"introuvable")</f>
        <v/>
      </c>
      <c r="C173" s="30">
        <f>IFERROR(INDEX(Mots!$S:$S,MATCH($A173,Mots!$A:$A,0)),"")</f>
        <v/>
      </c>
      <c r="D173" s="30">
        <f>IFERROR(COUNTA(INDEX(Mots!$J:$J,MATCH($A173,Mots!$A:$A,0)):INDEX(Mots!$P:$P,MATCH($A173,Mots!$A:$A,0))),0)</f>
        <v/>
      </c>
      <c r="E173" s="30">
        <f>IF(COUNTIF(Classement!$A:$A,$A173)&gt;0,"ok","à faire")</f>
        <v/>
      </c>
      <c r="F173" s="30">
        <f>IF(COUNTIF(Tags!$A:$A,$A173)&gt;0,"ok","à faire")</f>
        <v/>
      </c>
      <c r="G173" s="30">
        <f>IF(COUNTIF(Phrases!$A:$A,$A173)&gt;0,"ok","à faire")</f>
        <v/>
      </c>
      <c r="H173" s="30">
        <f>IF(COUNTIFS(Phrases!$A:$A,$A173,Phrases!$I:$I,"&lt;&gt;")&gt;0,"ok","à faire")</f>
        <v/>
      </c>
      <c r="I173" s="30">
        <f>IF(COUNTIF(Synonymes!$A:$A,$A173)&gt;0,"ok","")</f>
        <v/>
      </c>
      <c r="J173" s="30">
        <f>COUNTIF(E173:H173,"à faire")</f>
        <v/>
      </c>
    </row>
    <row r="174">
      <c r="A174" s="30" t="inlineStr">
        <is>
          <t>vache</t>
        </is>
      </c>
      <c r="B174" s="30">
        <f>IFERROR(INDEX(Mots!$B:$B,MATCH($A174,Mots!$A:$A,0)),"introuvable")</f>
        <v/>
      </c>
      <c r="C174" s="30">
        <f>IFERROR(INDEX(Mots!$S:$S,MATCH($A174,Mots!$A:$A,0)),"")</f>
        <v/>
      </c>
      <c r="D174" s="30">
        <f>IFERROR(COUNTA(INDEX(Mots!$J:$J,MATCH($A174,Mots!$A:$A,0)):INDEX(Mots!$P:$P,MATCH($A174,Mots!$A:$A,0))),0)</f>
        <v/>
      </c>
      <c r="E174" s="30">
        <f>IF(COUNTIF(Classement!$A:$A,$A174)&gt;0,"ok","à faire")</f>
        <v/>
      </c>
      <c r="F174" s="30">
        <f>IF(COUNTIF(Tags!$A:$A,$A174)&gt;0,"ok","à faire")</f>
        <v/>
      </c>
      <c r="G174" s="30">
        <f>IF(COUNTIF(Phrases!$A:$A,$A174)&gt;0,"ok","à faire")</f>
        <v/>
      </c>
      <c r="H174" s="30">
        <f>IF(COUNTIFS(Phrases!$A:$A,$A174,Phrases!$I:$I,"&lt;&gt;")&gt;0,"ok","à faire")</f>
        <v/>
      </c>
      <c r="I174" s="30">
        <f>IF(COUNTIF(Synonymes!$A:$A,$A174)&gt;0,"ok","")</f>
        <v/>
      </c>
      <c r="J174" s="30">
        <f>COUNTIF(E174:H174,"à faire")</f>
        <v/>
      </c>
    </row>
    <row r="175">
      <c r="A175" s="30" t="inlineStr">
        <is>
          <t>cochon</t>
        </is>
      </c>
      <c r="B175" s="30">
        <f>IFERROR(INDEX(Mots!$B:$B,MATCH($A175,Mots!$A:$A,0)),"introuvable")</f>
        <v/>
      </c>
      <c r="C175" s="30">
        <f>IFERROR(INDEX(Mots!$S:$S,MATCH($A175,Mots!$A:$A,0)),"")</f>
        <v/>
      </c>
      <c r="D175" s="30">
        <f>IFERROR(COUNTA(INDEX(Mots!$J:$J,MATCH($A175,Mots!$A:$A,0)):INDEX(Mots!$P:$P,MATCH($A175,Mots!$A:$A,0))),0)</f>
        <v/>
      </c>
      <c r="E175" s="30">
        <f>IF(COUNTIF(Classement!$A:$A,$A175)&gt;0,"ok","à faire")</f>
        <v/>
      </c>
      <c r="F175" s="30">
        <f>IF(COUNTIF(Tags!$A:$A,$A175)&gt;0,"ok","à faire")</f>
        <v/>
      </c>
      <c r="G175" s="30">
        <f>IF(COUNTIF(Phrases!$A:$A,$A175)&gt;0,"ok","à faire")</f>
        <v/>
      </c>
      <c r="H175" s="30">
        <f>IF(COUNTIFS(Phrases!$A:$A,$A175,Phrases!$I:$I,"&lt;&gt;")&gt;0,"ok","à faire")</f>
        <v/>
      </c>
      <c r="I175" s="30">
        <f>IF(COUNTIF(Synonymes!$A:$A,$A175)&gt;0,"ok","")</f>
        <v/>
      </c>
      <c r="J175" s="30">
        <f>COUNTIF(E175:H175,"à faire")</f>
        <v/>
      </c>
    </row>
    <row r="176">
      <c r="A176" s="30" t="inlineStr">
        <is>
          <t>mouton</t>
        </is>
      </c>
      <c r="B176" s="30">
        <f>IFERROR(INDEX(Mots!$B:$B,MATCH($A176,Mots!$A:$A,0)),"introuvable")</f>
        <v/>
      </c>
      <c r="C176" s="30">
        <f>IFERROR(INDEX(Mots!$S:$S,MATCH($A176,Mots!$A:$A,0)),"")</f>
        <v/>
      </c>
      <c r="D176" s="30">
        <f>IFERROR(COUNTA(INDEX(Mots!$J:$J,MATCH($A176,Mots!$A:$A,0)):INDEX(Mots!$P:$P,MATCH($A176,Mots!$A:$A,0))),0)</f>
        <v/>
      </c>
      <c r="E176" s="30">
        <f>IF(COUNTIF(Classement!$A:$A,$A176)&gt;0,"ok","à faire")</f>
        <v/>
      </c>
      <c r="F176" s="30">
        <f>IF(COUNTIF(Tags!$A:$A,$A176)&gt;0,"ok","à faire")</f>
        <v/>
      </c>
      <c r="G176" s="30">
        <f>IF(COUNTIF(Phrases!$A:$A,$A176)&gt;0,"ok","à faire")</f>
        <v/>
      </c>
      <c r="H176" s="30">
        <f>IF(COUNTIFS(Phrases!$A:$A,$A176,Phrases!$I:$I,"&lt;&gt;")&gt;0,"ok","à faire")</f>
        <v/>
      </c>
      <c r="I176" s="30">
        <f>IF(COUNTIF(Synonymes!$A:$A,$A176)&gt;0,"ok","")</f>
        <v/>
      </c>
      <c r="J176" s="30">
        <f>COUNTIF(E176:H176,"à faire")</f>
        <v/>
      </c>
    </row>
    <row r="177">
      <c r="A177" s="30" t="inlineStr">
        <is>
          <t>poule</t>
        </is>
      </c>
      <c r="B177" s="30">
        <f>IFERROR(INDEX(Mots!$B:$B,MATCH($A177,Mots!$A:$A,0)),"introuvable")</f>
        <v/>
      </c>
      <c r="C177" s="30">
        <f>IFERROR(INDEX(Mots!$S:$S,MATCH($A177,Mots!$A:$A,0)),"")</f>
        <v/>
      </c>
      <c r="D177" s="30">
        <f>IFERROR(COUNTA(INDEX(Mots!$J:$J,MATCH($A177,Mots!$A:$A,0)):INDEX(Mots!$P:$P,MATCH($A177,Mots!$A:$A,0))),0)</f>
        <v/>
      </c>
      <c r="E177" s="30">
        <f>IF(COUNTIF(Classement!$A:$A,$A177)&gt;0,"ok","à faire")</f>
        <v/>
      </c>
      <c r="F177" s="30">
        <f>IF(COUNTIF(Tags!$A:$A,$A177)&gt;0,"ok","à faire")</f>
        <v/>
      </c>
      <c r="G177" s="30">
        <f>IF(COUNTIF(Phrases!$A:$A,$A177)&gt;0,"ok","à faire")</f>
        <v/>
      </c>
      <c r="H177" s="30">
        <f>IF(COUNTIFS(Phrases!$A:$A,$A177,Phrases!$I:$I,"&lt;&gt;")&gt;0,"ok","à faire")</f>
        <v/>
      </c>
      <c r="I177" s="30">
        <f>IF(COUNTIF(Synonymes!$A:$A,$A177)&gt;0,"ok","")</f>
        <v/>
      </c>
      <c r="J177" s="30">
        <f>COUNTIF(E177:H177,"à faire")</f>
        <v/>
      </c>
    </row>
    <row r="178">
      <c r="A178" s="30" t="inlineStr">
        <is>
          <t>chevre</t>
        </is>
      </c>
      <c r="B178" s="30">
        <f>IFERROR(INDEX(Mots!$B:$B,MATCH($A178,Mots!$A:$A,0)),"introuvable")</f>
        <v/>
      </c>
      <c r="C178" s="30">
        <f>IFERROR(INDEX(Mots!$S:$S,MATCH($A178,Mots!$A:$A,0)),"")</f>
        <v/>
      </c>
      <c r="D178" s="30">
        <f>IFERROR(COUNTA(INDEX(Mots!$J:$J,MATCH($A178,Mots!$A:$A,0)):INDEX(Mots!$P:$P,MATCH($A178,Mots!$A:$A,0))),0)</f>
        <v/>
      </c>
      <c r="E178" s="30">
        <f>IF(COUNTIF(Classement!$A:$A,$A178)&gt;0,"ok","à faire")</f>
        <v/>
      </c>
      <c r="F178" s="30">
        <f>IF(COUNTIF(Tags!$A:$A,$A178)&gt;0,"ok","à faire")</f>
        <v/>
      </c>
      <c r="G178" s="30">
        <f>IF(COUNTIF(Phrases!$A:$A,$A178)&gt;0,"ok","à faire")</f>
        <v/>
      </c>
      <c r="H178" s="30">
        <f>IF(COUNTIFS(Phrases!$A:$A,$A178,Phrases!$I:$I,"&lt;&gt;")&gt;0,"ok","à faire")</f>
        <v/>
      </c>
      <c r="I178" s="30">
        <f>IF(COUNTIF(Synonymes!$A:$A,$A178)&gt;0,"ok","")</f>
        <v/>
      </c>
      <c r="J178" s="30">
        <f>COUNTIF(E178:H178,"à faire")</f>
        <v/>
      </c>
    </row>
    <row r="179">
      <c r="A179" s="30" t="inlineStr">
        <is>
          <t>cheval</t>
        </is>
      </c>
      <c r="B179" s="30">
        <f>IFERROR(INDEX(Mots!$B:$B,MATCH($A179,Mots!$A:$A,0)),"introuvable")</f>
        <v/>
      </c>
      <c r="C179" s="30">
        <f>IFERROR(INDEX(Mots!$S:$S,MATCH($A179,Mots!$A:$A,0)),"")</f>
        <v/>
      </c>
      <c r="D179" s="30">
        <f>IFERROR(COUNTA(INDEX(Mots!$J:$J,MATCH($A179,Mots!$A:$A,0)):INDEX(Mots!$P:$P,MATCH($A179,Mots!$A:$A,0))),0)</f>
        <v/>
      </c>
      <c r="E179" s="30">
        <f>IF(COUNTIF(Classement!$A:$A,$A179)&gt;0,"ok","à faire")</f>
        <v/>
      </c>
      <c r="F179" s="30">
        <f>IF(COUNTIF(Tags!$A:$A,$A179)&gt;0,"ok","à faire")</f>
        <v/>
      </c>
      <c r="G179" s="30">
        <f>IF(COUNTIF(Phrases!$A:$A,$A179)&gt;0,"ok","à faire")</f>
        <v/>
      </c>
      <c r="H179" s="30">
        <f>IF(COUNTIFS(Phrases!$A:$A,$A179,Phrases!$I:$I,"&lt;&gt;")&gt;0,"ok","à faire")</f>
        <v/>
      </c>
      <c r="I179" s="30">
        <f>IF(COUNTIF(Synonymes!$A:$A,$A179)&gt;0,"ok","")</f>
        <v/>
      </c>
      <c r="J179" s="30">
        <f>COUNTIF(E179:H179,"à faire")</f>
        <v/>
      </c>
    </row>
    <row r="180">
      <c r="A180" s="30" t="inlineStr">
        <is>
          <t>bassin</t>
        </is>
      </c>
      <c r="B180" s="30">
        <f>IFERROR(INDEX(Mots!$B:$B,MATCH($A180,Mots!$A:$A,0)),"introuvable")</f>
        <v/>
      </c>
      <c r="C180" s="30">
        <f>IFERROR(INDEX(Mots!$S:$S,MATCH($A180,Mots!$A:$A,0)),"")</f>
        <v/>
      </c>
      <c r="D180" s="30">
        <f>IFERROR(COUNTA(INDEX(Mots!$J:$J,MATCH($A180,Mots!$A:$A,0)):INDEX(Mots!$P:$P,MATCH($A180,Mots!$A:$A,0))),0)</f>
        <v/>
      </c>
      <c r="E180" s="30">
        <f>IF(COUNTIF(Classement!$A:$A,$A180)&gt;0,"ok","à faire")</f>
        <v/>
      </c>
      <c r="F180" s="30">
        <f>IF(COUNTIF(Tags!$A:$A,$A180)&gt;0,"ok","à faire")</f>
        <v/>
      </c>
      <c r="G180" s="30">
        <f>IF(COUNTIF(Phrases!$A:$A,$A180)&gt;0,"ok","à faire")</f>
        <v/>
      </c>
      <c r="H180" s="30">
        <f>IF(COUNTIFS(Phrases!$A:$A,$A180,Phrases!$I:$I,"&lt;&gt;")&gt;0,"ok","à faire")</f>
        <v/>
      </c>
      <c r="I180" s="30">
        <f>IF(COUNTIF(Synonymes!$A:$A,$A180)&gt;0,"ok","")</f>
        <v/>
      </c>
      <c r="J180" s="30">
        <f>COUNTIF(E180:H180,"à faire")</f>
        <v/>
      </c>
    </row>
    <row r="181">
      <c r="A181" s="30" t="inlineStr">
        <is>
          <t>chat</t>
        </is>
      </c>
      <c r="B181" s="30">
        <f>IFERROR(INDEX(Mots!$B:$B,MATCH($A181,Mots!$A:$A,0)),"introuvable")</f>
        <v/>
      </c>
      <c r="C181" s="30">
        <f>IFERROR(INDEX(Mots!$S:$S,MATCH($A181,Mots!$A:$A,0)),"")</f>
        <v/>
      </c>
      <c r="D181" s="30">
        <f>IFERROR(COUNTA(INDEX(Mots!$J:$J,MATCH($A181,Mots!$A:$A,0)):INDEX(Mots!$P:$P,MATCH($A181,Mots!$A:$A,0))),0)</f>
        <v/>
      </c>
      <c r="E181" s="30">
        <f>IF(COUNTIF(Classement!$A:$A,$A181)&gt;0,"ok","à faire")</f>
        <v/>
      </c>
      <c r="F181" s="30">
        <f>IF(COUNTIF(Tags!$A:$A,$A181)&gt;0,"ok","à faire")</f>
        <v/>
      </c>
      <c r="G181" s="30">
        <f>IF(COUNTIF(Phrases!$A:$A,$A181)&gt;0,"ok","à faire")</f>
        <v/>
      </c>
      <c r="H181" s="30">
        <f>IF(COUNTIFS(Phrases!$A:$A,$A181,Phrases!$I:$I,"&lt;&gt;")&gt;0,"ok","à faire")</f>
        <v/>
      </c>
      <c r="I181" s="30">
        <f>IF(COUNTIF(Synonymes!$A:$A,$A181)&gt;0,"ok","")</f>
        <v/>
      </c>
      <c r="J181" s="30">
        <f>COUNTIF(E181:H181,"à faire")</f>
        <v/>
      </c>
    </row>
    <row r="182">
      <c r="A182" s="30" t="inlineStr">
        <is>
          <t>chien</t>
        </is>
      </c>
      <c r="B182" s="30">
        <f>IFERROR(INDEX(Mots!$B:$B,MATCH($A182,Mots!$A:$A,0)),"introuvable")</f>
        <v/>
      </c>
      <c r="C182" s="30">
        <f>IFERROR(INDEX(Mots!$S:$S,MATCH($A182,Mots!$A:$A,0)),"")</f>
        <v/>
      </c>
      <c r="D182" s="30">
        <f>IFERROR(COUNTA(INDEX(Mots!$J:$J,MATCH($A182,Mots!$A:$A,0)):INDEX(Mots!$P:$P,MATCH($A182,Mots!$A:$A,0))),0)</f>
        <v/>
      </c>
      <c r="E182" s="30">
        <f>IF(COUNTIF(Classement!$A:$A,$A182)&gt;0,"ok","à faire")</f>
        <v/>
      </c>
      <c r="F182" s="30">
        <f>IF(COUNTIF(Tags!$A:$A,$A182)&gt;0,"ok","à faire")</f>
        <v/>
      </c>
      <c r="G182" s="30">
        <f>IF(COUNTIF(Phrases!$A:$A,$A182)&gt;0,"ok","à faire")</f>
        <v/>
      </c>
      <c r="H182" s="30">
        <f>IF(COUNTIFS(Phrases!$A:$A,$A182,Phrases!$I:$I,"&lt;&gt;")&gt;0,"ok","à faire")</f>
        <v/>
      </c>
      <c r="I182" s="30">
        <f>IF(COUNTIF(Synonymes!$A:$A,$A182)&gt;0,"ok","")</f>
        <v/>
      </c>
      <c r="J182" s="30">
        <f>COUNTIF(E182:H182,"à faire")</f>
        <v/>
      </c>
    </row>
    <row r="183">
      <c r="A183" s="30" t="inlineStr">
        <is>
          <t>lapin</t>
        </is>
      </c>
      <c r="B183" s="30">
        <f>IFERROR(INDEX(Mots!$B:$B,MATCH($A183,Mots!$A:$A,0)),"introuvable")</f>
        <v/>
      </c>
      <c r="C183" s="30">
        <f>IFERROR(INDEX(Mots!$S:$S,MATCH($A183,Mots!$A:$A,0)),"")</f>
        <v/>
      </c>
      <c r="D183" s="30">
        <f>IFERROR(COUNTA(INDEX(Mots!$J:$J,MATCH($A183,Mots!$A:$A,0)):INDEX(Mots!$P:$P,MATCH($A183,Mots!$A:$A,0))),0)</f>
        <v/>
      </c>
      <c r="E183" s="30">
        <f>IF(COUNTIF(Classement!$A:$A,$A183)&gt;0,"ok","à faire")</f>
        <v/>
      </c>
      <c r="F183" s="30">
        <f>IF(COUNTIF(Tags!$A:$A,$A183)&gt;0,"ok","à faire")</f>
        <v/>
      </c>
      <c r="G183" s="30">
        <f>IF(COUNTIF(Phrases!$A:$A,$A183)&gt;0,"ok","à faire")</f>
        <v/>
      </c>
      <c r="H183" s="30">
        <f>IF(COUNTIFS(Phrases!$A:$A,$A183,Phrases!$I:$I,"&lt;&gt;")&gt;0,"ok","à faire")</f>
        <v/>
      </c>
      <c r="I183" s="30">
        <f>IF(COUNTIF(Synonymes!$A:$A,$A183)&gt;0,"ok","")</f>
        <v/>
      </c>
      <c r="J183" s="30">
        <f>COUNTIF(E183:H183,"à faire")</f>
        <v/>
      </c>
    </row>
    <row r="184">
      <c r="A184" s="30" t="inlineStr">
        <is>
          <t>souris</t>
        </is>
      </c>
      <c r="B184" s="30">
        <f>IFERROR(INDEX(Mots!$B:$B,MATCH($A184,Mots!$A:$A,0)),"introuvable")</f>
        <v/>
      </c>
      <c r="C184" s="30">
        <f>IFERROR(INDEX(Mots!$S:$S,MATCH($A184,Mots!$A:$A,0)),"")</f>
        <v/>
      </c>
      <c r="D184" s="30">
        <f>IFERROR(COUNTA(INDEX(Mots!$J:$J,MATCH($A184,Mots!$A:$A,0)):INDEX(Mots!$P:$P,MATCH($A184,Mots!$A:$A,0))),0)</f>
        <v/>
      </c>
      <c r="E184" s="30">
        <f>IF(COUNTIF(Classement!$A:$A,$A184)&gt;0,"ok","à faire")</f>
        <v/>
      </c>
      <c r="F184" s="30">
        <f>IF(COUNTIF(Tags!$A:$A,$A184)&gt;0,"ok","à faire")</f>
        <v/>
      </c>
      <c r="G184" s="30">
        <f>IF(COUNTIF(Phrases!$A:$A,$A184)&gt;0,"ok","à faire")</f>
        <v/>
      </c>
      <c r="H184" s="30">
        <f>IF(COUNTIFS(Phrases!$A:$A,$A184,Phrases!$I:$I,"&lt;&gt;")&gt;0,"ok","à faire")</f>
        <v/>
      </c>
      <c r="I184" s="30">
        <f>IF(COUNTIF(Synonymes!$A:$A,$A184)&gt;0,"ok","")</f>
        <v/>
      </c>
      <c r="J184" s="30">
        <f>COUNTIF(E184:H184,"à faire")</f>
        <v/>
      </c>
    </row>
    <row r="185">
      <c r="A185" s="30" t="inlineStr">
        <is>
          <t>ecureuil</t>
        </is>
      </c>
      <c r="B185" s="30">
        <f>IFERROR(INDEX(Mots!$B:$B,MATCH($A185,Mots!$A:$A,0)),"introuvable")</f>
        <v/>
      </c>
      <c r="C185" s="30">
        <f>IFERROR(INDEX(Mots!$S:$S,MATCH($A185,Mots!$A:$A,0)),"")</f>
        <v/>
      </c>
      <c r="D185" s="30">
        <f>IFERROR(COUNTA(INDEX(Mots!$J:$J,MATCH($A185,Mots!$A:$A,0)):INDEX(Mots!$P:$P,MATCH($A185,Mots!$A:$A,0))),0)</f>
        <v/>
      </c>
      <c r="E185" s="30">
        <f>IF(COUNTIF(Classement!$A:$A,$A185)&gt;0,"ok","à faire")</f>
        <v/>
      </c>
      <c r="F185" s="30">
        <f>IF(COUNTIF(Tags!$A:$A,$A185)&gt;0,"ok","à faire")</f>
        <v/>
      </c>
      <c r="G185" s="30">
        <f>IF(COUNTIF(Phrases!$A:$A,$A185)&gt;0,"ok","à faire")</f>
        <v/>
      </c>
      <c r="H185" s="30">
        <f>IF(COUNTIFS(Phrases!$A:$A,$A185,Phrases!$I:$I,"&lt;&gt;")&gt;0,"ok","à faire")</f>
        <v/>
      </c>
      <c r="I185" s="30">
        <f>IF(COUNTIF(Synonymes!$A:$A,$A185)&gt;0,"ok","")</f>
        <v/>
      </c>
      <c r="J185" s="30">
        <f>COUNTIF(E185:H185,"à faire")</f>
        <v/>
      </c>
    </row>
    <row r="186">
      <c r="A186" s="30" t="inlineStr">
        <is>
          <t>marmotte</t>
        </is>
      </c>
      <c r="B186" s="30">
        <f>IFERROR(INDEX(Mots!$B:$B,MATCH($A186,Mots!$A:$A,0)),"introuvable")</f>
        <v/>
      </c>
      <c r="C186" s="30">
        <f>IFERROR(INDEX(Mots!$S:$S,MATCH($A186,Mots!$A:$A,0)),"")</f>
        <v/>
      </c>
      <c r="D186" s="30">
        <f>IFERROR(COUNTA(INDEX(Mots!$J:$J,MATCH($A186,Mots!$A:$A,0)):INDEX(Mots!$P:$P,MATCH($A186,Mots!$A:$A,0))),0)</f>
        <v/>
      </c>
      <c r="E186" s="30">
        <f>IF(COUNTIF(Classement!$A:$A,$A186)&gt;0,"ok","à faire")</f>
        <v/>
      </c>
      <c r="F186" s="30">
        <f>IF(COUNTIF(Tags!$A:$A,$A186)&gt;0,"ok","à faire")</f>
        <v/>
      </c>
      <c r="G186" s="30">
        <f>IF(COUNTIF(Phrases!$A:$A,$A186)&gt;0,"ok","à faire")</f>
        <v/>
      </c>
      <c r="H186" s="30">
        <f>IF(COUNTIFS(Phrases!$A:$A,$A186,Phrases!$I:$I,"&lt;&gt;")&gt;0,"ok","à faire")</f>
        <v/>
      </c>
      <c r="I186" s="30">
        <f>IF(COUNTIF(Synonymes!$A:$A,$A186)&gt;0,"ok","")</f>
        <v/>
      </c>
      <c r="J186" s="30">
        <f>COUNTIF(E186:H186,"à faire")</f>
        <v/>
      </c>
    </row>
    <row r="187">
      <c r="A187" s="30" t="inlineStr">
        <is>
          <t>loup</t>
        </is>
      </c>
      <c r="B187" s="30">
        <f>IFERROR(INDEX(Mots!$B:$B,MATCH($A187,Mots!$A:$A,0)),"introuvable")</f>
        <v/>
      </c>
      <c r="C187" s="30">
        <f>IFERROR(INDEX(Mots!$S:$S,MATCH($A187,Mots!$A:$A,0)),"")</f>
        <v/>
      </c>
      <c r="D187" s="30">
        <f>IFERROR(COUNTA(INDEX(Mots!$J:$J,MATCH($A187,Mots!$A:$A,0)):INDEX(Mots!$P:$P,MATCH($A187,Mots!$A:$A,0))),0)</f>
        <v/>
      </c>
      <c r="E187" s="30">
        <f>IF(COUNTIF(Classement!$A:$A,$A187)&gt;0,"ok","à faire")</f>
        <v/>
      </c>
      <c r="F187" s="30">
        <f>IF(COUNTIF(Tags!$A:$A,$A187)&gt;0,"ok","à faire")</f>
        <v/>
      </c>
      <c r="G187" s="30">
        <f>IF(COUNTIF(Phrases!$A:$A,$A187)&gt;0,"ok","à faire")</f>
        <v/>
      </c>
      <c r="H187" s="30">
        <f>IF(COUNTIFS(Phrases!$A:$A,$A187,Phrases!$I:$I,"&lt;&gt;")&gt;0,"ok","à faire")</f>
        <v/>
      </c>
      <c r="I187" s="30">
        <f>IF(COUNTIF(Synonymes!$A:$A,$A187)&gt;0,"ok","")</f>
        <v/>
      </c>
      <c r="J187" s="30">
        <f>COUNTIF(E187:H187,"à faire")</f>
        <v/>
      </c>
    </row>
    <row r="188">
      <c r="A188" s="30" t="inlineStr">
        <is>
          <t>chevreuil</t>
        </is>
      </c>
      <c r="B188" s="30">
        <f>IFERROR(INDEX(Mots!$B:$B,MATCH($A188,Mots!$A:$A,0)),"introuvable")</f>
        <v/>
      </c>
      <c r="C188" s="30">
        <f>IFERROR(INDEX(Mots!$S:$S,MATCH($A188,Mots!$A:$A,0)),"")</f>
        <v/>
      </c>
      <c r="D188" s="30">
        <f>IFERROR(COUNTA(INDEX(Mots!$J:$J,MATCH($A188,Mots!$A:$A,0)):INDEX(Mots!$P:$P,MATCH($A188,Mots!$A:$A,0))),0)</f>
        <v/>
      </c>
      <c r="E188" s="30">
        <f>IF(COUNTIF(Classement!$A:$A,$A188)&gt;0,"ok","à faire")</f>
        <v/>
      </c>
      <c r="F188" s="30">
        <f>IF(COUNTIF(Tags!$A:$A,$A188)&gt;0,"ok","à faire")</f>
        <v/>
      </c>
      <c r="G188" s="30">
        <f>IF(COUNTIF(Phrases!$A:$A,$A188)&gt;0,"ok","à faire")</f>
        <v/>
      </c>
      <c r="H188" s="30">
        <f>IF(COUNTIFS(Phrases!$A:$A,$A188,Phrases!$I:$I,"&lt;&gt;")&gt;0,"ok","à faire")</f>
        <v/>
      </c>
      <c r="I188" s="30">
        <f>IF(COUNTIF(Synonymes!$A:$A,$A188)&gt;0,"ok","")</f>
        <v/>
      </c>
      <c r="J188" s="30">
        <f>COUNTIF(E188:H188,"à faire")</f>
        <v/>
      </c>
    </row>
    <row r="189">
      <c r="A189" s="30" t="inlineStr">
        <is>
          <t>chamois</t>
        </is>
      </c>
      <c r="B189" s="30">
        <f>IFERROR(INDEX(Mots!$B:$B,MATCH($A189,Mots!$A:$A,0)),"introuvable")</f>
        <v/>
      </c>
      <c r="C189" s="30">
        <f>IFERROR(INDEX(Mots!$S:$S,MATCH($A189,Mots!$A:$A,0)),"")</f>
        <v/>
      </c>
      <c r="D189" s="30">
        <f>IFERROR(COUNTA(INDEX(Mots!$J:$J,MATCH($A189,Mots!$A:$A,0)):INDEX(Mots!$P:$P,MATCH($A189,Mots!$A:$A,0))),0)</f>
        <v/>
      </c>
      <c r="E189" s="30">
        <f>IF(COUNTIF(Classement!$A:$A,$A189)&gt;0,"ok","à faire")</f>
        <v/>
      </c>
      <c r="F189" s="30">
        <f>IF(COUNTIF(Tags!$A:$A,$A189)&gt;0,"ok","à faire")</f>
        <v/>
      </c>
      <c r="G189" s="30">
        <f>IF(COUNTIF(Phrases!$A:$A,$A189)&gt;0,"ok","à faire")</f>
        <v/>
      </c>
      <c r="H189" s="30">
        <f>IF(COUNTIFS(Phrases!$A:$A,$A189,Phrases!$I:$I,"&lt;&gt;")&gt;0,"ok","à faire")</f>
        <v/>
      </c>
      <c r="I189" s="30">
        <f>IF(COUNTIF(Synonymes!$A:$A,$A189)&gt;0,"ok","")</f>
        <v/>
      </c>
      <c r="J189" s="30">
        <f>COUNTIF(E189:H189,"à faire")</f>
        <v/>
      </c>
    </row>
    <row r="190">
      <c r="A190" s="30" t="inlineStr">
        <is>
          <t>biche</t>
        </is>
      </c>
      <c r="B190" s="30">
        <f>IFERROR(INDEX(Mots!$B:$B,MATCH($A190,Mots!$A:$A,0)),"introuvable")</f>
        <v/>
      </c>
      <c r="C190" s="30">
        <f>IFERROR(INDEX(Mots!$S:$S,MATCH($A190,Mots!$A:$A,0)),"")</f>
        <v/>
      </c>
      <c r="D190" s="30">
        <f>IFERROR(COUNTA(INDEX(Mots!$J:$J,MATCH($A190,Mots!$A:$A,0)):INDEX(Mots!$P:$P,MATCH($A190,Mots!$A:$A,0))),0)</f>
        <v/>
      </c>
      <c r="E190" s="30">
        <f>IF(COUNTIF(Classement!$A:$A,$A190)&gt;0,"ok","à faire")</f>
        <v/>
      </c>
      <c r="F190" s="30">
        <f>IF(COUNTIF(Tags!$A:$A,$A190)&gt;0,"ok","à faire")</f>
        <v/>
      </c>
      <c r="G190" s="30">
        <f>IF(COUNTIF(Phrases!$A:$A,$A190)&gt;0,"ok","à faire")</f>
        <v/>
      </c>
      <c r="H190" s="30">
        <f>IF(COUNTIFS(Phrases!$A:$A,$A190,Phrases!$I:$I,"&lt;&gt;")&gt;0,"ok","à faire")</f>
        <v/>
      </c>
      <c r="I190" s="30">
        <f>IF(COUNTIF(Synonymes!$A:$A,$A190)&gt;0,"ok","")</f>
        <v/>
      </c>
      <c r="J190" s="30">
        <f>COUNTIF(E190:H190,"à faire")</f>
        <v/>
      </c>
    </row>
    <row r="191">
      <c r="A191" s="30" t="inlineStr">
        <is>
          <t>cerf</t>
        </is>
      </c>
      <c r="B191" s="30">
        <f>IFERROR(INDEX(Mots!$B:$B,MATCH($A191,Mots!$A:$A,0)),"introuvable")</f>
        <v/>
      </c>
      <c r="C191" s="30">
        <f>IFERROR(INDEX(Mots!$S:$S,MATCH($A191,Mots!$A:$A,0)),"")</f>
        <v/>
      </c>
      <c r="D191" s="30">
        <f>IFERROR(COUNTA(INDEX(Mots!$J:$J,MATCH($A191,Mots!$A:$A,0)):INDEX(Mots!$P:$P,MATCH($A191,Mots!$A:$A,0))),0)</f>
        <v/>
      </c>
      <c r="E191" s="30">
        <f>IF(COUNTIF(Classement!$A:$A,$A191)&gt;0,"ok","à faire")</f>
        <v/>
      </c>
      <c r="F191" s="30">
        <f>IF(COUNTIF(Tags!$A:$A,$A191)&gt;0,"ok","à faire")</f>
        <v/>
      </c>
      <c r="G191" s="30">
        <f>IF(COUNTIF(Phrases!$A:$A,$A191)&gt;0,"ok","à faire")</f>
        <v/>
      </c>
      <c r="H191" s="30">
        <f>IF(COUNTIFS(Phrases!$A:$A,$A191,Phrases!$I:$I,"&lt;&gt;")&gt;0,"ok","à faire")</f>
        <v/>
      </c>
      <c r="I191" s="30">
        <f>IF(COUNTIF(Synonymes!$A:$A,$A191)&gt;0,"ok","")</f>
        <v/>
      </c>
      <c r="J191" s="30">
        <f>COUNTIF(E191:H191,"à faire")</f>
        <v/>
      </c>
    </row>
    <row r="192">
      <c r="A192" s="30" t="inlineStr">
        <is>
          <t>bouquetin</t>
        </is>
      </c>
      <c r="B192" s="30">
        <f>IFERROR(INDEX(Mots!$B:$B,MATCH($A192,Mots!$A:$A,0)),"introuvable")</f>
        <v/>
      </c>
      <c r="C192" s="30">
        <f>IFERROR(INDEX(Mots!$S:$S,MATCH($A192,Mots!$A:$A,0)),"")</f>
        <v/>
      </c>
      <c r="D192" s="30">
        <f>IFERROR(COUNTA(INDEX(Mots!$J:$J,MATCH($A192,Mots!$A:$A,0)):INDEX(Mots!$P:$P,MATCH($A192,Mots!$A:$A,0))),0)</f>
        <v/>
      </c>
      <c r="E192" s="30">
        <f>IF(COUNTIF(Classement!$A:$A,$A192)&gt;0,"ok","à faire")</f>
        <v/>
      </c>
      <c r="F192" s="30">
        <f>IF(COUNTIF(Tags!$A:$A,$A192)&gt;0,"ok","à faire")</f>
        <v/>
      </c>
      <c r="G192" s="30">
        <f>IF(COUNTIF(Phrases!$A:$A,$A192)&gt;0,"ok","à faire")</f>
        <v/>
      </c>
      <c r="H192" s="30">
        <f>IF(COUNTIFS(Phrases!$A:$A,$A192,Phrases!$I:$I,"&lt;&gt;")&gt;0,"ok","à faire")</f>
        <v/>
      </c>
      <c r="I192" s="30">
        <f>IF(COUNTIF(Synonymes!$A:$A,$A192)&gt;0,"ok","")</f>
        <v/>
      </c>
      <c r="J192" s="30">
        <f>COUNTIF(E192:H192,"à faire")</f>
        <v/>
      </c>
    </row>
    <row r="193">
      <c r="A193" s="30" t="inlineStr">
        <is>
          <t>poisson</t>
        </is>
      </c>
      <c r="B193" s="30">
        <f>IFERROR(INDEX(Mots!$B:$B,MATCH($A193,Mots!$A:$A,0)),"introuvable")</f>
        <v/>
      </c>
      <c r="C193" s="30">
        <f>IFERROR(INDEX(Mots!$S:$S,MATCH($A193,Mots!$A:$A,0)),"")</f>
        <v/>
      </c>
      <c r="D193" s="30">
        <f>IFERROR(COUNTA(INDEX(Mots!$J:$J,MATCH($A193,Mots!$A:$A,0)):INDEX(Mots!$P:$P,MATCH($A193,Mots!$A:$A,0))),0)</f>
        <v/>
      </c>
      <c r="E193" s="30">
        <f>IF(COUNTIF(Classement!$A:$A,$A193)&gt;0,"ok","à faire")</f>
        <v/>
      </c>
      <c r="F193" s="30">
        <f>IF(COUNTIF(Tags!$A:$A,$A193)&gt;0,"ok","à faire")</f>
        <v/>
      </c>
      <c r="G193" s="30">
        <f>IF(COUNTIF(Phrases!$A:$A,$A193)&gt;0,"ok","à faire")</f>
        <v/>
      </c>
      <c r="H193" s="30">
        <f>IF(COUNTIFS(Phrases!$A:$A,$A193,Phrases!$I:$I,"&lt;&gt;")&gt;0,"ok","à faire")</f>
        <v/>
      </c>
      <c r="I193" s="30">
        <f>IF(COUNTIF(Synonymes!$A:$A,$A193)&gt;0,"ok","")</f>
        <v/>
      </c>
      <c r="J193" s="30">
        <f>COUNTIF(E193:H193,"à faire")</f>
        <v/>
      </c>
    </row>
    <row r="194">
      <c r="A194" s="30" t="inlineStr">
        <is>
          <t>serpent</t>
        </is>
      </c>
      <c r="B194" s="30">
        <f>IFERROR(INDEX(Mots!$B:$B,MATCH($A194,Mots!$A:$A,0)),"introuvable")</f>
        <v/>
      </c>
      <c r="C194" s="30">
        <f>IFERROR(INDEX(Mots!$S:$S,MATCH($A194,Mots!$A:$A,0)),"")</f>
        <v/>
      </c>
      <c r="D194" s="30">
        <f>IFERROR(COUNTA(INDEX(Mots!$J:$J,MATCH($A194,Mots!$A:$A,0)):INDEX(Mots!$P:$P,MATCH($A194,Mots!$A:$A,0))),0)</f>
        <v/>
      </c>
      <c r="E194" s="30">
        <f>IF(COUNTIF(Classement!$A:$A,$A194)&gt;0,"ok","à faire")</f>
        <v/>
      </c>
      <c r="F194" s="30">
        <f>IF(COUNTIF(Tags!$A:$A,$A194)&gt;0,"ok","à faire")</f>
        <v/>
      </c>
      <c r="G194" s="30">
        <f>IF(COUNTIF(Phrases!$A:$A,$A194)&gt;0,"ok","à faire")</f>
        <v/>
      </c>
      <c r="H194" s="30">
        <f>IF(COUNTIFS(Phrases!$A:$A,$A194,Phrases!$I:$I,"&lt;&gt;")&gt;0,"ok","à faire")</f>
        <v/>
      </c>
      <c r="I194" s="30">
        <f>IF(COUNTIF(Synonymes!$A:$A,$A194)&gt;0,"ok","")</f>
        <v/>
      </c>
      <c r="J194" s="30">
        <f>COUNTIF(E194:H194,"à faire")</f>
        <v/>
      </c>
    </row>
    <row r="195">
      <c r="A195" s="30" t="inlineStr">
        <is>
          <t>elephant</t>
        </is>
      </c>
      <c r="B195" s="30">
        <f>IFERROR(INDEX(Mots!$B:$B,MATCH($A195,Mots!$A:$A,0)),"introuvable")</f>
        <v/>
      </c>
      <c r="C195" s="30">
        <f>IFERROR(INDEX(Mots!$S:$S,MATCH($A195,Mots!$A:$A,0)),"")</f>
        <v/>
      </c>
      <c r="D195" s="30">
        <f>IFERROR(COUNTA(INDEX(Mots!$J:$J,MATCH($A195,Mots!$A:$A,0)):INDEX(Mots!$P:$P,MATCH($A195,Mots!$A:$A,0))),0)</f>
        <v/>
      </c>
      <c r="E195" s="30">
        <f>IF(COUNTIF(Classement!$A:$A,$A195)&gt;0,"ok","à faire")</f>
        <v/>
      </c>
      <c r="F195" s="30">
        <f>IF(COUNTIF(Tags!$A:$A,$A195)&gt;0,"ok","à faire")</f>
        <v/>
      </c>
      <c r="G195" s="30">
        <f>IF(COUNTIF(Phrases!$A:$A,$A195)&gt;0,"ok","à faire")</f>
        <v/>
      </c>
      <c r="H195" s="30">
        <f>IF(COUNTIFS(Phrases!$A:$A,$A195,Phrases!$I:$I,"&lt;&gt;")&gt;0,"ok","à faire")</f>
        <v/>
      </c>
      <c r="I195" s="30">
        <f>IF(COUNTIF(Synonymes!$A:$A,$A195)&gt;0,"ok","")</f>
        <v/>
      </c>
      <c r="J195" s="30">
        <f>COUNTIF(E195:H195,"à faire")</f>
        <v/>
      </c>
    </row>
    <row r="196">
      <c r="A196" s="30" t="inlineStr">
        <is>
          <t>lion</t>
        </is>
      </c>
      <c r="B196" s="30">
        <f>IFERROR(INDEX(Mots!$B:$B,MATCH($A196,Mots!$A:$A,0)),"introuvable")</f>
        <v/>
      </c>
      <c r="C196" s="30">
        <f>IFERROR(INDEX(Mots!$S:$S,MATCH($A196,Mots!$A:$A,0)),"")</f>
        <v/>
      </c>
      <c r="D196" s="30">
        <f>IFERROR(COUNTA(INDEX(Mots!$J:$J,MATCH($A196,Mots!$A:$A,0)):INDEX(Mots!$P:$P,MATCH($A196,Mots!$A:$A,0))),0)</f>
        <v/>
      </c>
      <c r="E196" s="30">
        <f>IF(COUNTIF(Classement!$A:$A,$A196)&gt;0,"ok","à faire")</f>
        <v/>
      </c>
      <c r="F196" s="30">
        <f>IF(COUNTIF(Tags!$A:$A,$A196)&gt;0,"ok","à faire")</f>
        <v/>
      </c>
      <c r="G196" s="30">
        <f>IF(COUNTIF(Phrases!$A:$A,$A196)&gt;0,"ok","à faire")</f>
        <v/>
      </c>
      <c r="H196" s="30">
        <f>IF(COUNTIFS(Phrases!$A:$A,$A196,Phrases!$I:$I,"&lt;&gt;")&gt;0,"ok","à faire")</f>
        <v/>
      </c>
      <c r="I196" s="30">
        <f>IF(COUNTIF(Synonymes!$A:$A,$A196)&gt;0,"ok","")</f>
        <v/>
      </c>
      <c r="J196" s="30">
        <f>COUNTIF(E196:H196,"à faire")</f>
        <v/>
      </c>
    </row>
    <row r="197">
      <c r="A197" s="30" t="inlineStr">
        <is>
          <t>tigre</t>
        </is>
      </c>
      <c r="B197" s="30">
        <f>IFERROR(INDEX(Mots!$B:$B,MATCH($A197,Mots!$A:$A,0)),"introuvable")</f>
        <v/>
      </c>
      <c r="C197" s="30">
        <f>IFERROR(INDEX(Mots!$S:$S,MATCH($A197,Mots!$A:$A,0)),"")</f>
        <v/>
      </c>
      <c r="D197" s="30">
        <f>IFERROR(COUNTA(INDEX(Mots!$J:$J,MATCH($A197,Mots!$A:$A,0)):INDEX(Mots!$P:$P,MATCH($A197,Mots!$A:$A,0))),0)</f>
        <v/>
      </c>
      <c r="E197" s="30">
        <f>IF(COUNTIF(Classement!$A:$A,$A197)&gt;0,"ok","à faire")</f>
        <v/>
      </c>
      <c r="F197" s="30">
        <f>IF(COUNTIF(Tags!$A:$A,$A197)&gt;0,"ok","à faire")</f>
        <v/>
      </c>
      <c r="G197" s="30">
        <f>IF(COUNTIF(Phrases!$A:$A,$A197)&gt;0,"ok","à faire")</f>
        <v/>
      </c>
      <c r="H197" s="30">
        <f>IF(COUNTIFS(Phrases!$A:$A,$A197,Phrases!$I:$I,"&lt;&gt;")&gt;0,"ok","à faire")</f>
        <v/>
      </c>
      <c r="I197" s="30">
        <f>IF(COUNTIF(Synonymes!$A:$A,$A197)&gt;0,"ok","")</f>
        <v/>
      </c>
      <c r="J197" s="30">
        <f>COUNTIF(E197:H197,"à faire")</f>
        <v/>
      </c>
    </row>
    <row r="198">
      <c r="A198" s="30" t="inlineStr">
        <is>
          <t>fourrure</t>
        </is>
      </c>
      <c r="B198" s="30">
        <f>IFERROR(INDEX(Mots!$B:$B,MATCH($A198,Mots!$A:$A,0)),"introuvable")</f>
        <v/>
      </c>
      <c r="C198" s="30">
        <f>IFERROR(INDEX(Mots!$S:$S,MATCH($A198,Mots!$A:$A,0)),"")</f>
        <v/>
      </c>
      <c r="D198" s="30">
        <f>IFERROR(COUNTA(INDEX(Mots!$J:$J,MATCH($A198,Mots!$A:$A,0)):INDEX(Mots!$P:$P,MATCH($A198,Mots!$A:$A,0))),0)</f>
        <v/>
      </c>
      <c r="E198" s="30">
        <f>IF(COUNTIF(Classement!$A:$A,$A198)&gt;0,"ok","à faire")</f>
        <v/>
      </c>
      <c r="F198" s="30">
        <f>IF(COUNTIF(Tags!$A:$A,$A198)&gt;0,"ok","à faire")</f>
        <v/>
      </c>
      <c r="G198" s="30">
        <f>IF(COUNTIF(Phrases!$A:$A,$A198)&gt;0,"ok","à faire")</f>
        <v/>
      </c>
      <c r="H198" s="30">
        <f>IF(COUNTIFS(Phrases!$A:$A,$A198,Phrases!$I:$I,"&lt;&gt;")&gt;0,"ok","à faire")</f>
        <v/>
      </c>
      <c r="I198" s="30">
        <f>IF(COUNTIF(Synonymes!$A:$A,$A198)&gt;0,"ok","")</f>
        <v/>
      </c>
      <c r="J198" s="30">
        <f>COUNTIF(E198:H198,"à faire")</f>
        <v/>
      </c>
    </row>
    <row r="199">
      <c r="A199" s="30" t="inlineStr">
        <is>
          <t>grenouille</t>
        </is>
      </c>
      <c r="B199" s="30">
        <f>IFERROR(INDEX(Mots!$B:$B,MATCH($A199,Mots!$A:$A,0)),"introuvable")</f>
        <v/>
      </c>
      <c r="C199" s="30">
        <f>IFERROR(INDEX(Mots!$S:$S,MATCH($A199,Mots!$A:$A,0)),"")</f>
        <v/>
      </c>
      <c r="D199" s="30">
        <f>IFERROR(COUNTA(INDEX(Mots!$J:$J,MATCH($A199,Mots!$A:$A,0)):INDEX(Mots!$P:$P,MATCH($A199,Mots!$A:$A,0))),0)</f>
        <v/>
      </c>
      <c r="E199" s="30">
        <f>IF(COUNTIF(Classement!$A:$A,$A199)&gt;0,"ok","à faire")</f>
        <v/>
      </c>
      <c r="F199" s="30">
        <f>IF(COUNTIF(Tags!$A:$A,$A199)&gt;0,"ok","à faire")</f>
        <v/>
      </c>
      <c r="G199" s="30">
        <f>IF(COUNTIF(Phrases!$A:$A,$A199)&gt;0,"ok","à faire")</f>
        <v/>
      </c>
      <c r="H199" s="30">
        <f>IF(COUNTIFS(Phrases!$A:$A,$A199,Phrases!$I:$I,"&lt;&gt;")&gt;0,"ok","à faire")</f>
        <v/>
      </c>
      <c r="I199" s="30">
        <f>IF(COUNTIF(Synonymes!$A:$A,$A199)&gt;0,"ok","")</f>
        <v/>
      </c>
      <c r="J199" s="30">
        <f>COUNTIF(E199:H199,"à faire")</f>
        <v/>
      </c>
    </row>
    <row r="200">
      <c r="A200" s="30" t="inlineStr">
        <is>
          <t>trompe</t>
        </is>
      </c>
      <c r="B200" s="30">
        <f>IFERROR(INDEX(Mots!$B:$B,MATCH($A200,Mots!$A:$A,0)),"introuvable")</f>
        <v/>
      </c>
      <c r="C200" s="30">
        <f>IFERROR(INDEX(Mots!$S:$S,MATCH($A200,Mots!$A:$A,0)),"")</f>
        <v/>
      </c>
      <c r="D200" s="30">
        <f>IFERROR(COUNTA(INDEX(Mots!$J:$J,MATCH($A200,Mots!$A:$A,0)):INDEX(Mots!$P:$P,MATCH($A200,Mots!$A:$A,0))),0)</f>
        <v/>
      </c>
      <c r="E200" s="30">
        <f>IF(COUNTIF(Classement!$A:$A,$A200)&gt;0,"ok","à faire")</f>
        <v/>
      </c>
      <c r="F200" s="30">
        <f>IF(COUNTIF(Tags!$A:$A,$A200)&gt;0,"ok","à faire")</f>
        <v/>
      </c>
      <c r="G200" s="30">
        <f>IF(COUNTIF(Phrases!$A:$A,$A200)&gt;0,"ok","à faire")</f>
        <v/>
      </c>
      <c r="H200" s="30">
        <f>IF(COUNTIFS(Phrases!$A:$A,$A200,Phrases!$I:$I,"&lt;&gt;")&gt;0,"ok","à faire")</f>
        <v/>
      </c>
      <c r="I200" s="30">
        <f>IF(COUNTIF(Synonymes!$A:$A,$A200)&gt;0,"ok","")</f>
        <v/>
      </c>
      <c r="J200" s="30">
        <f>COUNTIF(E200:H200,"à faire")</f>
        <v/>
      </c>
    </row>
    <row r="201">
      <c r="A201" s="30" t="inlineStr">
        <is>
          <t>canard</t>
        </is>
      </c>
      <c r="B201" s="30">
        <f>IFERROR(INDEX(Mots!$B:$B,MATCH($A201,Mots!$A:$A,0)),"introuvable")</f>
        <v/>
      </c>
      <c r="C201" s="30">
        <f>IFERROR(INDEX(Mots!$S:$S,MATCH($A201,Mots!$A:$A,0)),"")</f>
        <v/>
      </c>
      <c r="D201" s="30">
        <f>IFERROR(COUNTA(INDEX(Mots!$J:$J,MATCH($A201,Mots!$A:$A,0)):INDEX(Mots!$P:$P,MATCH($A201,Mots!$A:$A,0))),0)</f>
        <v/>
      </c>
      <c r="E201" s="30">
        <f>IF(COUNTIF(Classement!$A:$A,$A201)&gt;0,"ok","à faire")</f>
        <v/>
      </c>
      <c r="F201" s="30">
        <f>IF(COUNTIF(Tags!$A:$A,$A201)&gt;0,"ok","à faire")</f>
        <v/>
      </c>
      <c r="G201" s="30">
        <f>IF(COUNTIF(Phrases!$A:$A,$A201)&gt;0,"ok","à faire")</f>
        <v/>
      </c>
      <c r="H201" s="30">
        <f>IF(COUNTIFS(Phrases!$A:$A,$A201,Phrases!$I:$I,"&lt;&gt;")&gt;0,"ok","à faire")</f>
        <v/>
      </c>
      <c r="I201" s="30">
        <f>IF(COUNTIF(Synonymes!$A:$A,$A201)&gt;0,"ok","")</f>
        <v/>
      </c>
      <c r="J201" s="30">
        <f>COUNTIF(E201:H201,"à faire")</f>
        <v/>
      </c>
    </row>
    <row r="202">
      <c r="A202" s="30" t="inlineStr">
        <is>
          <t>fauve</t>
        </is>
      </c>
      <c r="B202" s="30">
        <f>IFERROR(INDEX(Mots!$B:$B,MATCH($A202,Mots!$A:$A,0)),"introuvable")</f>
        <v/>
      </c>
      <c r="C202" s="30">
        <f>IFERROR(INDEX(Mots!$S:$S,MATCH($A202,Mots!$A:$A,0)),"")</f>
        <v/>
      </c>
      <c r="D202" s="30">
        <f>IFERROR(COUNTA(INDEX(Mots!$J:$J,MATCH($A202,Mots!$A:$A,0)):INDEX(Mots!$P:$P,MATCH($A202,Mots!$A:$A,0))),0)</f>
        <v/>
      </c>
      <c r="E202" s="30">
        <f>IF(COUNTIF(Classement!$A:$A,$A202)&gt;0,"ok","à faire")</f>
        <v/>
      </c>
      <c r="F202" s="30">
        <f>IF(COUNTIF(Tags!$A:$A,$A202)&gt;0,"ok","à faire")</f>
        <v/>
      </c>
      <c r="G202" s="30">
        <f>IF(COUNTIF(Phrases!$A:$A,$A202)&gt;0,"ok","à faire")</f>
        <v/>
      </c>
      <c r="H202" s="30">
        <f>IF(COUNTIFS(Phrases!$A:$A,$A202,Phrases!$I:$I,"&lt;&gt;")&gt;0,"ok","à faire")</f>
        <v/>
      </c>
      <c r="I202" s="30">
        <f>IF(COUNTIF(Synonymes!$A:$A,$A202)&gt;0,"ok","")</f>
        <v/>
      </c>
      <c r="J202" s="30">
        <f>COUNTIF(E202:H202,"à faire")</f>
        <v/>
      </c>
    </row>
    <row r="203">
      <c r="A203" s="30" t="inlineStr">
        <is>
          <t>renard</t>
        </is>
      </c>
      <c r="B203" s="30">
        <f>IFERROR(INDEX(Mots!$B:$B,MATCH($A203,Mots!$A:$A,0)),"introuvable")</f>
        <v/>
      </c>
      <c r="C203" s="30">
        <f>IFERROR(INDEX(Mots!$S:$S,MATCH($A203,Mots!$A:$A,0)),"")</f>
        <v/>
      </c>
      <c r="D203" s="30">
        <f>IFERROR(COUNTA(INDEX(Mots!$J:$J,MATCH($A203,Mots!$A:$A,0)):INDEX(Mots!$P:$P,MATCH($A203,Mots!$A:$A,0))),0)</f>
        <v/>
      </c>
      <c r="E203" s="30">
        <f>IF(COUNTIF(Classement!$A:$A,$A203)&gt;0,"ok","à faire")</f>
        <v/>
      </c>
      <c r="F203" s="30">
        <f>IF(COUNTIF(Tags!$A:$A,$A203)&gt;0,"ok","à faire")</f>
        <v/>
      </c>
      <c r="G203" s="30">
        <f>IF(COUNTIF(Phrases!$A:$A,$A203)&gt;0,"ok","à faire")</f>
        <v/>
      </c>
      <c r="H203" s="30">
        <f>IF(COUNTIFS(Phrases!$A:$A,$A203,Phrases!$I:$I,"&lt;&gt;")&gt;0,"ok","à faire")</f>
        <v/>
      </c>
      <c r="I203" s="30">
        <f>IF(COUNTIF(Synonymes!$A:$A,$A203)&gt;0,"ok","")</f>
        <v/>
      </c>
      <c r="J203" s="30">
        <f>COUNTIF(E203:H203,"à faire")</f>
        <v/>
      </c>
    </row>
    <row r="204">
      <c r="A204" s="30" t="inlineStr">
        <is>
          <t>singe</t>
        </is>
      </c>
      <c r="B204" s="30">
        <f>IFERROR(INDEX(Mots!$B:$B,MATCH($A204,Mots!$A:$A,0)),"introuvable")</f>
        <v/>
      </c>
      <c r="C204" s="30">
        <f>IFERROR(INDEX(Mots!$S:$S,MATCH($A204,Mots!$A:$A,0)),"")</f>
        <v/>
      </c>
      <c r="D204" s="30">
        <f>IFERROR(COUNTA(INDEX(Mots!$J:$J,MATCH($A204,Mots!$A:$A,0)):INDEX(Mots!$P:$P,MATCH($A204,Mots!$A:$A,0))),0)</f>
        <v/>
      </c>
      <c r="E204" s="30">
        <f>IF(COUNTIF(Classement!$A:$A,$A204)&gt;0,"ok","à faire")</f>
        <v/>
      </c>
      <c r="F204" s="30">
        <f>IF(COUNTIF(Tags!$A:$A,$A204)&gt;0,"ok","à faire")</f>
        <v/>
      </c>
      <c r="G204" s="30">
        <f>IF(COUNTIF(Phrases!$A:$A,$A204)&gt;0,"ok","à faire")</f>
        <v/>
      </c>
      <c r="H204" s="30">
        <f>IF(COUNTIFS(Phrases!$A:$A,$A204,Phrases!$I:$I,"&lt;&gt;")&gt;0,"ok","à faire")</f>
        <v/>
      </c>
      <c r="I204" s="30">
        <f>IF(COUNTIF(Synonymes!$A:$A,$A204)&gt;0,"ok","")</f>
        <v/>
      </c>
      <c r="J204" s="30">
        <f>COUNTIF(E204:H204,"à faire")</f>
        <v/>
      </c>
    </row>
    <row r="205">
      <c r="A205" s="30" t="inlineStr">
        <is>
          <t>ours</t>
        </is>
      </c>
      <c r="B205" s="30">
        <f>IFERROR(INDEX(Mots!$B:$B,MATCH($A205,Mots!$A:$A,0)),"introuvable")</f>
        <v/>
      </c>
      <c r="C205" s="30">
        <f>IFERROR(INDEX(Mots!$S:$S,MATCH($A205,Mots!$A:$A,0)),"")</f>
        <v/>
      </c>
      <c r="D205" s="30">
        <f>IFERROR(COUNTA(INDEX(Mots!$J:$J,MATCH($A205,Mots!$A:$A,0)):INDEX(Mots!$P:$P,MATCH($A205,Mots!$A:$A,0))),0)</f>
        <v/>
      </c>
      <c r="E205" s="30">
        <f>IF(COUNTIF(Classement!$A:$A,$A205)&gt;0,"ok","à faire")</f>
        <v/>
      </c>
      <c r="F205" s="30">
        <f>IF(COUNTIF(Tags!$A:$A,$A205)&gt;0,"ok","à faire")</f>
        <v/>
      </c>
      <c r="G205" s="30">
        <f>IF(COUNTIF(Phrases!$A:$A,$A205)&gt;0,"ok","à faire")</f>
        <v/>
      </c>
      <c r="H205" s="30">
        <f>IF(COUNTIFS(Phrases!$A:$A,$A205,Phrases!$I:$I,"&lt;&gt;")&gt;0,"ok","à faire")</f>
        <v/>
      </c>
      <c r="I205" s="30">
        <f>IF(COUNTIF(Synonymes!$A:$A,$A205)&gt;0,"ok","")</f>
        <v/>
      </c>
      <c r="J205" s="30">
        <f>COUNTIF(E205:H205,"à faire")</f>
        <v/>
      </c>
    </row>
    <row r="206">
      <c r="A206" s="30" t="inlineStr">
        <is>
          <t>sucre</t>
        </is>
      </c>
      <c r="B206" s="30">
        <f>IFERROR(INDEX(Mots!$B:$B,MATCH($A206,Mots!$A:$A,0)),"introuvable")</f>
        <v/>
      </c>
      <c r="C206" s="30">
        <f>IFERROR(INDEX(Mots!$S:$S,MATCH($A206,Mots!$A:$A,0)),"")</f>
        <v/>
      </c>
      <c r="D206" s="30">
        <f>IFERROR(COUNTA(INDEX(Mots!$J:$J,MATCH($A206,Mots!$A:$A,0)):INDEX(Mots!$P:$P,MATCH($A206,Mots!$A:$A,0))),0)</f>
        <v/>
      </c>
      <c r="E206" s="30">
        <f>IF(COUNTIF(Classement!$A:$A,$A206)&gt;0,"ok","à faire")</f>
        <v/>
      </c>
      <c r="F206" s="30">
        <f>IF(COUNTIF(Tags!$A:$A,$A206)&gt;0,"ok","à faire")</f>
        <v/>
      </c>
      <c r="G206" s="30">
        <f>IF(COUNTIF(Phrases!$A:$A,$A206)&gt;0,"ok","à faire")</f>
        <v/>
      </c>
      <c r="H206" s="30">
        <f>IF(COUNTIFS(Phrases!$A:$A,$A206,Phrases!$I:$I,"&lt;&gt;")&gt;0,"ok","à faire")</f>
        <v/>
      </c>
      <c r="I206" s="30">
        <f>IF(COUNTIF(Synonymes!$A:$A,$A206)&gt;0,"ok","")</f>
        <v/>
      </c>
      <c r="J206" s="30">
        <f>COUNTIF(E206:H206,"à faire")</f>
        <v/>
      </c>
    </row>
    <row r="207">
      <c r="A207" s="30" t="inlineStr">
        <is>
          <t>sel</t>
        </is>
      </c>
      <c r="B207" s="30">
        <f>IFERROR(INDEX(Mots!$B:$B,MATCH($A207,Mots!$A:$A,0)),"introuvable")</f>
        <v/>
      </c>
      <c r="C207" s="30">
        <f>IFERROR(INDEX(Mots!$S:$S,MATCH($A207,Mots!$A:$A,0)),"")</f>
        <v/>
      </c>
      <c r="D207" s="30">
        <f>IFERROR(COUNTA(INDEX(Mots!$J:$J,MATCH($A207,Mots!$A:$A,0)):INDEX(Mots!$P:$P,MATCH($A207,Mots!$A:$A,0))),0)</f>
        <v/>
      </c>
      <c r="E207" s="30">
        <f>IF(COUNTIF(Classement!$A:$A,$A207)&gt;0,"ok","à faire")</f>
        <v/>
      </c>
      <c r="F207" s="30">
        <f>IF(COUNTIF(Tags!$A:$A,$A207)&gt;0,"ok","à faire")</f>
        <v/>
      </c>
      <c r="G207" s="30">
        <f>IF(COUNTIF(Phrases!$A:$A,$A207)&gt;0,"ok","à faire")</f>
        <v/>
      </c>
      <c r="H207" s="30">
        <f>IF(COUNTIFS(Phrases!$A:$A,$A207,Phrases!$I:$I,"&lt;&gt;")&gt;0,"ok","à faire")</f>
        <v/>
      </c>
      <c r="I207" s="30">
        <f>IF(COUNTIF(Synonymes!$A:$A,$A207)&gt;0,"ok","")</f>
        <v/>
      </c>
      <c r="J207" s="30">
        <f>COUNTIF(E207:H207,"à faire")</f>
        <v/>
      </c>
    </row>
    <row r="208">
      <c r="A208" s="30" t="inlineStr">
        <is>
          <t>poivre</t>
        </is>
      </c>
      <c r="B208" s="30">
        <f>IFERROR(INDEX(Mots!$B:$B,MATCH($A208,Mots!$A:$A,0)),"introuvable")</f>
        <v/>
      </c>
      <c r="C208" s="30">
        <f>IFERROR(INDEX(Mots!$S:$S,MATCH($A208,Mots!$A:$A,0)),"")</f>
        <v/>
      </c>
      <c r="D208" s="30">
        <f>IFERROR(COUNTA(INDEX(Mots!$J:$J,MATCH($A208,Mots!$A:$A,0)):INDEX(Mots!$P:$P,MATCH($A208,Mots!$A:$A,0))),0)</f>
        <v/>
      </c>
      <c r="E208" s="30">
        <f>IF(COUNTIF(Classement!$A:$A,$A208)&gt;0,"ok","à faire")</f>
        <v/>
      </c>
      <c r="F208" s="30">
        <f>IF(COUNTIF(Tags!$A:$A,$A208)&gt;0,"ok","à faire")</f>
        <v/>
      </c>
      <c r="G208" s="30">
        <f>IF(COUNTIF(Phrases!$A:$A,$A208)&gt;0,"ok","à faire")</f>
        <v/>
      </c>
      <c r="H208" s="30">
        <f>IF(COUNTIFS(Phrases!$A:$A,$A208,Phrases!$I:$I,"&lt;&gt;")&gt;0,"ok","à faire")</f>
        <v/>
      </c>
      <c r="I208" s="30">
        <f>IF(COUNTIF(Synonymes!$A:$A,$A208)&gt;0,"ok","")</f>
        <v/>
      </c>
      <c r="J208" s="30">
        <f>COUNTIF(E208:H208,"à faire")</f>
        <v/>
      </c>
    </row>
    <row r="209">
      <c r="A209" s="30" t="inlineStr">
        <is>
          <t>arome_maggy</t>
        </is>
      </c>
      <c r="B209" s="30">
        <f>IFERROR(INDEX(Mots!$B:$B,MATCH($A209,Mots!$A:$A,0)),"introuvable")</f>
        <v/>
      </c>
      <c r="C209" s="30">
        <f>IFERROR(INDEX(Mots!$S:$S,MATCH($A209,Mots!$A:$A,0)),"")</f>
        <v/>
      </c>
      <c r="D209" s="30">
        <f>IFERROR(COUNTA(INDEX(Mots!$J:$J,MATCH($A209,Mots!$A:$A,0)):INDEX(Mots!$P:$P,MATCH($A209,Mots!$A:$A,0))),0)</f>
        <v/>
      </c>
      <c r="E209" s="30">
        <f>IF(COUNTIF(Classement!$A:$A,$A209)&gt;0,"ok","à faire")</f>
        <v/>
      </c>
      <c r="F209" s="30">
        <f>IF(COUNTIF(Tags!$A:$A,$A209)&gt;0,"ok","à faire")</f>
        <v/>
      </c>
      <c r="G209" s="30">
        <f>IF(COUNTIF(Phrases!$A:$A,$A209)&gt;0,"ok","à faire")</f>
        <v/>
      </c>
      <c r="H209" s="30">
        <f>IF(COUNTIFS(Phrases!$A:$A,$A209,Phrases!$I:$I,"&lt;&gt;")&gt;0,"ok","à faire")</f>
        <v/>
      </c>
      <c r="I209" s="30">
        <f>IF(COUNTIF(Synonymes!$A:$A,$A209)&gt;0,"ok","")</f>
        <v/>
      </c>
      <c r="J209" s="30">
        <f>COUNTIF(E209:H209,"à faire")</f>
        <v/>
      </c>
    </row>
    <row r="210">
      <c r="A210" s="30" t="inlineStr">
        <is>
          <t>curry</t>
        </is>
      </c>
      <c r="B210" s="30">
        <f>IFERROR(INDEX(Mots!$B:$B,MATCH($A210,Mots!$A:$A,0)),"introuvable")</f>
        <v/>
      </c>
      <c r="C210" s="30">
        <f>IFERROR(INDEX(Mots!$S:$S,MATCH($A210,Mots!$A:$A,0)),"")</f>
        <v/>
      </c>
      <c r="D210" s="30">
        <f>IFERROR(COUNTA(INDEX(Mots!$J:$J,MATCH($A210,Mots!$A:$A,0)):INDEX(Mots!$P:$P,MATCH($A210,Mots!$A:$A,0))),0)</f>
        <v/>
      </c>
      <c r="E210" s="30">
        <f>IF(COUNTIF(Classement!$A:$A,$A210)&gt;0,"ok","à faire")</f>
        <v/>
      </c>
      <c r="F210" s="30">
        <f>IF(COUNTIF(Tags!$A:$A,$A210)&gt;0,"ok","à faire")</f>
        <v/>
      </c>
      <c r="G210" s="30">
        <f>IF(COUNTIF(Phrases!$A:$A,$A210)&gt;0,"ok","à faire")</f>
        <v/>
      </c>
      <c r="H210" s="30">
        <f>IF(COUNTIFS(Phrases!$A:$A,$A210,Phrases!$I:$I,"&lt;&gt;")&gt;0,"ok","à faire")</f>
        <v/>
      </c>
      <c r="I210" s="30">
        <f>IF(COUNTIF(Synonymes!$A:$A,$A210)&gt;0,"ok","")</f>
        <v/>
      </c>
      <c r="J210" s="30">
        <f>COUNTIF(E210:H210,"à faire")</f>
        <v/>
      </c>
    </row>
    <row r="211">
      <c r="A211" s="30" t="inlineStr">
        <is>
          <t>assurance_invalidité</t>
        </is>
      </c>
      <c r="B211" s="30">
        <f>IFERROR(INDEX(Mots!$B:$B,MATCH($A211,Mots!$A:$A,0)),"introuvable")</f>
        <v/>
      </c>
      <c r="C211" s="30">
        <f>IFERROR(INDEX(Mots!$S:$S,MATCH($A211,Mots!$A:$A,0)),"")</f>
        <v/>
      </c>
      <c r="D211" s="30">
        <f>IFERROR(COUNTA(INDEX(Mots!$J:$J,MATCH($A211,Mots!$A:$A,0)):INDEX(Mots!$P:$P,MATCH($A211,Mots!$A:$A,0))),0)</f>
        <v/>
      </c>
      <c r="E211" s="30">
        <f>IF(COUNTIF(Classement!$A:$A,$A211)&gt;0,"ok","à faire")</f>
        <v/>
      </c>
      <c r="F211" s="30">
        <f>IF(COUNTIF(Tags!$A:$A,$A211)&gt;0,"ok","à faire")</f>
        <v/>
      </c>
      <c r="G211" s="30">
        <f>IF(COUNTIF(Phrases!$A:$A,$A211)&gt;0,"ok","à faire")</f>
        <v/>
      </c>
      <c r="H211" s="30">
        <f>IF(COUNTIFS(Phrases!$A:$A,$A211,Phrases!$I:$I,"&lt;&gt;")&gt;0,"ok","à faire")</f>
        <v/>
      </c>
      <c r="I211" s="30">
        <f>IF(COUNTIF(Synonymes!$A:$A,$A211)&gt;0,"ok","")</f>
        <v/>
      </c>
      <c r="J211" s="30">
        <f>COUNTIF(E211:H211,"à faire")</f>
        <v/>
      </c>
    </row>
    <row r="212">
      <c r="A212" s="30" t="inlineStr">
        <is>
          <t>caisse_retraite</t>
        </is>
      </c>
      <c r="B212" s="30">
        <f>IFERROR(INDEX(Mots!$B:$B,MATCH($A212,Mots!$A:$A,0)),"introuvable")</f>
        <v/>
      </c>
      <c r="C212" s="30">
        <f>IFERROR(INDEX(Mots!$S:$S,MATCH($A212,Mots!$A:$A,0)),"")</f>
        <v/>
      </c>
      <c r="D212" s="30">
        <f>IFERROR(COUNTA(INDEX(Mots!$J:$J,MATCH($A212,Mots!$A:$A,0)):INDEX(Mots!$P:$P,MATCH($A212,Mots!$A:$A,0))),0)</f>
        <v/>
      </c>
      <c r="E212" s="30">
        <f>IF(COUNTIF(Classement!$A:$A,$A212)&gt;0,"ok","à faire")</f>
        <v/>
      </c>
      <c r="F212" s="30">
        <f>IF(COUNTIF(Tags!$A:$A,$A212)&gt;0,"ok","à faire")</f>
        <v/>
      </c>
      <c r="G212" s="30">
        <f>IF(COUNTIF(Phrases!$A:$A,$A212)&gt;0,"ok","à faire")</f>
        <v/>
      </c>
      <c r="H212" s="30">
        <f>IF(COUNTIFS(Phrases!$A:$A,$A212,Phrases!$I:$I,"&lt;&gt;")&gt;0,"ok","à faire")</f>
        <v/>
      </c>
      <c r="I212" s="30">
        <f>IF(COUNTIF(Synonymes!$A:$A,$A212)&gt;0,"ok","")</f>
        <v/>
      </c>
      <c r="J212" s="30">
        <f>COUNTIF(E212:H212,"à faire")</f>
        <v/>
      </c>
    </row>
    <row r="213">
      <c r="A213" s="30" t="inlineStr">
        <is>
          <t>assurance_maladie</t>
        </is>
      </c>
      <c r="B213" s="30">
        <f>IFERROR(INDEX(Mots!$B:$B,MATCH($A213,Mots!$A:$A,0)),"introuvable")</f>
        <v/>
      </c>
      <c r="C213" s="30">
        <f>IFERROR(INDEX(Mots!$S:$S,MATCH($A213,Mots!$A:$A,0)),"")</f>
        <v/>
      </c>
      <c r="D213" s="30">
        <f>IFERROR(COUNTA(INDEX(Mots!$J:$J,MATCH($A213,Mots!$A:$A,0)):INDEX(Mots!$P:$P,MATCH($A213,Mots!$A:$A,0))),0)</f>
        <v/>
      </c>
      <c r="E213" s="30">
        <f>IF(COUNTIF(Classement!$A:$A,$A213)&gt;0,"ok","à faire")</f>
        <v/>
      </c>
      <c r="F213" s="30">
        <f>IF(COUNTIF(Tags!$A:$A,$A213)&gt;0,"ok","à faire")</f>
        <v/>
      </c>
      <c r="G213" s="30">
        <f>IF(COUNTIF(Phrases!$A:$A,$A213)&gt;0,"ok","à faire")</f>
        <v/>
      </c>
      <c r="H213" s="30">
        <f>IF(COUNTIFS(Phrases!$A:$A,$A213,Phrases!$I:$I,"&lt;&gt;")&gt;0,"ok","à faire")</f>
        <v/>
      </c>
      <c r="I213" s="30">
        <f>IF(COUNTIF(Synonymes!$A:$A,$A213)&gt;0,"ok","")</f>
        <v/>
      </c>
      <c r="J213" s="30">
        <f>COUNTIF(E213:H213,"à faire")</f>
        <v/>
      </c>
    </row>
    <row r="214">
      <c r="A214" s="30" t="inlineStr">
        <is>
          <t>banque_migros</t>
        </is>
      </c>
      <c r="B214" s="30">
        <f>IFERROR(INDEX(Mots!$B:$B,MATCH($A214,Mots!$A:$A,0)),"introuvable")</f>
        <v/>
      </c>
      <c r="C214" s="30">
        <f>IFERROR(INDEX(Mots!$S:$S,MATCH($A214,Mots!$A:$A,0)),"")</f>
        <v/>
      </c>
      <c r="D214" s="30">
        <f>IFERROR(COUNTA(INDEX(Mots!$J:$J,MATCH($A214,Mots!$A:$A,0)):INDEX(Mots!$P:$P,MATCH($A214,Mots!$A:$A,0))),0)</f>
        <v/>
      </c>
      <c r="E214" s="30">
        <f>IF(COUNTIF(Classement!$A:$A,$A214)&gt;0,"ok","à faire")</f>
        <v/>
      </c>
      <c r="F214" s="30">
        <f>IF(COUNTIF(Tags!$A:$A,$A214)&gt;0,"ok","à faire")</f>
        <v/>
      </c>
      <c r="G214" s="30">
        <f>IF(COUNTIF(Phrases!$A:$A,$A214)&gt;0,"ok","à faire")</f>
        <v/>
      </c>
      <c r="H214" s="30">
        <f>IF(COUNTIFS(Phrases!$A:$A,$A214,Phrases!$I:$I,"&lt;&gt;")&gt;0,"ok","à faire")</f>
        <v/>
      </c>
      <c r="I214" s="30">
        <f>IF(COUNTIF(Synonymes!$A:$A,$A214)&gt;0,"ok","")</f>
        <v/>
      </c>
      <c r="J214" s="30">
        <f>COUNTIF(E214:H214,"à faire")</f>
        <v/>
      </c>
    </row>
    <row r="215">
      <c r="A215" s="30" t="inlineStr">
        <is>
          <t>banque_raiffeisen</t>
        </is>
      </c>
      <c r="B215" s="30">
        <f>IFERROR(INDEX(Mots!$B:$B,MATCH($A215,Mots!$A:$A,0)),"introuvable")</f>
        <v/>
      </c>
      <c r="C215" s="30">
        <f>IFERROR(INDEX(Mots!$S:$S,MATCH($A215,Mots!$A:$A,0)),"")</f>
        <v/>
      </c>
      <c r="D215" s="30">
        <f>IFERROR(COUNTA(INDEX(Mots!$J:$J,MATCH($A215,Mots!$A:$A,0)):INDEX(Mots!$P:$P,MATCH($A215,Mots!$A:$A,0))),0)</f>
        <v/>
      </c>
      <c r="E215" s="30">
        <f>IF(COUNTIF(Classement!$A:$A,$A215)&gt;0,"ok","à faire")</f>
        <v/>
      </c>
      <c r="F215" s="30">
        <f>IF(COUNTIF(Tags!$A:$A,$A215)&gt;0,"ok","à faire")</f>
        <v/>
      </c>
      <c r="G215" s="30">
        <f>IF(COUNTIF(Phrases!$A:$A,$A215)&gt;0,"ok","à faire")</f>
        <v/>
      </c>
      <c r="H215" s="30">
        <f>IF(COUNTIFS(Phrases!$A:$A,$A215,Phrases!$I:$I,"&lt;&gt;")&gt;0,"ok","à faire")</f>
        <v/>
      </c>
      <c r="I215" s="30">
        <f>IF(COUNTIF(Synonymes!$A:$A,$A215)&gt;0,"ok","")</f>
        <v/>
      </c>
      <c r="J215" s="30">
        <f>COUNTIF(E215:H215,"à faire")</f>
        <v/>
      </c>
    </row>
    <row r="216">
      <c r="A216" s="30" t="inlineStr">
        <is>
          <t>assurance_mobilière</t>
        </is>
      </c>
      <c r="B216" s="30">
        <f>IFERROR(INDEX(Mots!$B:$B,MATCH($A216,Mots!$A:$A,0)),"introuvable")</f>
        <v/>
      </c>
      <c r="C216" s="30">
        <f>IFERROR(INDEX(Mots!$S:$S,MATCH($A216,Mots!$A:$A,0)),"")</f>
        <v/>
      </c>
      <c r="D216" s="30">
        <f>IFERROR(COUNTA(INDEX(Mots!$J:$J,MATCH($A216,Mots!$A:$A,0)):INDEX(Mots!$P:$P,MATCH($A216,Mots!$A:$A,0))),0)</f>
        <v/>
      </c>
      <c r="E216" s="30">
        <f>IF(COUNTIF(Classement!$A:$A,$A216)&gt;0,"ok","à faire")</f>
        <v/>
      </c>
      <c r="F216" s="30">
        <f>IF(COUNTIF(Tags!$A:$A,$A216)&gt;0,"ok","à faire")</f>
        <v/>
      </c>
      <c r="G216" s="30">
        <f>IF(COUNTIF(Phrases!$A:$A,$A216)&gt;0,"ok","à faire")</f>
        <v/>
      </c>
      <c r="H216" s="30">
        <f>IF(COUNTIFS(Phrases!$A:$A,$A216,Phrases!$I:$I,"&lt;&gt;")&gt;0,"ok","à faire")</f>
        <v/>
      </c>
      <c r="I216" s="30">
        <f>IF(COUNTIF(Synonymes!$A:$A,$A216)&gt;0,"ok","")</f>
        <v/>
      </c>
      <c r="J216" s="30">
        <f>COUNTIF(E216:H216,"à faire")</f>
        <v/>
      </c>
    </row>
    <row r="217">
      <c r="A217" s="30" t="inlineStr">
        <is>
          <t>assurance_Helvetia</t>
        </is>
      </c>
      <c r="B217" s="30">
        <f>IFERROR(INDEX(Mots!$B:$B,MATCH($A217,Mots!$A:$A,0)),"introuvable")</f>
        <v/>
      </c>
      <c r="C217" s="30">
        <f>IFERROR(INDEX(Mots!$S:$S,MATCH($A217,Mots!$A:$A,0)),"")</f>
        <v/>
      </c>
      <c r="D217" s="30">
        <f>IFERROR(COUNTA(INDEX(Mots!$J:$J,MATCH($A217,Mots!$A:$A,0)):INDEX(Mots!$P:$P,MATCH($A217,Mots!$A:$A,0))),0)</f>
        <v/>
      </c>
      <c r="E217" s="30">
        <f>IF(COUNTIF(Classement!$A:$A,$A217)&gt;0,"ok","à faire")</f>
        <v/>
      </c>
      <c r="F217" s="30">
        <f>IF(COUNTIF(Tags!$A:$A,$A217)&gt;0,"ok","à faire")</f>
        <v/>
      </c>
      <c r="G217" s="30">
        <f>IF(COUNTIF(Phrases!$A:$A,$A217)&gt;0,"ok","à faire")</f>
        <v/>
      </c>
      <c r="H217" s="30">
        <f>IF(COUNTIFS(Phrases!$A:$A,$A217,Phrases!$I:$I,"&lt;&gt;")&gt;0,"ok","à faire")</f>
        <v/>
      </c>
      <c r="I217" s="30">
        <f>IF(COUNTIF(Synonymes!$A:$A,$A217)&gt;0,"ok","")</f>
        <v/>
      </c>
      <c r="J217" s="30">
        <f>COUNTIF(E217:H217,"à faire")</f>
        <v/>
      </c>
    </row>
    <row r="218">
      <c r="A218" s="30" t="inlineStr">
        <is>
          <t>carte_débit</t>
        </is>
      </c>
      <c r="B218" s="30">
        <f>IFERROR(INDEX(Mots!$B:$B,MATCH($A218,Mots!$A:$A,0)),"introuvable")</f>
        <v/>
      </c>
      <c r="C218" s="30">
        <f>IFERROR(INDEX(Mots!$S:$S,MATCH($A218,Mots!$A:$A,0)),"")</f>
        <v/>
      </c>
      <c r="D218" s="30">
        <f>IFERROR(COUNTA(INDEX(Mots!$J:$J,MATCH($A218,Mots!$A:$A,0)):INDEX(Mots!$P:$P,MATCH($A218,Mots!$A:$A,0))),0)</f>
        <v/>
      </c>
      <c r="E218" s="30">
        <f>IF(COUNTIF(Classement!$A:$A,$A218)&gt;0,"ok","à faire")</f>
        <v/>
      </c>
      <c r="F218" s="30">
        <f>IF(COUNTIF(Tags!$A:$A,$A218)&gt;0,"ok","à faire")</f>
        <v/>
      </c>
      <c r="G218" s="30">
        <f>IF(COUNTIF(Phrases!$A:$A,$A218)&gt;0,"ok","à faire")</f>
        <v/>
      </c>
      <c r="H218" s="30">
        <f>IF(COUNTIFS(Phrases!$A:$A,$A218,Phrases!$I:$I,"&lt;&gt;")&gt;0,"ok","à faire")</f>
        <v/>
      </c>
      <c r="I218" s="30">
        <f>IF(COUNTIF(Synonymes!$A:$A,$A218)&gt;0,"ok","")</f>
        <v/>
      </c>
      <c r="J218" s="30">
        <f>COUNTIF(E218:H218,"à faire")</f>
        <v/>
      </c>
    </row>
    <row r="219">
      <c r="A219" s="30" t="inlineStr">
        <is>
          <t>pret_hypothecaire</t>
        </is>
      </c>
      <c r="B219" s="30">
        <f>IFERROR(INDEX(Mots!$B:$B,MATCH($A219,Mots!$A:$A,0)),"introuvable")</f>
        <v/>
      </c>
      <c r="C219" s="30">
        <f>IFERROR(INDEX(Mots!$S:$S,MATCH($A219,Mots!$A:$A,0)),"")</f>
        <v/>
      </c>
      <c r="D219" s="30">
        <f>IFERROR(COUNTA(INDEX(Mots!$J:$J,MATCH($A219,Mots!$A:$A,0)):INDEX(Mots!$P:$P,MATCH($A219,Mots!$A:$A,0))),0)</f>
        <v/>
      </c>
      <c r="E219" s="30">
        <f>IF(COUNTIF(Classement!$A:$A,$A219)&gt;0,"ok","à faire")</f>
        <v/>
      </c>
      <c r="F219" s="30">
        <f>IF(COUNTIF(Tags!$A:$A,$A219)&gt;0,"ok","à faire")</f>
        <v/>
      </c>
      <c r="G219" s="30">
        <f>IF(COUNTIF(Phrases!$A:$A,$A219)&gt;0,"ok","à faire")</f>
        <v/>
      </c>
      <c r="H219" s="30">
        <f>IF(COUNTIFS(Phrases!$A:$A,$A219,Phrases!$I:$I,"&lt;&gt;")&gt;0,"ok","à faire")</f>
        <v/>
      </c>
      <c r="I219" s="30">
        <f>IF(COUNTIF(Synonymes!$A:$A,$A219)&gt;0,"ok","")</f>
        <v/>
      </c>
      <c r="J219" s="30">
        <f>COUNTIF(E219:H219,"à faire")</f>
        <v/>
      </c>
    </row>
    <row r="220">
      <c r="A220" s="30" t="inlineStr">
        <is>
          <t>billet_banque</t>
        </is>
      </c>
      <c r="B220" s="30">
        <f>IFERROR(INDEX(Mots!$B:$B,MATCH($A220,Mots!$A:$A,0)),"introuvable")</f>
        <v/>
      </c>
      <c r="C220" s="30">
        <f>IFERROR(INDEX(Mots!$S:$S,MATCH($A220,Mots!$A:$A,0)),"")</f>
        <v/>
      </c>
      <c r="D220" s="30">
        <f>IFERROR(COUNTA(INDEX(Mots!$J:$J,MATCH($A220,Mots!$A:$A,0)):INDEX(Mots!$P:$P,MATCH($A220,Mots!$A:$A,0))),0)</f>
        <v/>
      </c>
      <c r="E220" s="30">
        <f>IF(COUNTIF(Classement!$A:$A,$A220)&gt;0,"ok","à faire")</f>
        <v/>
      </c>
      <c r="F220" s="30">
        <f>IF(COUNTIF(Tags!$A:$A,$A220)&gt;0,"ok","à faire")</f>
        <v/>
      </c>
      <c r="G220" s="30">
        <f>IF(COUNTIF(Phrases!$A:$A,$A220)&gt;0,"ok","à faire")</f>
        <v/>
      </c>
      <c r="H220" s="30">
        <f>IF(COUNTIFS(Phrases!$A:$A,$A220,Phrases!$I:$I,"&lt;&gt;")&gt;0,"ok","à faire")</f>
        <v/>
      </c>
      <c r="I220" s="30">
        <f>IF(COUNTIF(Synonymes!$A:$A,$A220)&gt;0,"ok","")</f>
        <v/>
      </c>
      <c r="J220" s="30">
        <f>COUNTIF(E220:H220,"à faire")</f>
        <v/>
      </c>
    </row>
    <row r="221">
      <c r="A221" s="30" t="inlineStr">
        <is>
          <t>piece_monnaie</t>
        </is>
      </c>
      <c r="B221" s="30">
        <f>IFERROR(INDEX(Mots!$B:$B,MATCH($A221,Mots!$A:$A,0)),"introuvable")</f>
        <v/>
      </c>
      <c r="C221" s="30">
        <f>IFERROR(INDEX(Mots!$S:$S,MATCH($A221,Mots!$A:$A,0)),"")</f>
        <v/>
      </c>
      <c r="D221" s="30">
        <f>IFERROR(COUNTA(INDEX(Mots!$J:$J,MATCH($A221,Mots!$A:$A,0)):INDEX(Mots!$P:$P,MATCH($A221,Mots!$A:$A,0))),0)</f>
        <v/>
      </c>
      <c r="E221" s="30">
        <f>IF(COUNTIF(Classement!$A:$A,$A221)&gt;0,"ok","à faire")</f>
        <v/>
      </c>
      <c r="F221" s="30">
        <f>IF(COUNTIF(Tags!$A:$A,$A221)&gt;0,"ok","à faire")</f>
        <v/>
      </c>
      <c r="G221" s="30">
        <f>IF(COUNTIF(Phrases!$A:$A,$A221)&gt;0,"ok","à faire")</f>
        <v/>
      </c>
      <c r="H221" s="30">
        <f>IF(COUNTIFS(Phrases!$A:$A,$A221,Phrases!$I:$I,"&lt;&gt;")&gt;0,"ok","à faire")</f>
        <v/>
      </c>
      <c r="I221" s="30">
        <f>IF(COUNTIF(Synonymes!$A:$A,$A221)&gt;0,"ok","")</f>
        <v/>
      </c>
      <c r="J221" s="30">
        <f>COUNTIF(E221:H221,"à faire")</f>
        <v/>
      </c>
    </row>
    <row r="222">
      <c r="A222" s="30" t="inlineStr">
        <is>
          <t>code_nip</t>
        </is>
      </c>
      <c r="B222" s="30">
        <f>IFERROR(INDEX(Mots!$B:$B,MATCH($A222,Mots!$A:$A,0)),"introuvable")</f>
        <v/>
      </c>
      <c r="C222" s="30">
        <f>IFERROR(INDEX(Mots!$S:$S,MATCH($A222,Mots!$A:$A,0)),"")</f>
        <v/>
      </c>
      <c r="D222" s="30">
        <f>IFERROR(COUNTA(INDEX(Mots!$J:$J,MATCH($A222,Mots!$A:$A,0)):INDEX(Mots!$P:$P,MATCH($A222,Mots!$A:$A,0))),0)</f>
        <v/>
      </c>
      <c r="E222" s="30">
        <f>IF(COUNTIF(Classement!$A:$A,$A222)&gt;0,"ok","à faire")</f>
        <v/>
      </c>
      <c r="F222" s="30">
        <f>IF(COUNTIF(Tags!$A:$A,$A222)&gt;0,"ok","à faire")</f>
        <v/>
      </c>
      <c r="G222" s="30">
        <f>IF(COUNTIF(Phrases!$A:$A,$A222)&gt;0,"ok","à faire")</f>
        <v/>
      </c>
      <c r="H222" s="30">
        <f>IF(COUNTIFS(Phrases!$A:$A,$A222,Phrases!$I:$I,"&lt;&gt;")&gt;0,"ok","à faire")</f>
        <v/>
      </c>
      <c r="I222" s="30">
        <f>IF(COUNTIF(Synonymes!$A:$A,$A222)&gt;0,"ok","")</f>
        <v/>
      </c>
      <c r="J222" s="30">
        <f>COUNTIF(E222:H222,"à faire")</f>
        <v/>
      </c>
    </row>
    <row r="223">
      <c r="A223" s="30" t="inlineStr">
        <is>
          <t>compte</t>
        </is>
      </c>
      <c r="B223" s="30">
        <f>IFERROR(INDEX(Mots!$B:$B,MATCH($A223,Mots!$A:$A,0)),"introuvable")</f>
        <v/>
      </c>
      <c r="C223" s="30">
        <f>IFERROR(INDEX(Mots!$S:$S,MATCH($A223,Mots!$A:$A,0)),"")</f>
        <v/>
      </c>
      <c r="D223" s="30">
        <f>IFERROR(COUNTA(INDEX(Mots!$J:$J,MATCH($A223,Mots!$A:$A,0)):INDEX(Mots!$P:$P,MATCH($A223,Mots!$A:$A,0))),0)</f>
        <v/>
      </c>
      <c r="E223" s="30">
        <f>IF(COUNTIF(Classement!$A:$A,$A223)&gt;0,"ok","à faire")</f>
        <v/>
      </c>
      <c r="F223" s="30">
        <f>IF(COUNTIF(Tags!$A:$A,$A223)&gt;0,"ok","à faire")</f>
        <v/>
      </c>
      <c r="G223" s="30">
        <f>IF(COUNTIF(Phrases!$A:$A,$A223)&gt;0,"ok","à faire")</f>
        <v/>
      </c>
      <c r="H223" s="30">
        <f>IF(COUNTIFS(Phrases!$A:$A,$A223,Phrases!$I:$I,"&lt;&gt;")&gt;0,"ok","à faire")</f>
        <v/>
      </c>
      <c r="I223" s="30">
        <f>IF(COUNTIF(Synonymes!$A:$A,$A223)&gt;0,"ok","")</f>
        <v/>
      </c>
      <c r="J223" s="30">
        <f>COUNTIF(E223:H223,"à faire")</f>
        <v/>
      </c>
    </row>
    <row r="224">
      <c r="A224" s="30" t="inlineStr">
        <is>
          <t>guichet</t>
        </is>
      </c>
      <c r="B224" s="30">
        <f>IFERROR(INDEX(Mots!$B:$B,MATCH($A224,Mots!$A:$A,0)),"introuvable")</f>
        <v/>
      </c>
      <c r="C224" s="30">
        <f>IFERROR(INDEX(Mots!$S:$S,MATCH($A224,Mots!$A:$A,0)),"")</f>
        <v/>
      </c>
      <c r="D224" s="30">
        <f>IFERROR(COUNTA(INDEX(Mots!$J:$J,MATCH($A224,Mots!$A:$A,0)):INDEX(Mots!$P:$P,MATCH($A224,Mots!$A:$A,0))),0)</f>
        <v/>
      </c>
      <c r="E224" s="30">
        <f>IF(COUNTIF(Classement!$A:$A,$A224)&gt;0,"ok","à faire")</f>
        <v/>
      </c>
      <c r="F224" s="30">
        <f>IF(COUNTIF(Tags!$A:$A,$A224)&gt;0,"ok","à faire")</f>
        <v/>
      </c>
      <c r="G224" s="30">
        <f>IF(COUNTIF(Phrases!$A:$A,$A224)&gt;0,"ok","à faire")</f>
        <v/>
      </c>
      <c r="H224" s="30">
        <f>IF(COUNTIFS(Phrases!$A:$A,$A224,Phrases!$I:$I,"&lt;&gt;")&gt;0,"ok","à faire")</f>
        <v/>
      </c>
      <c r="I224" s="30">
        <f>IF(COUNTIF(Synonymes!$A:$A,$A224)&gt;0,"ok","")</f>
        <v/>
      </c>
      <c r="J224" s="30">
        <f>COUNTIF(E224:H224,"à faire")</f>
        <v/>
      </c>
    </row>
    <row r="225">
      <c r="A225" s="30" t="inlineStr">
        <is>
          <t>retrait</t>
        </is>
      </c>
      <c r="B225" s="30">
        <f>IFERROR(INDEX(Mots!$B:$B,MATCH($A225,Mots!$A:$A,0)),"introuvable")</f>
        <v/>
      </c>
      <c r="C225" s="30">
        <f>IFERROR(INDEX(Mots!$S:$S,MATCH($A225,Mots!$A:$A,0)),"")</f>
        <v/>
      </c>
      <c r="D225" s="30">
        <f>IFERROR(COUNTA(INDEX(Mots!$J:$J,MATCH($A225,Mots!$A:$A,0)):INDEX(Mots!$P:$P,MATCH($A225,Mots!$A:$A,0))),0)</f>
        <v/>
      </c>
      <c r="E225" s="30">
        <f>IF(COUNTIF(Classement!$A:$A,$A225)&gt;0,"ok","à faire")</f>
        <v/>
      </c>
      <c r="F225" s="30">
        <f>IF(COUNTIF(Tags!$A:$A,$A225)&gt;0,"ok","à faire")</f>
        <v/>
      </c>
      <c r="G225" s="30">
        <f>IF(COUNTIF(Phrases!$A:$A,$A225)&gt;0,"ok","à faire")</f>
        <v/>
      </c>
      <c r="H225" s="30">
        <f>IF(COUNTIFS(Phrases!$A:$A,$A225,Phrases!$I:$I,"&lt;&gt;")&gt;0,"ok","à faire")</f>
        <v/>
      </c>
      <c r="I225" s="30">
        <f>IF(COUNTIF(Synonymes!$A:$A,$A225)&gt;0,"ok","")</f>
        <v/>
      </c>
      <c r="J225" s="30">
        <f>COUNTIF(E225:H225,"à faire")</f>
        <v/>
      </c>
    </row>
    <row r="226">
      <c r="A226" s="30" t="inlineStr">
        <is>
          <t>solde</t>
        </is>
      </c>
      <c r="B226" s="30">
        <f>IFERROR(INDEX(Mots!$B:$B,MATCH($A226,Mots!$A:$A,0)),"introuvable")</f>
        <v/>
      </c>
      <c r="C226" s="30">
        <f>IFERROR(INDEX(Mots!$S:$S,MATCH($A226,Mots!$A:$A,0)),"")</f>
        <v/>
      </c>
      <c r="D226" s="30">
        <f>IFERROR(COUNTA(INDEX(Mots!$J:$J,MATCH($A226,Mots!$A:$A,0)):INDEX(Mots!$P:$P,MATCH($A226,Mots!$A:$A,0))),0)</f>
        <v/>
      </c>
      <c r="E226" s="30">
        <f>IF(COUNTIF(Classement!$A:$A,$A226)&gt;0,"ok","à faire")</f>
        <v/>
      </c>
      <c r="F226" s="30">
        <f>IF(COUNTIF(Tags!$A:$A,$A226)&gt;0,"ok","à faire")</f>
        <v/>
      </c>
      <c r="G226" s="30">
        <f>IF(COUNTIF(Phrases!$A:$A,$A226)&gt;0,"ok","à faire")</f>
        <v/>
      </c>
      <c r="H226" s="30">
        <f>IF(COUNTIFS(Phrases!$A:$A,$A226,Phrases!$I:$I,"&lt;&gt;")&gt;0,"ok","à faire")</f>
        <v/>
      </c>
      <c r="I226" s="30">
        <f>IF(COUNTIF(Synonymes!$A:$A,$A226)&gt;0,"ok","")</f>
        <v/>
      </c>
      <c r="J226" s="30">
        <f>COUNTIF(E226:H226,"à faire")</f>
        <v/>
      </c>
    </row>
    <row r="227">
      <c r="A227" s="30" t="inlineStr">
        <is>
          <t>virement</t>
        </is>
      </c>
      <c r="B227" s="30">
        <f>IFERROR(INDEX(Mots!$B:$B,MATCH($A227,Mots!$A:$A,0)),"introuvable")</f>
        <v/>
      </c>
      <c r="C227" s="30">
        <f>IFERROR(INDEX(Mots!$S:$S,MATCH($A227,Mots!$A:$A,0)),"")</f>
        <v/>
      </c>
      <c r="D227" s="30">
        <f>IFERROR(COUNTA(INDEX(Mots!$J:$J,MATCH($A227,Mots!$A:$A,0)):INDEX(Mots!$P:$P,MATCH($A227,Mots!$A:$A,0))),0)</f>
        <v/>
      </c>
      <c r="E227" s="30">
        <f>IF(COUNTIF(Classement!$A:$A,$A227)&gt;0,"ok","à faire")</f>
        <v/>
      </c>
      <c r="F227" s="30">
        <f>IF(COUNTIF(Tags!$A:$A,$A227)&gt;0,"ok","à faire")</f>
        <v/>
      </c>
      <c r="G227" s="30">
        <f>IF(COUNTIF(Phrases!$A:$A,$A227)&gt;0,"ok","à faire")</f>
        <v/>
      </c>
      <c r="H227" s="30">
        <f>IF(COUNTIFS(Phrases!$A:$A,$A227,Phrases!$I:$I,"&lt;&gt;")&gt;0,"ok","à faire")</f>
        <v/>
      </c>
      <c r="I227" s="30">
        <f>IF(COUNTIF(Synonymes!$A:$A,$A227)&gt;0,"ok","")</f>
        <v/>
      </c>
      <c r="J227" s="30">
        <f>COUNTIF(E227:H227,"à faire")</f>
        <v/>
      </c>
    </row>
    <row r="228">
      <c r="A228" s="30" t="inlineStr">
        <is>
          <t>interet</t>
        </is>
      </c>
      <c r="B228" s="30">
        <f>IFERROR(INDEX(Mots!$B:$B,MATCH($A228,Mots!$A:$A,0)),"introuvable")</f>
        <v/>
      </c>
      <c r="C228" s="30">
        <f>IFERROR(INDEX(Mots!$S:$S,MATCH($A228,Mots!$A:$A,0)),"")</f>
        <v/>
      </c>
      <c r="D228" s="30">
        <f>IFERROR(COUNTA(INDEX(Mots!$J:$J,MATCH($A228,Mots!$A:$A,0)):INDEX(Mots!$P:$P,MATCH($A228,Mots!$A:$A,0))),0)</f>
        <v/>
      </c>
      <c r="E228" s="30">
        <f>IF(COUNTIF(Classement!$A:$A,$A228)&gt;0,"ok","à faire")</f>
        <v/>
      </c>
      <c r="F228" s="30">
        <f>IF(COUNTIF(Tags!$A:$A,$A228)&gt;0,"ok","à faire")</f>
        <v/>
      </c>
      <c r="G228" s="30">
        <f>IF(COUNTIF(Phrases!$A:$A,$A228)&gt;0,"ok","à faire")</f>
        <v/>
      </c>
      <c r="H228" s="30">
        <f>IF(COUNTIFS(Phrases!$A:$A,$A228,Phrases!$I:$I,"&lt;&gt;")&gt;0,"ok","à faire")</f>
        <v/>
      </c>
      <c r="I228" s="30">
        <f>IF(COUNTIF(Synonymes!$A:$A,$A228)&gt;0,"ok","")</f>
        <v/>
      </c>
      <c r="J228" s="30">
        <f>COUNTIF(E228:H228,"à faire")</f>
        <v/>
      </c>
    </row>
    <row r="229">
      <c r="A229" s="30" t="inlineStr">
        <is>
          <t>admin_conthey</t>
        </is>
      </c>
      <c r="B229" s="30">
        <f>IFERROR(INDEX(Mots!$B:$B,MATCH($A229,Mots!$A:$A,0)),"introuvable")</f>
        <v/>
      </c>
      <c r="C229" s="30">
        <f>IFERROR(INDEX(Mots!$S:$S,MATCH($A229,Mots!$A:$A,0)),"")</f>
        <v/>
      </c>
      <c r="D229" s="30">
        <f>IFERROR(COUNTA(INDEX(Mots!$J:$J,MATCH($A229,Mots!$A:$A,0)):INDEX(Mots!$P:$P,MATCH($A229,Mots!$A:$A,0))),0)</f>
        <v/>
      </c>
      <c r="E229" s="30">
        <f>IF(COUNTIF(Classement!$A:$A,$A229)&gt;0,"ok","à faire")</f>
        <v/>
      </c>
      <c r="F229" s="30">
        <f>IF(COUNTIF(Tags!$A:$A,$A229)&gt;0,"ok","à faire")</f>
        <v/>
      </c>
      <c r="G229" s="30">
        <f>IF(COUNTIF(Phrases!$A:$A,$A229)&gt;0,"ok","à faire")</f>
        <v/>
      </c>
      <c r="H229" s="30">
        <f>IF(COUNTIFS(Phrases!$A:$A,$A229,Phrases!$I:$I,"&lt;&gt;")&gt;0,"ok","à faire")</f>
        <v/>
      </c>
      <c r="I229" s="30">
        <f>IF(COUNTIF(Synonymes!$A:$A,$A229)&gt;0,"ok","")</f>
        <v/>
      </c>
      <c r="J229" s="30">
        <f>COUNTIF(E229:H229,"à faire")</f>
        <v/>
      </c>
    </row>
    <row r="230">
      <c r="A230" s="30" t="inlineStr">
        <is>
          <t>ecole_erde</t>
        </is>
      </c>
      <c r="B230" s="30">
        <f>IFERROR(INDEX(Mots!$B:$B,MATCH($A230,Mots!$A:$A,0)),"introuvable")</f>
        <v/>
      </c>
      <c r="C230" s="30">
        <f>IFERROR(INDEX(Mots!$S:$S,MATCH($A230,Mots!$A:$A,0)),"")</f>
        <v/>
      </c>
      <c r="D230" s="30">
        <f>IFERROR(COUNTA(INDEX(Mots!$J:$J,MATCH($A230,Mots!$A:$A,0)):INDEX(Mots!$P:$P,MATCH($A230,Mots!$A:$A,0))),0)</f>
        <v/>
      </c>
      <c r="E230" s="30">
        <f>IF(COUNTIF(Classement!$A:$A,$A230)&gt;0,"ok","à faire")</f>
        <v/>
      </c>
      <c r="F230" s="30">
        <f>IF(COUNTIF(Tags!$A:$A,$A230)&gt;0,"ok","à faire")</f>
        <v/>
      </c>
      <c r="G230" s="30">
        <f>IF(COUNTIF(Phrases!$A:$A,$A230)&gt;0,"ok","à faire")</f>
        <v/>
      </c>
      <c r="H230" s="30">
        <f>IF(COUNTIFS(Phrases!$A:$A,$A230,Phrases!$I:$I,"&lt;&gt;")&gt;0,"ok","à faire")</f>
        <v/>
      </c>
      <c r="I230" s="30">
        <f>IF(COUNTIF(Synonymes!$A:$A,$A230)&gt;0,"ok","")</f>
        <v/>
      </c>
      <c r="J230" s="30">
        <f>COUNTIF(E230:H230,"à faire")</f>
        <v/>
      </c>
    </row>
    <row r="231">
      <c r="A231" s="30" t="inlineStr">
        <is>
          <t>eglise</t>
        </is>
      </c>
      <c r="B231" s="30">
        <f>IFERROR(INDEX(Mots!$B:$B,MATCH($A231,Mots!$A:$A,0)),"introuvable")</f>
        <v/>
      </c>
      <c r="C231" s="30">
        <f>IFERROR(INDEX(Mots!$S:$S,MATCH($A231,Mots!$A:$A,0)),"")</f>
        <v/>
      </c>
      <c r="D231" s="30">
        <f>IFERROR(COUNTA(INDEX(Mots!$J:$J,MATCH($A231,Mots!$A:$A,0)):INDEX(Mots!$P:$P,MATCH($A231,Mots!$A:$A,0))),0)</f>
        <v/>
      </c>
      <c r="E231" s="30">
        <f>IF(COUNTIF(Classement!$A:$A,$A231)&gt;0,"ok","à faire")</f>
        <v/>
      </c>
      <c r="F231" s="30">
        <f>IF(COUNTIF(Tags!$A:$A,$A231)&gt;0,"ok","à faire")</f>
        <v/>
      </c>
      <c r="G231" s="30">
        <f>IF(COUNTIF(Phrases!$A:$A,$A231)&gt;0,"ok","à faire")</f>
        <v/>
      </c>
      <c r="H231" s="30">
        <f>IF(COUNTIFS(Phrases!$A:$A,$A231,Phrases!$I:$I,"&lt;&gt;")&gt;0,"ok","à faire")</f>
        <v/>
      </c>
      <c r="I231" s="30">
        <f>IF(COUNTIF(Synonymes!$A:$A,$A231)&gt;0,"ok","")</f>
        <v/>
      </c>
      <c r="J231" s="30">
        <f>COUNTIF(E231:H231,"à faire")</f>
        <v/>
      </c>
    </row>
    <row r="232">
      <c r="A232" s="30" t="inlineStr">
        <is>
          <t>migros</t>
        </is>
      </c>
      <c r="B232" s="30">
        <f>IFERROR(INDEX(Mots!$B:$B,MATCH($A232,Mots!$A:$A,0)),"introuvable")</f>
        <v/>
      </c>
      <c r="C232" s="30">
        <f>IFERROR(INDEX(Mots!$S:$S,MATCH($A232,Mots!$A:$A,0)),"")</f>
        <v/>
      </c>
      <c r="D232" s="30">
        <f>IFERROR(COUNTA(INDEX(Mots!$J:$J,MATCH($A232,Mots!$A:$A,0)):INDEX(Mots!$P:$P,MATCH($A232,Mots!$A:$A,0))),0)</f>
        <v/>
      </c>
      <c r="E232" s="30">
        <f>IF(COUNTIF(Classement!$A:$A,$A232)&gt;0,"ok","à faire")</f>
        <v/>
      </c>
      <c r="F232" s="30">
        <f>IF(COUNTIF(Tags!$A:$A,$A232)&gt;0,"ok","à faire")</f>
        <v/>
      </c>
      <c r="G232" s="30">
        <f>IF(COUNTIF(Phrases!$A:$A,$A232)&gt;0,"ok","à faire")</f>
        <v/>
      </c>
      <c r="H232" s="30">
        <f>IF(COUNTIFS(Phrases!$A:$A,$A232,Phrases!$I:$I,"&lt;&gt;")&gt;0,"ok","à faire")</f>
        <v/>
      </c>
      <c r="I232" s="30">
        <f>IF(COUNTIF(Synonymes!$A:$A,$A232)&gt;0,"ok","")</f>
        <v/>
      </c>
      <c r="J232" s="30">
        <f>COUNTIF(E232:H232,"à faire")</f>
        <v/>
      </c>
    </row>
    <row r="233">
      <c r="A233" s="30" t="inlineStr">
        <is>
          <t>station_service</t>
        </is>
      </c>
      <c r="B233" s="30">
        <f>IFERROR(INDEX(Mots!$B:$B,MATCH($A233,Mots!$A:$A,0)),"introuvable")</f>
        <v/>
      </c>
      <c r="C233" s="30">
        <f>IFERROR(INDEX(Mots!$S:$S,MATCH($A233,Mots!$A:$A,0)),"")</f>
        <v/>
      </c>
      <c r="D233" s="30">
        <f>IFERROR(COUNTA(INDEX(Mots!$J:$J,MATCH($A233,Mots!$A:$A,0)):INDEX(Mots!$P:$P,MATCH($A233,Mots!$A:$A,0))),0)</f>
        <v/>
      </c>
      <c r="E233" s="30">
        <f>IF(COUNTIF(Classement!$A:$A,$A233)&gt;0,"ok","à faire")</f>
        <v/>
      </c>
      <c r="F233" s="30">
        <f>IF(COUNTIF(Tags!$A:$A,$A233)&gt;0,"ok","à faire")</f>
        <v/>
      </c>
      <c r="G233" s="30">
        <f>IF(COUNTIF(Phrases!$A:$A,$A233)&gt;0,"ok","à faire")</f>
        <v/>
      </c>
      <c r="H233" s="30">
        <f>IF(COUNTIFS(Phrases!$A:$A,$A233,Phrases!$I:$I,"&lt;&gt;")&gt;0,"ok","à faire")</f>
        <v/>
      </c>
      <c r="I233" s="30">
        <f>IF(COUNTIF(Synonymes!$A:$A,$A233)&gt;0,"ok","")</f>
        <v/>
      </c>
      <c r="J233" s="30">
        <f>COUNTIF(E233:H233,"à faire")</f>
        <v/>
      </c>
    </row>
    <row r="234">
      <c r="A234" s="30" t="inlineStr">
        <is>
          <t>garage_nord</t>
        </is>
      </c>
      <c r="B234" s="30">
        <f>IFERROR(INDEX(Mots!$B:$B,MATCH($A234,Mots!$A:$A,0)),"introuvable")</f>
        <v/>
      </c>
      <c r="C234" s="30">
        <f>IFERROR(INDEX(Mots!$S:$S,MATCH($A234,Mots!$A:$A,0)),"")</f>
        <v/>
      </c>
      <c r="D234" s="30">
        <f>IFERROR(COUNTA(INDEX(Mots!$J:$J,MATCH($A234,Mots!$A:$A,0)):INDEX(Mots!$P:$P,MATCH($A234,Mots!$A:$A,0))),0)</f>
        <v/>
      </c>
      <c r="E234" s="30">
        <f>IF(COUNTIF(Classement!$A:$A,$A234)&gt;0,"ok","à faire")</f>
        <v/>
      </c>
      <c r="F234" s="30">
        <f>IF(COUNTIF(Tags!$A:$A,$A234)&gt;0,"ok","à faire")</f>
        <v/>
      </c>
      <c r="G234" s="30">
        <f>IF(COUNTIF(Phrases!$A:$A,$A234)&gt;0,"ok","à faire")</f>
        <v/>
      </c>
      <c r="H234" s="30">
        <f>IF(COUNTIFS(Phrases!$A:$A,$A234,Phrases!$I:$I,"&lt;&gt;")&gt;0,"ok","à faire")</f>
        <v/>
      </c>
      <c r="I234" s="30">
        <f>IF(COUNTIF(Synonymes!$A:$A,$A234)&gt;0,"ok","")</f>
        <v/>
      </c>
      <c r="J234" s="30">
        <f>COUNTIF(E234:H234,"à faire")</f>
        <v/>
      </c>
    </row>
    <row r="235">
      <c r="A235" s="30" t="inlineStr">
        <is>
          <t>halle_poly</t>
        </is>
      </c>
      <c r="B235" s="30">
        <f>IFERROR(INDEX(Mots!$B:$B,MATCH($A235,Mots!$A:$A,0)),"introuvable")</f>
        <v/>
      </c>
      <c r="C235" s="30">
        <f>IFERROR(INDEX(Mots!$S:$S,MATCH($A235,Mots!$A:$A,0)),"")</f>
        <v/>
      </c>
      <c r="D235" s="30">
        <f>IFERROR(COUNTA(INDEX(Mots!$J:$J,MATCH($A235,Mots!$A:$A,0)):INDEX(Mots!$P:$P,MATCH($A235,Mots!$A:$A,0))),0)</f>
        <v/>
      </c>
      <c r="E235" s="30">
        <f>IF(COUNTIF(Classement!$A:$A,$A235)&gt;0,"ok","à faire")</f>
        <v/>
      </c>
      <c r="F235" s="30">
        <f>IF(COUNTIF(Tags!$A:$A,$A235)&gt;0,"ok","à faire")</f>
        <v/>
      </c>
      <c r="G235" s="30">
        <f>IF(COUNTIF(Phrases!$A:$A,$A235)&gt;0,"ok","à faire")</f>
        <v/>
      </c>
      <c r="H235" s="30">
        <f>IF(COUNTIFS(Phrases!$A:$A,$A235,Phrases!$I:$I,"&lt;&gt;")&gt;0,"ok","à faire")</f>
        <v/>
      </c>
      <c r="I235" s="30">
        <f>IF(COUNTIF(Synonymes!$A:$A,$A235)&gt;0,"ok","")</f>
        <v/>
      </c>
      <c r="J235" s="30">
        <f>COUNTIF(E235:H235,"à faire")</f>
        <v/>
      </c>
    </row>
    <row r="236">
      <c r="A236" s="30" t="inlineStr">
        <is>
          <t>cafe_sapins</t>
        </is>
      </c>
      <c r="B236" s="30">
        <f>IFERROR(INDEX(Mots!$B:$B,MATCH($A236,Mots!$A:$A,0)),"introuvable")</f>
        <v/>
      </c>
      <c r="C236" s="30">
        <f>IFERROR(INDEX(Mots!$S:$S,MATCH($A236,Mots!$A:$A,0)),"")</f>
        <v/>
      </c>
      <c r="D236" s="30">
        <f>IFERROR(COUNTA(INDEX(Mots!$J:$J,MATCH($A236,Mots!$A:$A,0)):INDEX(Mots!$P:$P,MATCH($A236,Mots!$A:$A,0))),0)</f>
        <v/>
      </c>
      <c r="E236" s="30">
        <f>IF(COUNTIF(Classement!$A:$A,$A236)&gt;0,"ok","à faire")</f>
        <v/>
      </c>
      <c r="F236" s="30">
        <f>IF(COUNTIF(Tags!$A:$A,$A236)&gt;0,"ok","à faire")</f>
        <v/>
      </c>
      <c r="G236" s="30">
        <f>IF(COUNTIF(Phrases!$A:$A,$A236)&gt;0,"ok","à faire")</f>
        <v/>
      </c>
      <c r="H236" s="30">
        <f>IF(COUNTIFS(Phrases!$A:$A,$A236,Phrases!$I:$I,"&lt;&gt;")&gt;0,"ok","à faire")</f>
        <v/>
      </c>
      <c r="I236" s="30">
        <f>IF(COUNTIF(Synonymes!$A:$A,$A236)&gt;0,"ok","")</f>
        <v/>
      </c>
      <c r="J236" s="30">
        <f>COUNTIF(E236:H236,"à faire")</f>
        <v/>
      </c>
    </row>
    <row r="237">
      <c r="A237" s="30" t="inlineStr">
        <is>
          <t>cafe_rangs</t>
        </is>
      </c>
      <c r="B237" s="30">
        <f>IFERROR(INDEX(Mots!$B:$B,MATCH($A237,Mots!$A:$A,0)),"introuvable")</f>
        <v/>
      </c>
      <c r="C237" s="30">
        <f>IFERROR(INDEX(Mots!$S:$S,MATCH($A237,Mots!$A:$A,0)),"")</f>
        <v/>
      </c>
      <c r="D237" s="30">
        <f>IFERROR(COUNTA(INDEX(Mots!$J:$J,MATCH($A237,Mots!$A:$A,0)):INDEX(Mots!$P:$P,MATCH($A237,Mots!$A:$A,0))),0)</f>
        <v/>
      </c>
      <c r="E237" s="30">
        <f>IF(COUNTIF(Classement!$A:$A,$A237)&gt;0,"ok","à faire")</f>
        <v/>
      </c>
      <c r="F237" s="30">
        <f>IF(COUNTIF(Tags!$A:$A,$A237)&gt;0,"ok","à faire")</f>
        <v/>
      </c>
      <c r="G237" s="30">
        <f>IF(COUNTIF(Phrases!$A:$A,$A237)&gt;0,"ok","à faire")</f>
        <v/>
      </c>
      <c r="H237" s="30">
        <f>IF(COUNTIFS(Phrases!$A:$A,$A237,Phrases!$I:$I,"&lt;&gt;")&gt;0,"ok","à faire")</f>
        <v/>
      </c>
      <c r="I237" s="30">
        <f>IF(COUNTIF(Synonymes!$A:$A,$A237)&gt;0,"ok","")</f>
        <v/>
      </c>
      <c r="J237" s="30">
        <f>COUNTIF(E237:H237,"à faire")</f>
        <v/>
      </c>
    </row>
    <row r="238">
      <c r="A238" s="30" t="inlineStr">
        <is>
          <t>resto_sanetsch</t>
        </is>
      </c>
      <c r="B238" s="30">
        <f>IFERROR(INDEX(Mots!$B:$B,MATCH($A238,Mots!$A:$A,0)),"introuvable")</f>
        <v/>
      </c>
      <c r="C238" s="30">
        <f>IFERROR(INDEX(Mots!$S:$S,MATCH($A238,Mots!$A:$A,0)),"")</f>
        <v/>
      </c>
      <c r="D238" s="30">
        <f>IFERROR(COUNTA(INDEX(Mots!$J:$J,MATCH($A238,Mots!$A:$A,0)):INDEX(Mots!$P:$P,MATCH($A238,Mots!$A:$A,0))),0)</f>
        <v/>
      </c>
      <c r="E238" s="30">
        <f>IF(COUNTIF(Classement!$A:$A,$A238)&gt;0,"ok","à faire")</f>
        <v/>
      </c>
      <c r="F238" s="30">
        <f>IF(COUNTIF(Tags!$A:$A,$A238)&gt;0,"ok","à faire")</f>
        <v/>
      </c>
      <c r="G238" s="30">
        <f>IF(COUNTIF(Phrases!$A:$A,$A238)&gt;0,"ok","à faire")</f>
        <v/>
      </c>
      <c r="H238" s="30">
        <f>IF(COUNTIFS(Phrases!$A:$A,$A238,Phrases!$I:$I,"&lt;&gt;")&gt;0,"ok","à faire")</f>
        <v/>
      </c>
      <c r="I238" s="30">
        <f>IF(COUNTIF(Synonymes!$A:$A,$A238)&gt;0,"ok","")</f>
        <v/>
      </c>
      <c r="J238" s="30">
        <f>COUNTIF(E238:H238,"à faire")</f>
        <v/>
      </c>
    </row>
    <row r="239">
      <c r="A239" s="30" t="inlineStr">
        <is>
          <t>hopital_sion</t>
        </is>
      </c>
      <c r="B239" s="30">
        <f>IFERROR(INDEX(Mots!$B:$B,MATCH($A239,Mots!$A:$A,0)),"introuvable")</f>
        <v/>
      </c>
      <c r="C239" s="30">
        <f>IFERROR(INDEX(Mots!$S:$S,MATCH($A239,Mots!$A:$A,0)),"")</f>
        <v/>
      </c>
      <c r="D239" s="30">
        <f>IFERROR(COUNTA(INDEX(Mots!$J:$J,MATCH($A239,Mots!$A:$A,0)):INDEX(Mots!$P:$P,MATCH($A239,Mots!$A:$A,0))),0)</f>
        <v/>
      </c>
      <c r="E239" s="30">
        <f>IF(COUNTIF(Classement!$A:$A,$A239)&gt;0,"ok","à faire")</f>
        <v/>
      </c>
      <c r="F239" s="30">
        <f>IF(COUNTIF(Tags!$A:$A,$A239)&gt;0,"ok","à faire")</f>
        <v/>
      </c>
      <c r="G239" s="30">
        <f>IF(COUNTIF(Phrases!$A:$A,$A239)&gt;0,"ok","à faire")</f>
        <v/>
      </c>
      <c r="H239" s="30">
        <f>IF(COUNTIFS(Phrases!$A:$A,$A239,Phrases!$I:$I,"&lt;&gt;")&gt;0,"ok","à faire")</f>
        <v/>
      </c>
      <c r="I239" s="30">
        <f>IF(COUNTIF(Synonymes!$A:$A,$A239)&gt;0,"ok","")</f>
        <v/>
      </c>
      <c r="J239" s="30">
        <f>COUNTIF(E239:H239,"à faire")</f>
        <v/>
      </c>
    </row>
    <row r="240">
      <c r="A240" s="30" t="inlineStr">
        <is>
          <t>hopital_sierre</t>
        </is>
      </c>
      <c r="B240" s="30">
        <f>IFERROR(INDEX(Mots!$B:$B,MATCH($A240,Mots!$A:$A,0)),"introuvable")</f>
        <v/>
      </c>
      <c r="C240" s="30">
        <f>IFERROR(INDEX(Mots!$S:$S,MATCH($A240,Mots!$A:$A,0)),"")</f>
        <v/>
      </c>
      <c r="D240" s="30">
        <f>IFERROR(COUNTA(INDEX(Mots!$J:$J,MATCH($A240,Mots!$A:$A,0)):INDEX(Mots!$P:$P,MATCH($A240,Mots!$A:$A,0))),0)</f>
        <v/>
      </c>
      <c r="E240" s="30">
        <f>IF(COUNTIF(Classement!$A:$A,$A240)&gt;0,"ok","à faire")</f>
        <v/>
      </c>
      <c r="F240" s="30">
        <f>IF(COUNTIF(Tags!$A:$A,$A240)&gt;0,"ok","à faire")</f>
        <v/>
      </c>
      <c r="G240" s="30">
        <f>IF(COUNTIF(Phrases!$A:$A,$A240)&gt;0,"ok","à faire")</f>
        <v/>
      </c>
      <c r="H240" s="30">
        <f>IF(COUNTIFS(Phrases!$A:$A,$A240,Phrases!$I:$I,"&lt;&gt;")&gt;0,"ok","à faire")</f>
        <v/>
      </c>
      <c r="I240" s="30">
        <f>IF(COUNTIF(Synonymes!$A:$A,$A240)&gt;0,"ok","")</f>
        <v/>
      </c>
      <c r="J240" s="30">
        <f>COUNTIF(E240:H240,"à faire")</f>
        <v/>
      </c>
    </row>
    <row r="241">
      <c r="A241" s="30" t="inlineStr">
        <is>
          <t>gare_sion</t>
        </is>
      </c>
      <c r="B241" s="30">
        <f>IFERROR(INDEX(Mots!$B:$B,MATCH($A241,Mots!$A:$A,0)),"introuvable")</f>
        <v/>
      </c>
      <c r="C241" s="30">
        <f>IFERROR(INDEX(Mots!$S:$S,MATCH($A241,Mots!$A:$A,0)),"")</f>
        <v/>
      </c>
      <c r="D241" s="30">
        <f>IFERROR(COUNTA(INDEX(Mots!$J:$J,MATCH($A241,Mots!$A:$A,0)):INDEX(Mots!$P:$P,MATCH($A241,Mots!$A:$A,0))),0)</f>
        <v/>
      </c>
      <c r="E241" s="30">
        <f>IF(COUNTIF(Classement!$A:$A,$A241)&gt;0,"ok","à faire")</f>
        <v/>
      </c>
      <c r="F241" s="30">
        <f>IF(COUNTIF(Tags!$A:$A,$A241)&gt;0,"ok","à faire")</f>
        <v/>
      </c>
      <c r="G241" s="30">
        <f>IF(COUNTIF(Phrases!$A:$A,$A241)&gt;0,"ok","à faire")</f>
        <v/>
      </c>
      <c r="H241" s="30">
        <f>IF(COUNTIFS(Phrases!$A:$A,$A241,Phrases!$I:$I,"&lt;&gt;")&gt;0,"ok","à faire")</f>
        <v/>
      </c>
      <c r="I241" s="30">
        <f>IF(COUNTIF(Synonymes!$A:$A,$A241)&gt;0,"ok","")</f>
        <v/>
      </c>
      <c r="J241" s="30">
        <f>COUNTIF(E241:H241,"à faire")</f>
        <v/>
      </c>
    </row>
    <row r="242">
      <c r="A242" s="30" t="inlineStr">
        <is>
          <t>gare_routiere_sion</t>
        </is>
      </c>
      <c r="B242" s="30">
        <f>IFERROR(INDEX(Mots!$B:$B,MATCH($A242,Mots!$A:$A,0)),"introuvable")</f>
        <v/>
      </c>
      <c r="C242" s="30">
        <f>IFERROR(INDEX(Mots!$S:$S,MATCH($A242,Mots!$A:$A,0)),"")</f>
        <v/>
      </c>
      <c r="D242" s="30">
        <f>IFERROR(COUNTA(INDEX(Mots!$J:$J,MATCH($A242,Mots!$A:$A,0)):INDEX(Mots!$P:$P,MATCH($A242,Mots!$A:$A,0))),0)</f>
        <v/>
      </c>
      <c r="E242" s="30">
        <f>IF(COUNTIF(Classement!$A:$A,$A242)&gt;0,"ok","à faire")</f>
        <v/>
      </c>
      <c r="F242" s="30">
        <f>IF(COUNTIF(Tags!$A:$A,$A242)&gt;0,"ok","à faire")</f>
        <v/>
      </c>
      <c r="G242" s="30">
        <f>IF(COUNTIF(Phrases!$A:$A,$A242)&gt;0,"ok","à faire")</f>
        <v/>
      </c>
      <c r="H242" s="30">
        <f>IF(COUNTIFS(Phrases!$A:$A,$A242,Phrases!$I:$I,"&lt;&gt;")&gt;0,"ok","à faire")</f>
        <v/>
      </c>
      <c r="I242" s="30">
        <f>IF(COUNTIF(Synonymes!$A:$A,$A242)&gt;0,"ok","")</f>
        <v/>
      </c>
      <c r="J242" s="30">
        <f>COUNTIF(E242:H242,"à faire")</f>
        <v/>
      </c>
    </row>
    <row r="243">
      <c r="A243" s="30" t="inlineStr">
        <is>
          <t>gare</t>
        </is>
      </c>
      <c r="B243" s="30">
        <f>IFERROR(INDEX(Mots!$B:$B,MATCH($A243,Mots!$A:$A,0)),"introuvable")</f>
        <v/>
      </c>
      <c r="C243" s="30">
        <f>IFERROR(INDEX(Mots!$S:$S,MATCH($A243,Mots!$A:$A,0)),"")</f>
        <v/>
      </c>
      <c r="D243" s="30">
        <f>IFERROR(COUNTA(INDEX(Mots!$J:$J,MATCH($A243,Mots!$A:$A,0)):INDEX(Mots!$P:$P,MATCH($A243,Mots!$A:$A,0))),0)</f>
        <v/>
      </c>
      <c r="E243" s="30">
        <f>IF(COUNTIF(Classement!$A:$A,$A243)&gt;0,"ok","à faire")</f>
        <v/>
      </c>
      <c r="F243" s="30">
        <f>IF(COUNTIF(Tags!$A:$A,$A243)&gt;0,"ok","à faire")</f>
        <v/>
      </c>
      <c r="G243" s="30">
        <f>IF(COUNTIF(Phrases!$A:$A,$A243)&gt;0,"ok","à faire")</f>
        <v/>
      </c>
      <c r="H243" s="30">
        <f>IF(COUNTIFS(Phrases!$A:$A,$A243,Phrases!$I:$I,"&lt;&gt;")&gt;0,"ok","à faire")</f>
        <v/>
      </c>
      <c r="I243" s="30">
        <f>IF(COUNTIF(Synonymes!$A:$A,$A243)&gt;0,"ok","")</f>
        <v/>
      </c>
      <c r="J243" s="30">
        <f>COUNTIF(E243:H243,"à faire")</f>
        <v/>
      </c>
    </row>
    <row r="244">
      <c r="A244" s="30" t="inlineStr">
        <is>
          <t>aeroport</t>
        </is>
      </c>
      <c r="B244" s="30">
        <f>IFERROR(INDEX(Mots!$B:$B,MATCH($A244,Mots!$A:$A,0)),"introuvable")</f>
        <v/>
      </c>
      <c r="C244" s="30">
        <f>IFERROR(INDEX(Mots!$S:$S,MATCH($A244,Mots!$A:$A,0)),"")</f>
        <v/>
      </c>
      <c r="D244" s="30">
        <f>IFERROR(COUNTA(INDEX(Mots!$J:$J,MATCH($A244,Mots!$A:$A,0)):INDEX(Mots!$P:$P,MATCH($A244,Mots!$A:$A,0))),0)</f>
        <v/>
      </c>
      <c r="E244" s="30">
        <f>IF(COUNTIF(Classement!$A:$A,$A244)&gt;0,"ok","à faire")</f>
        <v/>
      </c>
      <c r="F244" s="30">
        <f>IF(COUNTIF(Tags!$A:$A,$A244)&gt;0,"ok","à faire")</f>
        <v/>
      </c>
      <c r="G244" s="30">
        <f>IF(COUNTIF(Phrases!$A:$A,$A244)&gt;0,"ok","à faire")</f>
        <v/>
      </c>
      <c r="H244" s="30">
        <f>IF(COUNTIFS(Phrases!$A:$A,$A244,Phrases!$I:$I,"&lt;&gt;")&gt;0,"ok","à faire")</f>
        <v/>
      </c>
      <c r="I244" s="30">
        <f>IF(COUNTIF(Synonymes!$A:$A,$A244)&gt;0,"ok","")</f>
        <v/>
      </c>
      <c r="J244" s="30">
        <f>COUNTIF(E244:H244,"à faire")</f>
        <v/>
      </c>
    </row>
    <row r="245">
      <c r="A245" s="30" t="inlineStr">
        <is>
          <t>musee</t>
        </is>
      </c>
      <c r="B245" s="30">
        <f>IFERROR(INDEX(Mots!$B:$B,MATCH($A245,Mots!$A:$A,0)),"introuvable")</f>
        <v/>
      </c>
      <c r="C245" s="30">
        <f>IFERROR(INDEX(Mots!$S:$S,MATCH($A245,Mots!$A:$A,0)),"")</f>
        <v/>
      </c>
      <c r="D245" s="30">
        <f>IFERROR(COUNTA(INDEX(Mots!$J:$J,MATCH($A245,Mots!$A:$A,0)):INDEX(Mots!$P:$P,MATCH($A245,Mots!$A:$A,0))),0)</f>
        <v/>
      </c>
      <c r="E245" s="30">
        <f>IF(COUNTIF(Classement!$A:$A,$A245)&gt;0,"ok","à faire")</f>
        <v/>
      </c>
      <c r="F245" s="30">
        <f>IF(COUNTIF(Tags!$A:$A,$A245)&gt;0,"ok","à faire")</f>
        <v/>
      </c>
      <c r="G245" s="30">
        <f>IF(COUNTIF(Phrases!$A:$A,$A245)&gt;0,"ok","à faire")</f>
        <v/>
      </c>
      <c r="H245" s="30">
        <f>IF(COUNTIFS(Phrases!$A:$A,$A245,Phrases!$I:$I,"&lt;&gt;")&gt;0,"ok","à faire")</f>
        <v/>
      </c>
      <c r="I245" s="30">
        <f>IF(COUNTIF(Synonymes!$A:$A,$A245)&gt;0,"ok","")</f>
        <v/>
      </c>
      <c r="J245" s="30">
        <f>COUNTIF(E245:H245,"à faire")</f>
        <v/>
      </c>
    </row>
    <row r="246">
      <c r="A246" s="30" t="inlineStr">
        <is>
          <t>biere_limonade</t>
        </is>
      </c>
      <c r="B246" s="30">
        <f>IFERROR(INDEX(Mots!$B:$B,MATCH($A246,Mots!$A:$A,0)),"introuvable")</f>
        <v/>
      </c>
      <c r="C246" s="30">
        <f>IFERROR(INDEX(Mots!$S:$S,MATCH($A246,Mots!$A:$A,0)),"")</f>
        <v/>
      </c>
      <c r="D246" s="30">
        <f>IFERROR(COUNTA(INDEX(Mots!$J:$J,MATCH($A246,Mots!$A:$A,0)):INDEX(Mots!$P:$P,MATCH($A246,Mots!$A:$A,0))),0)</f>
        <v/>
      </c>
      <c r="E246" s="30">
        <f>IF(COUNTIF(Classement!$A:$A,$A246)&gt;0,"ok","à faire")</f>
        <v/>
      </c>
      <c r="F246" s="30">
        <f>IF(COUNTIF(Tags!$A:$A,$A246)&gt;0,"ok","à faire")</f>
        <v/>
      </c>
      <c r="G246" s="30">
        <f>IF(COUNTIF(Phrases!$A:$A,$A246)&gt;0,"ok","à faire")</f>
        <v/>
      </c>
      <c r="H246" s="30">
        <f>IF(COUNTIFS(Phrases!$A:$A,$A246,Phrases!$I:$I,"&lt;&gt;")&gt;0,"ok","à faire")</f>
        <v/>
      </c>
      <c r="I246" s="30">
        <f>IF(COUNTIF(Synonymes!$A:$A,$A246)&gt;0,"ok","")</f>
        <v/>
      </c>
      <c r="J246" s="30">
        <f>COUNTIF(E246:H246,"à faire")</f>
        <v/>
      </c>
    </row>
    <row r="247">
      <c r="A247" s="30" t="inlineStr">
        <is>
          <t>verre_de_vin_rouge</t>
        </is>
      </c>
      <c r="B247" s="30">
        <f>IFERROR(INDEX(Mots!$B:$B,MATCH($A247,Mots!$A:$A,0)),"introuvable")</f>
        <v/>
      </c>
      <c r="C247" s="30">
        <f>IFERROR(INDEX(Mots!$S:$S,MATCH($A247,Mots!$A:$A,0)),"")</f>
        <v/>
      </c>
      <c r="D247" s="30">
        <f>IFERROR(COUNTA(INDEX(Mots!$J:$J,MATCH($A247,Mots!$A:$A,0)):INDEX(Mots!$P:$P,MATCH($A247,Mots!$A:$A,0))),0)</f>
        <v/>
      </c>
      <c r="E247" s="30">
        <f>IF(COUNTIF(Classement!$A:$A,$A247)&gt;0,"ok","à faire")</f>
        <v/>
      </c>
      <c r="F247" s="30">
        <f>IF(COUNTIF(Tags!$A:$A,$A247)&gt;0,"ok","à faire")</f>
        <v/>
      </c>
      <c r="G247" s="30">
        <f>IF(COUNTIF(Phrases!$A:$A,$A247)&gt;0,"ok","à faire")</f>
        <v/>
      </c>
      <c r="H247" s="30">
        <f>IF(COUNTIFS(Phrases!$A:$A,$A247,Phrases!$I:$I,"&lt;&gt;")&gt;0,"ok","à faire")</f>
        <v/>
      </c>
      <c r="I247" s="30">
        <f>IF(COUNTIF(Synonymes!$A:$A,$A247)&gt;0,"ok","")</f>
        <v/>
      </c>
      <c r="J247" s="30">
        <f>COUNTIF(E247:H247,"à faire")</f>
        <v/>
      </c>
    </row>
    <row r="248">
      <c r="A248" s="30" t="inlineStr">
        <is>
          <t>verre_de_vin_blanc</t>
        </is>
      </c>
      <c r="B248" s="30">
        <f>IFERROR(INDEX(Mots!$B:$B,MATCH($A248,Mots!$A:$A,0)),"introuvable")</f>
        <v/>
      </c>
      <c r="C248" s="30">
        <f>IFERROR(INDEX(Mots!$S:$S,MATCH($A248,Mots!$A:$A,0)),"")</f>
        <v/>
      </c>
      <c r="D248" s="30">
        <f>IFERROR(COUNTA(INDEX(Mots!$J:$J,MATCH($A248,Mots!$A:$A,0)):INDEX(Mots!$P:$P,MATCH($A248,Mots!$A:$A,0))),0)</f>
        <v/>
      </c>
      <c r="E248" s="30">
        <f>IF(COUNTIF(Classement!$A:$A,$A248)&gt;0,"ok","à faire")</f>
        <v/>
      </c>
      <c r="F248" s="30">
        <f>IF(COUNTIF(Tags!$A:$A,$A248)&gt;0,"ok","à faire")</f>
        <v/>
      </c>
      <c r="G248" s="30">
        <f>IF(COUNTIF(Phrases!$A:$A,$A248)&gt;0,"ok","à faire")</f>
        <v/>
      </c>
      <c r="H248" s="30">
        <f>IF(COUNTIFS(Phrases!$A:$A,$A248,Phrases!$I:$I,"&lt;&gt;")&gt;0,"ok","à faire")</f>
        <v/>
      </c>
      <c r="I248" s="30">
        <f>IF(COUNTIF(Synonymes!$A:$A,$A248)&gt;0,"ok","")</f>
        <v/>
      </c>
      <c r="J248" s="30">
        <f>COUNTIF(E248:H248,"à faire")</f>
        <v/>
      </c>
    </row>
    <row r="249">
      <c r="A249" s="30" t="inlineStr">
        <is>
          <t>suze_henniez</t>
        </is>
      </c>
      <c r="B249" s="30">
        <f>IFERROR(INDEX(Mots!$B:$B,MATCH($A249,Mots!$A:$A,0)),"introuvable")</f>
        <v/>
      </c>
      <c r="C249" s="30">
        <f>IFERROR(INDEX(Mots!$S:$S,MATCH($A249,Mots!$A:$A,0)),"")</f>
        <v/>
      </c>
      <c r="D249" s="30">
        <f>IFERROR(COUNTA(INDEX(Mots!$J:$J,MATCH($A249,Mots!$A:$A,0)):INDEX(Mots!$P:$P,MATCH($A249,Mots!$A:$A,0))),0)</f>
        <v/>
      </c>
      <c r="E249" s="30">
        <f>IF(COUNTIF(Classement!$A:$A,$A249)&gt;0,"ok","à faire")</f>
        <v/>
      </c>
      <c r="F249" s="30">
        <f>IF(COUNTIF(Tags!$A:$A,$A249)&gt;0,"ok","à faire")</f>
        <v/>
      </c>
      <c r="G249" s="30">
        <f>IF(COUNTIF(Phrases!$A:$A,$A249)&gt;0,"ok","à faire")</f>
        <v/>
      </c>
      <c r="H249" s="30">
        <f>IF(COUNTIFS(Phrases!$A:$A,$A249,Phrases!$I:$I,"&lt;&gt;")&gt;0,"ok","à faire")</f>
        <v/>
      </c>
      <c r="I249" s="30">
        <f>IF(COUNTIF(Synonymes!$A:$A,$A249)&gt;0,"ok","")</f>
        <v/>
      </c>
      <c r="J249" s="30">
        <f>COUNTIF(E249:H249,"à faire")</f>
        <v/>
      </c>
    </row>
    <row r="250">
      <c r="A250" s="30" t="inlineStr">
        <is>
          <t>the</t>
        </is>
      </c>
      <c r="B250" s="30">
        <f>IFERROR(INDEX(Mots!$B:$B,MATCH($A250,Mots!$A:$A,0)),"introuvable")</f>
        <v/>
      </c>
      <c r="C250" s="30">
        <f>IFERROR(INDEX(Mots!$S:$S,MATCH($A250,Mots!$A:$A,0)),"")</f>
        <v/>
      </c>
      <c r="D250" s="30">
        <f>IFERROR(COUNTA(INDEX(Mots!$J:$J,MATCH($A250,Mots!$A:$A,0)):INDEX(Mots!$P:$P,MATCH($A250,Mots!$A:$A,0))),0)</f>
        <v/>
      </c>
      <c r="E250" s="30">
        <f>IF(COUNTIF(Classement!$A:$A,$A250)&gt;0,"ok","à faire")</f>
        <v/>
      </c>
      <c r="F250" s="30">
        <f>IF(COUNTIF(Tags!$A:$A,$A250)&gt;0,"ok","à faire")</f>
        <v/>
      </c>
      <c r="G250" s="30">
        <f>IF(COUNTIF(Phrases!$A:$A,$A250)&gt;0,"ok","à faire")</f>
        <v/>
      </c>
      <c r="H250" s="30">
        <f>IF(COUNTIFS(Phrases!$A:$A,$A250,Phrases!$I:$I,"&lt;&gt;")&gt;0,"ok","à faire")</f>
        <v/>
      </c>
      <c r="I250" s="30">
        <f>IF(COUNTIF(Synonymes!$A:$A,$A250)&gt;0,"ok","")</f>
        <v/>
      </c>
      <c r="J250" s="30">
        <f>COUNTIF(E250:H250,"à faire")</f>
        <v/>
      </c>
    </row>
    <row r="251">
      <c r="A251" s="30" t="inlineStr">
        <is>
          <t>eau_minerale</t>
        </is>
      </c>
      <c r="B251" s="30">
        <f>IFERROR(INDEX(Mots!$B:$B,MATCH($A251,Mots!$A:$A,0)),"introuvable")</f>
        <v/>
      </c>
      <c r="C251" s="30">
        <f>IFERROR(INDEX(Mots!$S:$S,MATCH($A251,Mots!$A:$A,0)),"")</f>
        <v/>
      </c>
      <c r="D251" s="30">
        <f>IFERROR(COUNTA(INDEX(Mots!$J:$J,MATCH($A251,Mots!$A:$A,0)):INDEX(Mots!$P:$P,MATCH($A251,Mots!$A:$A,0))),0)</f>
        <v/>
      </c>
      <c r="E251" s="30">
        <f>IF(COUNTIF(Classement!$A:$A,$A251)&gt;0,"ok","à faire")</f>
        <v/>
      </c>
      <c r="F251" s="30">
        <f>IF(COUNTIF(Tags!$A:$A,$A251)&gt;0,"ok","à faire")</f>
        <v/>
      </c>
      <c r="G251" s="30">
        <f>IF(COUNTIF(Phrases!$A:$A,$A251)&gt;0,"ok","à faire")</f>
        <v/>
      </c>
      <c r="H251" s="30">
        <f>IF(COUNTIFS(Phrases!$A:$A,$A251,Phrases!$I:$I,"&lt;&gt;")&gt;0,"ok","à faire")</f>
        <v/>
      </c>
      <c r="I251" s="30">
        <f>IF(COUNTIF(Synonymes!$A:$A,$A251)&gt;0,"ok","")</f>
        <v/>
      </c>
      <c r="J251" s="30">
        <f>COUNTIF(E251:H251,"à faire")</f>
        <v/>
      </c>
    </row>
    <row r="252">
      <c r="A252" s="30" t="inlineStr">
        <is>
          <t>henniez_cassis</t>
        </is>
      </c>
      <c r="B252" s="30">
        <f>IFERROR(INDEX(Mots!$B:$B,MATCH($A252,Mots!$A:$A,0)),"introuvable")</f>
        <v/>
      </c>
      <c r="C252" s="30">
        <f>IFERROR(INDEX(Mots!$S:$S,MATCH($A252,Mots!$A:$A,0)),"")</f>
        <v/>
      </c>
      <c r="D252" s="30">
        <f>IFERROR(COUNTA(INDEX(Mots!$J:$J,MATCH($A252,Mots!$A:$A,0)):INDEX(Mots!$P:$P,MATCH($A252,Mots!$A:$A,0))),0)</f>
        <v/>
      </c>
      <c r="E252" s="30">
        <f>IF(COUNTIF(Classement!$A:$A,$A252)&gt;0,"ok","à faire")</f>
        <v/>
      </c>
      <c r="F252" s="30">
        <f>IF(COUNTIF(Tags!$A:$A,$A252)&gt;0,"ok","à faire")</f>
        <v/>
      </c>
      <c r="G252" s="30">
        <f>IF(COUNTIF(Phrases!$A:$A,$A252)&gt;0,"ok","à faire")</f>
        <v/>
      </c>
      <c r="H252" s="30">
        <f>IF(COUNTIFS(Phrases!$A:$A,$A252,Phrases!$I:$I,"&lt;&gt;")&gt;0,"ok","à faire")</f>
        <v/>
      </c>
      <c r="I252" s="30">
        <f>IF(COUNTIF(Synonymes!$A:$A,$A252)&gt;0,"ok","")</f>
        <v/>
      </c>
      <c r="J252" s="30">
        <f>COUNTIF(E252:H252,"à faire")</f>
        <v/>
      </c>
    </row>
    <row r="253">
      <c r="A253" s="30" t="inlineStr">
        <is>
          <t>coca_cola</t>
        </is>
      </c>
      <c r="B253" s="30">
        <f>IFERROR(INDEX(Mots!$B:$B,MATCH($A253,Mots!$A:$A,0)),"introuvable")</f>
        <v/>
      </c>
      <c r="C253" s="30">
        <f>IFERROR(INDEX(Mots!$S:$S,MATCH($A253,Mots!$A:$A,0)),"")</f>
        <v/>
      </c>
      <c r="D253" s="30">
        <f>IFERROR(COUNTA(INDEX(Mots!$J:$J,MATCH($A253,Mots!$A:$A,0)):INDEX(Mots!$P:$P,MATCH($A253,Mots!$A:$A,0))),0)</f>
        <v/>
      </c>
      <c r="E253" s="30">
        <f>IF(COUNTIF(Classement!$A:$A,$A253)&gt;0,"ok","à faire")</f>
        <v/>
      </c>
      <c r="F253" s="30">
        <f>IF(COUNTIF(Tags!$A:$A,$A253)&gt;0,"ok","à faire")</f>
        <v/>
      </c>
      <c r="G253" s="30">
        <f>IF(COUNTIF(Phrases!$A:$A,$A253)&gt;0,"ok","à faire")</f>
        <v/>
      </c>
      <c r="H253" s="30">
        <f>IF(COUNTIFS(Phrases!$A:$A,$A253,Phrases!$I:$I,"&lt;&gt;")&gt;0,"ok","à faire")</f>
        <v/>
      </c>
      <c r="I253" s="30">
        <f>IF(COUNTIF(Synonymes!$A:$A,$A253)&gt;0,"ok","")</f>
        <v/>
      </c>
      <c r="J253" s="30">
        <f>COUNTIF(E253:H253,"à faire")</f>
        <v/>
      </c>
    </row>
    <row r="254">
      <c r="A254" s="30" t="inlineStr">
        <is>
          <t>grapefruit</t>
        </is>
      </c>
      <c r="B254" s="30">
        <f>IFERROR(INDEX(Mots!$B:$B,MATCH($A254,Mots!$A:$A,0)),"introuvable")</f>
        <v/>
      </c>
      <c r="C254" s="30">
        <f>IFERROR(INDEX(Mots!$S:$S,MATCH($A254,Mots!$A:$A,0)),"")</f>
        <v/>
      </c>
      <c r="D254" s="30">
        <f>IFERROR(COUNTA(INDEX(Mots!$J:$J,MATCH($A254,Mots!$A:$A,0)):INDEX(Mots!$P:$P,MATCH($A254,Mots!$A:$A,0))),0)</f>
        <v/>
      </c>
      <c r="E254" s="30">
        <f>IF(COUNTIF(Classement!$A:$A,$A254)&gt;0,"ok","à faire")</f>
        <v/>
      </c>
      <c r="F254" s="30">
        <f>IF(COUNTIF(Tags!$A:$A,$A254)&gt;0,"ok","à faire")</f>
        <v/>
      </c>
      <c r="G254" s="30">
        <f>IF(COUNTIF(Phrases!$A:$A,$A254)&gt;0,"ok","à faire")</f>
        <v/>
      </c>
      <c r="H254" s="30">
        <f>IF(COUNTIFS(Phrases!$A:$A,$A254,Phrases!$I:$I,"&lt;&gt;")&gt;0,"ok","à faire")</f>
        <v/>
      </c>
      <c r="I254" s="30">
        <f>IF(COUNTIF(Synonymes!$A:$A,$A254)&gt;0,"ok","")</f>
        <v/>
      </c>
      <c r="J254" s="30">
        <f>COUNTIF(E254:H254,"à faire")</f>
        <v/>
      </c>
    </row>
    <row r="255">
      <c r="A255" s="30" t="inlineStr">
        <is>
          <t>jus_de_pomme</t>
        </is>
      </c>
      <c r="B255" s="30">
        <f>IFERROR(INDEX(Mots!$B:$B,MATCH($A255,Mots!$A:$A,0)),"introuvable")</f>
        <v/>
      </c>
      <c r="C255" s="30">
        <f>IFERROR(INDEX(Mots!$S:$S,MATCH($A255,Mots!$A:$A,0)),"")</f>
        <v/>
      </c>
      <c r="D255" s="30">
        <f>IFERROR(COUNTA(INDEX(Mots!$J:$J,MATCH($A255,Mots!$A:$A,0)):INDEX(Mots!$P:$P,MATCH($A255,Mots!$A:$A,0))),0)</f>
        <v/>
      </c>
      <c r="E255" s="30">
        <f>IF(COUNTIF(Classement!$A:$A,$A255)&gt;0,"ok","à faire")</f>
        <v/>
      </c>
      <c r="F255" s="30">
        <f>IF(COUNTIF(Tags!$A:$A,$A255)&gt;0,"ok","à faire")</f>
        <v/>
      </c>
      <c r="G255" s="30">
        <f>IF(COUNTIF(Phrases!$A:$A,$A255)&gt;0,"ok","à faire")</f>
        <v/>
      </c>
      <c r="H255" s="30">
        <f>IF(COUNTIFS(Phrases!$A:$A,$A255,Phrases!$I:$I,"&lt;&gt;")&gt;0,"ok","à faire")</f>
        <v/>
      </c>
      <c r="I255" s="30">
        <f>IF(COUNTIF(Synonymes!$A:$A,$A255)&gt;0,"ok","")</f>
        <v/>
      </c>
      <c r="J255" s="30">
        <f>COUNTIF(E255:H255,"à faire")</f>
        <v/>
      </c>
    </row>
    <row r="256">
      <c r="A256" s="30" t="inlineStr">
        <is>
          <t>jus_dorange</t>
        </is>
      </c>
      <c r="B256" s="30">
        <f>IFERROR(INDEX(Mots!$B:$B,MATCH($A256,Mots!$A:$A,0)),"introuvable")</f>
        <v/>
      </c>
      <c r="C256" s="30">
        <f>IFERROR(INDEX(Mots!$S:$S,MATCH($A256,Mots!$A:$A,0)),"")</f>
        <v/>
      </c>
      <c r="D256" s="30">
        <f>IFERROR(COUNTA(INDEX(Mots!$J:$J,MATCH($A256,Mots!$A:$A,0)):INDEX(Mots!$P:$P,MATCH($A256,Mots!$A:$A,0))),0)</f>
        <v/>
      </c>
      <c r="E256" s="30">
        <f>IF(COUNTIF(Classement!$A:$A,$A256)&gt;0,"ok","à faire")</f>
        <v/>
      </c>
      <c r="F256" s="30">
        <f>IF(COUNTIF(Tags!$A:$A,$A256)&gt;0,"ok","à faire")</f>
        <v/>
      </c>
      <c r="G256" s="30">
        <f>IF(COUNTIF(Phrases!$A:$A,$A256)&gt;0,"ok","à faire")</f>
        <v/>
      </c>
      <c r="H256" s="30">
        <f>IF(COUNTIFS(Phrases!$A:$A,$A256,Phrases!$I:$I,"&lt;&gt;")&gt;0,"ok","à faire")</f>
        <v/>
      </c>
      <c r="I256" s="30">
        <f>IF(COUNTIF(Synonymes!$A:$A,$A256)&gt;0,"ok","")</f>
        <v/>
      </c>
      <c r="J256" s="30">
        <f>COUNTIF(E256:H256,"à faire")</f>
        <v/>
      </c>
    </row>
    <row r="257">
      <c r="A257" s="30" t="inlineStr">
        <is>
          <t>sprite</t>
        </is>
      </c>
      <c r="B257" s="30">
        <f>IFERROR(INDEX(Mots!$B:$B,MATCH($A257,Mots!$A:$A,0)),"introuvable")</f>
        <v/>
      </c>
      <c r="C257" s="30">
        <f>IFERROR(INDEX(Mots!$S:$S,MATCH($A257,Mots!$A:$A,0)),"")</f>
        <v/>
      </c>
      <c r="D257" s="30">
        <f>IFERROR(COUNTA(INDEX(Mots!$J:$J,MATCH($A257,Mots!$A:$A,0)):INDEX(Mots!$P:$P,MATCH($A257,Mots!$A:$A,0))),0)</f>
        <v/>
      </c>
      <c r="E257" s="30">
        <f>IF(COUNTIF(Classement!$A:$A,$A257)&gt;0,"ok","à faire")</f>
        <v/>
      </c>
      <c r="F257" s="30">
        <f>IF(COUNTIF(Tags!$A:$A,$A257)&gt;0,"ok","à faire")</f>
        <v/>
      </c>
      <c r="G257" s="30">
        <f>IF(COUNTIF(Phrases!$A:$A,$A257)&gt;0,"ok","à faire")</f>
        <v/>
      </c>
      <c r="H257" s="30">
        <f>IF(COUNTIFS(Phrases!$A:$A,$A257,Phrases!$I:$I,"&lt;&gt;")&gt;0,"ok","à faire")</f>
        <v/>
      </c>
      <c r="I257" s="30">
        <f>IF(COUNTIF(Synonymes!$A:$A,$A257)&gt;0,"ok","")</f>
        <v/>
      </c>
      <c r="J257" s="30">
        <f>COUNTIF(E257:H257,"à faire")</f>
        <v/>
      </c>
    </row>
    <row r="258">
      <c r="A258" s="30" t="inlineStr">
        <is>
          <t>sirop</t>
        </is>
      </c>
      <c r="B258" s="30">
        <f>IFERROR(INDEX(Mots!$B:$B,MATCH($A258,Mots!$A:$A,0)),"introuvable")</f>
        <v/>
      </c>
      <c r="C258" s="30">
        <f>IFERROR(INDEX(Mots!$S:$S,MATCH($A258,Mots!$A:$A,0)),"")</f>
        <v/>
      </c>
      <c r="D258" s="30">
        <f>IFERROR(COUNTA(INDEX(Mots!$J:$J,MATCH($A258,Mots!$A:$A,0)):INDEX(Mots!$P:$P,MATCH($A258,Mots!$A:$A,0))),0)</f>
        <v/>
      </c>
      <c r="E258" s="30">
        <f>IF(COUNTIF(Classement!$A:$A,$A258)&gt;0,"ok","à faire")</f>
        <v/>
      </c>
      <c r="F258" s="30">
        <f>IF(COUNTIF(Tags!$A:$A,$A258)&gt;0,"ok","à faire")</f>
        <v/>
      </c>
      <c r="G258" s="30">
        <f>IF(COUNTIF(Phrases!$A:$A,$A258)&gt;0,"ok","à faire")</f>
        <v/>
      </c>
      <c r="H258" s="30">
        <f>IF(COUNTIFS(Phrases!$A:$A,$A258,Phrases!$I:$I,"&lt;&gt;")&gt;0,"ok","à faire")</f>
        <v/>
      </c>
      <c r="I258" s="30">
        <f>IF(COUNTIF(Synonymes!$A:$A,$A258)&gt;0,"ok","")</f>
        <v/>
      </c>
      <c r="J258" s="30">
        <f>COUNTIF(E258:H258,"à faire")</f>
        <v/>
      </c>
    </row>
    <row r="259">
      <c r="A259" s="30" t="inlineStr">
        <is>
          <t>baskets</t>
        </is>
      </c>
      <c r="B259" s="30">
        <f>IFERROR(INDEX(Mots!$B:$B,MATCH($A259,Mots!$A:$A,0)),"introuvable")</f>
        <v/>
      </c>
      <c r="C259" s="30">
        <f>IFERROR(INDEX(Mots!$S:$S,MATCH($A259,Mots!$A:$A,0)),"")</f>
        <v/>
      </c>
      <c r="D259" s="30">
        <f>IFERROR(COUNTA(INDEX(Mots!$J:$J,MATCH($A259,Mots!$A:$A,0)):INDEX(Mots!$P:$P,MATCH($A259,Mots!$A:$A,0))),0)</f>
        <v/>
      </c>
      <c r="E259" s="30">
        <f>IF(COUNTIF(Classement!$A:$A,$A259)&gt;0,"ok","à faire")</f>
        <v/>
      </c>
      <c r="F259" s="30">
        <f>IF(COUNTIF(Tags!$A:$A,$A259)&gt;0,"ok","à faire")</f>
        <v/>
      </c>
      <c r="G259" s="30">
        <f>IF(COUNTIF(Phrases!$A:$A,$A259)&gt;0,"ok","à faire")</f>
        <v/>
      </c>
      <c r="H259" s="30">
        <f>IF(COUNTIFS(Phrases!$A:$A,$A259,Phrases!$I:$I,"&lt;&gt;")&gt;0,"ok","à faire")</f>
        <v/>
      </c>
      <c r="I259" s="30">
        <f>IF(COUNTIF(Synonymes!$A:$A,$A259)&gt;0,"ok","")</f>
        <v/>
      </c>
      <c r="J259" s="30">
        <f>COUNTIF(E259:H259,"à faire")</f>
        <v/>
      </c>
    </row>
    <row r="260">
      <c r="A260" s="30" t="inlineStr">
        <is>
          <t>souliers</t>
        </is>
      </c>
      <c r="B260" s="30">
        <f>IFERROR(INDEX(Mots!$B:$B,MATCH($A260,Mots!$A:$A,0)),"introuvable")</f>
        <v/>
      </c>
      <c r="C260" s="30">
        <f>IFERROR(INDEX(Mots!$S:$S,MATCH($A260,Mots!$A:$A,0)),"")</f>
        <v/>
      </c>
      <c r="D260" s="30">
        <f>IFERROR(COUNTA(INDEX(Mots!$J:$J,MATCH($A260,Mots!$A:$A,0)):INDEX(Mots!$P:$P,MATCH($A260,Mots!$A:$A,0))),0)</f>
        <v/>
      </c>
      <c r="E260" s="30">
        <f>IF(COUNTIF(Classement!$A:$A,$A260)&gt;0,"ok","à faire")</f>
        <v/>
      </c>
      <c r="F260" s="30">
        <f>IF(COUNTIF(Tags!$A:$A,$A260)&gt;0,"ok","à faire")</f>
        <v/>
      </c>
      <c r="G260" s="30">
        <f>IF(COUNTIF(Phrases!$A:$A,$A260)&gt;0,"ok","à faire")</f>
        <v/>
      </c>
      <c r="H260" s="30">
        <f>IF(COUNTIFS(Phrases!$A:$A,$A260,Phrases!$I:$I,"&lt;&gt;")&gt;0,"ok","à faire")</f>
        <v/>
      </c>
      <c r="I260" s="30">
        <f>IF(COUNTIF(Synonymes!$A:$A,$A260)&gt;0,"ok","")</f>
        <v/>
      </c>
      <c r="J260" s="30">
        <f>COUNTIF(E260:H260,"à faire")</f>
        <v/>
      </c>
    </row>
    <row r="261">
      <c r="A261" s="30" t="inlineStr">
        <is>
          <t>bottillons</t>
        </is>
      </c>
      <c r="B261" s="30">
        <f>IFERROR(INDEX(Mots!$B:$B,MATCH($A261,Mots!$A:$A,0)),"introuvable")</f>
        <v/>
      </c>
      <c r="C261" s="30">
        <f>IFERROR(INDEX(Mots!$S:$S,MATCH($A261,Mots!$A:$A,0)),"")</f>
        <v/>
      </c>
      <c r="D261" s="30">
        <f>IFERROR(COUNTA(INDEX(Mots!$J:$J,MATCH($A261,Mots!$A:$A,0)):INDEX(Mots!$P:$P,MATCH($A261,Mots!$A:$A,0))),0)</f>
        <v/>
      </c>
      <c r="E261" s="30">
        <f>IF(COUNTIF(Classement!$A:$A,$A261)&gt;0,"ok","à faire")</f>
        <v/>
      </c>
      <c r="F261" s="30">
        <f>IF(COUNTIF(Tags!$A:$A,$A261)&gt;0,"ok","à faire")</f>
        <v/>
      </c>
      <c r="G261" s="30">
        <f>IF(COUNTIF(Phrases!$A:$A,$A261)&gt;0,"ok","à faire")</f>
        <v/>
      </c>
      <c r="H261" s="30">
        <f>IF(COUNTIFS(Phrases!$A:$A,$A261,Phrases!$I:$I,"&lt;&gt;")&gt;0,"ok","à faire")</f>
        <v/>
      </c>
      <c r="I261" s="30">
        <f>IF(COUNTIF(Synonymes!$A:$A,$A261)&gt;0,"ok","")</f>
        <v/>
      </c>
      <c r="J261" s="30">
        <f>COUNTIF(E261:H261,"à faire")</f>
        <v/>
      </c>
    </row>
    <row r="262">
      <c r="A262" s="30" t="inlineStr">
        <is>
          <t>viande</t>
        </is>
      </c>
      <c r="B262" s="30">
        <f>IFERROR(INDEX(Mots!$B:$B,MATCH($A262,Mots!$A:$A,0)),"introuvable")</f>
        <v/>
      </c>
      <c r="C262" s="30">
        <f>IFERROR(INDEX(Mots!$S:$S,MATCH($A262,Mots!$A:$A,0)),"")</f>
        <v/>
      </c>
      <c r="D262" s="30">
        <f>IFERROR(COUNTA(INDEX(Mots!$J:$J,MATCH($A262,Mots!$A:$A,0)):INDEX(Mots!$P:$P,MATCH($A262,Mots!$A:$A,0))),0)</f>
        <v/>
      </c>
      <c r="E262" s="30">
        <f>IF(COUNTIF(Classement!$A:$A,$A262)&gt;0,"ok","à faire")</f>
        <v/>
      </c>
      <c r="F262" s="30">
        <f>IF(COUNTIF(Tags!$A:$A,$A262)&gt;0,"ok","à faire")</f>
        <v/>
      </c>
      <c r="G262" s="30">
        <f>IF(COUNTIF(Phrases!$A:$A,$A262)&gt;0,"ok","à faire")</f>
        <v/>
      </c>
      <c r="H262" s="30">
        <f>IF(COUNTIFS(Phrases!$A:$A,$A262,Phrases!$I:$I,"&lt;&gt;")&gt;0,"ok","à faire")</f>
        <v/>
      </c>
      <c r="I262" s="30">
        <f>IF(COUNTIF(Synonymes!$A:$A,$A262)&gt;0,"ok","")</f>
        <v/>
      </c>
      <c r="J262" s="30">
        <f>COUNTIF(E262:H262,"à faire")</f>
        <v/>
      </c>
    </row>
    <row r="263">
      <c r="A263" s="30" t="inlineStr">
        <is>
          <t>lait</t>
        </is>
      </c>
      <c r="B263" s="30">
        <f>IFERROR(INDEX(Mots!$B:$B,MATCH($A263,Mots!$A:$A,0)),"introuvable")</f>
        <v/>
      </c>
      <c r="C263" s="30">
        <f>IFERROR(INDEX(Mots!$S:$S,MATCH($A263,Mots!$A:$A,0)),"")</f>
        <v/>
      </c>
      <c r="D263" s="30">
        <f>IFERROR(COUNTA(INDEX(Mots!$J:$J,MATCH($A263,Mots!$A:$A,0)):INDEX(Mots!$P:$P,MATCH($A263,Mots!$A:$A,0))),0)</f>
        <v/>
      </c>
      <c r="E263" s="30">
        <f>IF(COUNTIF(Classement!$A:$A,$A263)&gt;0,"ok","à faire")</f>
        <v/>
      </c>
      <c r="F263" s="30">
        <f>IF(COUNTIF(Tags!$A:$A,$A263)&gt;0,"ok","à faire")</f>
        <v/>
      </c>
      <c r="G263" s="30">
        <f>IF(COUNTIF(Phrases!$A:$A,$A263)&gt;0,"ok","à faire")</f>
        <v/>
      </c>
      <c r="H263" s="30">
        <f>IF(COUNTIFS(Phrases!$A:$A,$A263,Phrases!$I:$I,"&lt;&gt;")&gt;0,"ok","à faire")</f>
        <v/>
      </c>
      <c r="I263" s="30">
        <f>IF(COUNTIF(Synonymes!$A:$A,$A263)&gt;0,"ok","")</f>
        <v/>
      </c>
      <c r="J263" s="30">
        <f>COUNTIF(E263:H263,"à faire")</f>
        <v/>
      </c>
    </row>
    <row r="264">
      <c r="A264" s="30" t="inlineStr">
        <is>
          <t>huile</t>
        </is>
      </c>
      <c r="B264" s="30">
        <f>IFERROR(INDEX(Mots!$B:$B,MATCH($A264,Mots!$A:$A,0)),"introuvable")</f>
        <v/>
      </c>
      <c r="C264" s="30">
        <f>IFERROR(INDEX(Mots!$S:$S,MATCH($A264,Mots!$A:$A,0)),"")</f>
        <v/>
      </c>
      <c r="D264" s="30">
        <f>IFERROR(COUNTA(INDEX(Mots!$J:$J,MATCH($A264,Mots!$A:$A,0)):INDEX(Mots!$P:$P,MATCH($A264,Mots!$A:$A,0))),0)</f>
        <v/>
      </c>
      <c r="E264" s="30">
        <f>IF(COUNTIF(Classement!$A:$A,$A264)&gt;0,"ok","à faire")</f>
        <v/>
      </c>
      <c r="F264" s="30">
        <f>IF(COUNTIF(Tags!$A:$A,$A264)&gt;0,"ok","à faire")</f>
        <v/>
      </c>
      <c r="G264" s="30">
        <f>IF(COUNTIF(Phrases!$A:$A,$A264)&gt;0,"ok","à faire")</f>
        <v/>
      </c>
      <c r="H264" s="30">
        <f>IF(COUNTIFS(Phrases!$A:$A,$A264,Phrases!$I:$I,"&lt;&gt;")&gt;0,"ok","à faire")</f>
        <v/>
      </c>
      <c r="I264" s="30">
        <f>IF(COUNTIF(Synonymes!$A:$A,$A264)&gt;0,"ok","")</f>
        <v/>
      </c>
      <c r="J264" s="30">
        <f>COUNTIF(E264:H264,"à faire")</f>
        <v/>
      </c>
    </row>
    <row r="265">
      <c r="A265" s="30" t="inlineStr">
        <is>
          <t>oeuf</t>
        </is>
      </c>
      <c r="B265" s="30">
        <f>IFERROR(INDEX(Mots!$B:$B,MATCH($A265,Mots!$A:$A,0)),"introuvable")</f>
        <v/>
      </c>
      <c r="C265" s="30">
        <f>IFERROR(INDEX(Mots!$S:$S,MATCH($A265,Mots!$A:$A,0)),"")</f>
        <v/>
      </c>
      <c r="D265" s="30">
        <f>IFERROR(COUNTA(INDEX(Mots!$J:$J,MATCH($A265,Mots!$A:$A,0)):INDEX(Mots!$P:$P,MATCH($A265,Mots!$A:$A,0))),0)</f>
        <v/>
      </c>
      <c r="E265" s="30">
        <f>IF(COUNTIF(Classement!$A:$A,$A265)&gt;0,"ok","à faire")</f>
        <v/>
      </c>
      <c r="F265" s="30">
        <f>IF(COUNTIF(Tags!$A:$A,$A265)&gt;0,"ok","à faire")</f>
        <v/>
      </c>
      <c r="G265" s="30">
        <f>IF(COUNTIF(Phrases!$A:$A,$A265)&gt;0,"ok","à faire")</f>
        <v/>
      </c>
      <c r="H265" s="30">
        <f>IF(COUNTIFS(Phrases!$A:$A,$A265,Phrases!$I:$I,"&lt;&gt;")&gt;0,"ok","à faire")</f>
        <v/>
      </c>
      <c r="I265" s="30">
        <f>IF(COUNTIF(Synonymes!$A:$A,$A265)&gt;0,"ok","")</f>
        <v/>
      </c>
      <c r="J265" s="30">
        <f>COUNTIF(E265:H265,"à faire")</f>
        <v/>
      </c>
    </row>
    <row r="266">
      <c r="A266" s="30" t="inlineStr">
        <is>
          <t>gateau</t>
        </is>
      </c>
      <c r="B266" s="30">
        <f>IFERROR(INDEX(Mots!$B:$B,MATCH($A266,Mots!$A:$A,0)),"introuvable")</f>
        <v/>
      </c>
      <c r="C266" s="30">
        <f>IFERROR(INDEX(Mots!$S:$S,MATCH($A266,Mots!$A:$A,0)),"")</f>
        <v/>
      </c>
      <c r="D266" s="30">
        <f>IFERROR(COUNTA(INDEX(Mots!$J:$J,MATCH($A266,Mots!$A:$A,0)):INDEX(Mots!$P:$P,MATCH($A266,Mots!$A:$A,0))),0)</f>
        <v/>
      </c>
      <c r="E266" s="30">
        <f>IF(COUNTIF(Classement!$A:$A,$A266)&gt;0,"ok","à faire")</f>
        <v/>
      </c>
      <c r="F266" s="30">
        <f>IF(COUNTIF(Tags!$A:$A,$A266)&gt;0,"ok","à faire")</f>
        <v/>
      </c>
      <c r="G266" s="30">
        <f>IF(COUNTIF(Phrases!$A:$A,$A266)&gt;0,"ok","à faire")</f>
        <v/>
      </c>
      <c r="H266" s="30">
        <f>IF(COUNTIFS(Phrases!$A:$A,$A266,Phrases!$I:$I,"&lt;&gt;")&gt;0,"ok","à faire")</f>
        <v/>
      </c>
      <c r="I266" s="30">
        <f>IF(COUNTIF(Synonymes!$A:$A,$A266)&gt;0,"ok","")</f>
        <v/>
      </c>
      <c r="J266" s="30">
        <f>COUNTIF(E266:H266,"à faire")</f>
        <v/>
      </c>
    </row>
    <row r="267">
      <c r="A267" s="30" t="inlineStr">
        <is>
          <t>foret</t>
        </is>
      </c>
      <c r="B267" s="30">
        <f>IFERROR(INDEX(Mots!$B:$B,MATCH($A267,Mots!$A:$A,0)),"introuvable")</f>
        <v/>
      </c>
      <c r="C267" s="30">
        <f>IFERROR(INDEX(Mots!$S:$S,MATCH($A267,Mots!$A:$A,0)),"")</f>
        <v/>
      </c>
      <c r="D267" s="30">
        <f>IFERROR(COUNTA(INDEX(Mots!$J:$J,MATCH($A267,Mots!$A:$A,0)):INDEX(Mots!$P:$P,MATCH($A267,Mots!$A:$A,0))),0)</f>
        <v/>
      </c>
      <c r="E267" s="30">
        <f>IF(COUNTIF(Classement!$A:$A,$A267)&gt;0,"ok","à faire")</f>
        <v/>
      </c>
      <c r="F267" s="30">
        <f>IF(COUNTIF(Tags!$A:$A,$A267)&gt;0,"ok","à faire")</f>
        <v/>
      </c>
      <c r="G267" s="30">
        <f>IF(COUNTIF(Phrases!$A:$A,$A267)&gt;0,"ok","à faire")</f>
        <v/>
      </c>
      <c r="H267" s="30">
        <f>IF(COUNTIFS(Phrases!$A:$A,$A267,Phrases!$I:$I,"&lt;&gt;")&gt;0,"ok","à faire")</f>
        <v/>
      </c>
      <c r="I267" s="30">
        <f>IF(COUNTIF(Synonymes!$A:$A,$A267)&gt;0,"ok","")</f>
        <v/>
      </c>
      <c r="J267" s="30">
        <f>COUNTIF(E267:H267,"à faire")</f>
        <v/>
      </c>
    </row>
    <row r="268">
      <c r="A268" s="30" t="inlineStr">
        <is>
          <t>mer</t>
        </is>
      </c>
      <c r="B268" s="30">
        <f>IFERROR(INDEX(Mots!$B:$B,MATCH($A268,Mots!$A:$A,0)),"introuvable")</f>
        <v/>
      </c>
      <c r="C268" s="30">
        <f>IFERROR(INDEX(Mots!$S:$S,MATCH($A268,Mots!$A:$A,0)),"")</f>
        <v/>
      </c>
      <c r="D268" s="30">
        <f>IFERROR(COUNTA(INDEX(Mots!$J:$J,MATCH($A268,Mots!$A:$A,0)):INDEX(Mots!$P:$P,MATCH($A268,Mots!$A:$A,0))),0)</f>
        <v/>
      </c>
      <c r="E268" s="30">
        <f>IF(COUNTIF(Classement!$A:$A,$A268)&gt;0,"ok","à faire")</f>
        <v/>
      </c>
      <c r="F268" s="30">
        <f>IF(COUNTIF(Tags!$A:$A,$A268)&gt;0,"ok","à faire")</f>
        <v/>
      </c>
      <c r="G268" s="30">
        <f>IF(COUNTIF(Phrases!$A:$A,$A268)&gt;0,"ok","à faire")</f>
        <v/>
      </c>
      <c r="H268" s="30">
        <f>IF(COUNTIFS(Phrases!$A:$A,$A268,Phrases!$I:$I,"&lt;&gt;")&gt;0,"ok","à faire")</f>
        <v/>
      </c>
      <c r="I268" s="30">
        <f>IF(COUNTIF(Synonymes!$A:$A,$A268)&gt;0,"ok","")</f>
        <v/>
      </c>
      <c r="J268" s="30">
        <f>COUNTIF(E268:H268,"à faire")</f>
        <v/>
      </c>
    </row>
    <row r="269">
      <c r="A269" s="30" t="inlineStr">
        <is>
          <t>montagne</t>
        </is>
      </c>
      <c r="B269" s="30">
        <f>IFERROR(INDEX(Mots!$B:$B,MATCH($A269,Mots!$A:$A,0)),"introuvable")</f>
        <v/>
      </c>
      <c r="C269" s="30">
        <f>IFERROR(INDEX(Mots!$S:$S,MATCH($A269,Mots!$A:$A,0)),"")</f>
        <v/>
      </c>
      <c r="D269" s="30">
        <f>IFERROR(COUNTA(INDEX(Mots!$J:$J,MATCH($A269,Mots!$A:$A,0)):INDEX(Mots!$P:$P,MATCH($A269,Mots!$A:$A,0))),0)</f>
        <v/>
      </c>
      <c r="E269" s="30">
        <f>IF(COUNTIF(Classement!$A:$A,$A269)&gt;0,"ok","à faire")</f>
        <v/>
      </c>
      <c r="F269" s="30">
        <f>IF(COUNTIF(Tags!$A:$A,$A269)&gt;0,"ok","à faire")</f>
        <v/>
      </c>
      <c r="G269" s="30">
        <f>IF(COUNTIF(Phrases!$A:$A,$A269)&gt;0,"ok","à faire")</f>
        <v/>
      </c>
      <c r="H269" s="30">
        <f>IF(COUNTIFS(Phrases!$A:$A,$A269,Phrases!$I:$I,"&lt;&gt;")&gt;0,"ok","à faire")</f>
        <v/>
      </c>
      <c r="I269" s="30">
        <f>IF(COUNTIF(Synonymes!$A:$A,$A269)&gt;0,"ok","")</f>
        <v/>
      </c>
      <c r="J269" s="30">
        <f>COUNTIF(E269:H269,"à faire")</f>
        <v/>
      </c>
    </row>
    <row r="270">
      <c r="A270" s="30" t="inlineStr">
        <is>
          <t>riviere</t>
        </is>
      </c>
      <c r="B270" s="30">
        <f>IFERROR(INDEX(Mots!$B:$B,MATCH($A270,Mots!$A:$A,0)),"introuvable")</f>
        <v/>
      </c>
      <c r="C270" s="30">
        <f>IFERROR(INDEX(Mots!$S:$S,MATCH($A270,Mots!$A:$A,0)),"")</f>
        <v/>
      </c>
      <c r="D270" s="30">
        <f>IFERROR(COUNTA(INDEX(Mots!$J:$J,MATCH($A270,Mots!$A:$A,0)):INDEX(Mots!$P:$P,MATCH($A270,Mots!$A:$A,0))),0)</f>
        <v/>
      </c>
      <c r="E270" s="30">
        <f>IF(COUNTIF(Classement!$A:$A,$A270)&gt;0,"ok","à faire")</f>
        <v/>
      </c>
      <c r="F270" s="30">
        <f>IF(COUNTIF(Tags!$A:$A,$A270)&gt;0,"ok","à faire")</f>
        <v/>
      </c>
      <c r="G270" s="30">
        <f>IF(COUNTIF(Phrases!$A:$A,$A270)&gt;0,"ok","à faire")</f>
        <v/>
      </c>
      <c r="H270" s="30">
        <f>IF(COUNTIFS(Phrases!$A:$A,$A270,Phrases!$I:$I,"&lt;&gt;")&gt;0,"ok","à faire")</f>
        <v/>
      </c>
      <c r="I270" s="30">
        <f>IF(COUNTIF(Synonymes!$A:$A,$A270)&gt;0,"ok","")</f>
        <v/>
      </c>
      <c r="J270" s="30">
        <f>COUNTIF(E270:H270,"à faire")</f>
        <v/>
      </c>
    </row>
    <row r="271">
      <c r="A271" s="30" t="inlineStr">
        <is>
          <t>rocher</t>
        </is>
      </c>
      <c r="B271" s="30">
        <f>IFERROR(INDEX(Mots!$B:$B,MATCH($A271,Mots!$A:$A,0)),"introuvable")</f>
        <v/>
      </c>
      <c r="C271" s="30">
        <f>IFERROR(INDEX(Mots!$S:$S,MATCH($A271,Mots!$A:$A,0)),"")</f>
        <v/>
      </c>
      <c r="D271" s="30">
        <f>IFERROR(COUNTA(INDEX(Mots!$J:$J,MATCH($A271,Mots!$A:$A,0)):INDEX(Mots!$P:$P,MATCH($A271,Mots!$A:$A,0))),0)</f>
        <v/>
      </c>
      <c r="E271" s="30">
        <f>IF(COUNTIF(Classement!$A:$A,$A271)&gt;0,"ok","à faire")</f>
        <v/>
      </c>
      <c r="F271" s="30">
        <f>IF(COUNTIF(Tags!$A:$A,$A271)&gt;0,"ok","à faire")</f>
        <v/>
      </c>
      <c r="G271" s="30">
        <f>IF(COUNTIF(Phrases!$A:$A,$A271)&gt;0,"ok","à faire")</f>
        <v/>
      </c>
      <c r="H271" s="30">
        <f>IF(COUNTIFS(Phrases!$A:$A,$A271,Phrases!$I:$I,"&lt;&gt;")&gt;0,"ok","à faire")</f>
        <v/>
      </c>
      <c r="I271" s="30">
        <f>IF(COUNTIF(Synonymes!$A:$A,$A271)&gt;0,"ok","")</f>
        <v/>
      </c>
      <c r="J271" s="30">
        <f>COUNTIF(E271:H271,"à faire")</f>
        <v/>
      </c>
    </row>
    <row r="272">
      <c r="A272" s="30" t="inlineStr">
        <is>
          <t>p_lune</t>
        </is>
      </c>
      <c r="B272" s="30">
        <f>IFERROR(INDEX(Mots!$B:$B,MATCH($A272,Mots!$A:$A,0)),"introuvable")</f>
        <v/>
      </c>
      <c r="C272" s="30">
        <f>IFERROR(INDEX(Mots!$S:$S,MATCH($A272,Mots!$A:$A,0)),"")</f>
        <v/>
      </c>
      <c r="D272" s="30">
        <f>IFERROR(COUNTA(INDEX(Mots!$J:$J,MATCH($A272,Mots!$A:$A,0)):INDEX(Mots!$P:$P,MATCH($A272,Mots!$A:$A,0))),0)</f>
        <v/>
      </c>
      <c r="E272" s="30">
        <f>IF(COUNTIF(Classement!$A:$A,$A272)&gt;0,"ok","à faire")</f>
        <v/>
      </c>
      <c r="F272" s="30">
        <f>IF(COUNTIF(Tags!$A:$A,$A272)&gt;0,"ok","à faire")</f>
        <v/>
      </c>
      <c r="G272" s="30">
        <f>IF(COUNTIF(Phrases!$A:$A,$A272)&gt;0,"ok","à faire")</f>
        <v/>
      </c>
      <c r="H272" s="30">
        <f>IF(COUNTIFS(Phrases!$A:$A,$A272,Phrases!$I:$I,"&lt;&gt;")&gt;0,"ok","à faire")</f>
        <v/>
      </c>
      <c r="I272" s="30">
        <f>IF(COUNTIF(Synonymes!$A:$A,$A272)&gt;0,"ok","")</f>
        <v/>
      </c>
      <c r="J272" s="30">
        <f>COUNTIF(E272:H272,"à faire")</f>
        <v/>
      </c>
    </row>
    <row r="273">
      <c r="A273" s="30" t="inlineStr">
        <is>
          <t>e_terre</t>
        </is>
      </c>
      <c r="B273" s="30">
        <f>IFERROR(INDEX(Mots!$B:$B,MATCH($A273,Mots!$A:$A,0)),"introuvable")</f>
        <v/>
      </c>
      <c r="C273" s="30">
        <f>IFERROR(INDEX(Mots!$S:$S,MATCH($A273,Mots!$A:$A,0)),"")</f>
        <v/>
      </c>
      <c r="D273" s="30">
        <f>IFERROR(COUNTA(INDEX(Mots!$J:$J,MATCH($A273,Mots!$A:$A,0)):INDEX(Mots!$P:$P,MATCH($A273,Mots!$A:$A,0))),0)</f>
        <v/>
      </c>
      <c r="E273" s="30">
        <f>IF(COUNTIF(Classement!$A:$A,$A273)&gt;0,"ok","à faire")</f>
        <v/>
      </c>
      <c r="F273" s="30">
        <f>IF(COUNTIF(Tags!$A:$A,$A273)&gt;0,"ok","à faire")</f>
        <v/>
      </c>
      <c r="G273" s="30">
        <f>IF(COUNTIF(Phrases!$A:$A,$A273)&gt;0,"ok","à faire")</f>
        <v/>
      </c>
      <c r="H273" s="30">
        <f>IF(COUNTIFS(Phrases!$A:$A,$A273,Phrases!$I:$I,"&lt;&gt;")&gt;0,"ok","à faire")</f>
        <v/>
      </c>
      <c r="I273" s="30">
        <f>IF(COUNTIF(Synonymes!$A:$A,$A273)&gt;0,"ok","")</f>
        <v/>
      </c>
      <c r="J273" s="30">
        <f>COUNTIF(E273:H273,"à faire")</f>
        <v/>
      </c>
    </row>
    <row r="274">
      <c r="A274" s="30" t="inlineStr">
        <is>
          <t>p_terre</t>
        </is>
      </c>
      <c r="B274" s="30">
        <f>IFERROR(INDEX(Mots!$B:$B,MATCH($A274,Mots!$A:$A,0)),"introuvable")</f>
        <v/>
      </c>
      <c r="C274" s="30">
        <f>IFERROR(INDEX(Mots!$S:$S,MATCH($A274,Mots!$A:$A,0)),"")</f>
        <v/>
      </c>
      <c r="D274" s="30">
        <f>IFERROR(COUNTA(INDEX(Mots!$J:$J,MATCH($A274,Mots!$A:$A,0)):INDEX(Mots!$P:$P,MATCH($A274,Mots!$A:$A,0))),0)</f>
        <v/>
      </c>
      <c r="E274" s="30">
        <f>IF(COUNTIF(Classement!$A:$A,$A274)&gt;0,"ok","à faire")</f>
        <v/>
      </c>
      <c r="F274" s="30">
        <f>IF(COUNTIF(Tags!$A:$A,$A274)&gt;0,"ok","à faire")</f>
        <v/>
      </c>
      <c r="G274" s="30">
        <f>IF(COUNTIF(Phrases!$A:$A,$A274)&gt;0,"ok","à faire")</f>
        <v/>
      </c>
      <c r="H274" s="30">
        <f>IF(COUNTIFS(Phrases!$A:$A,$A274,Phrases!$I:$I,"&lt;&gt;")&gt;0,"ok","à faire")</f>
        <v/>
      </c>
      <c r="I274" s="30">
        <f>IF(COUNTIF(Synonymes!$A:$A,$A274)&gt;0,"ok","")</f>
        <v/>
      </c>
      <c r="J274" s="30">
        <f>COUNTIF(E274:H274,"à faire")</f>
        <v/>
      </c>
    </row>
    <row r="275">
      <c r="A275" s="30" t="inlineStr">
        <is>
          <t>ciel</t>
        </is>
      </c>
      <c r="B275" s="30">
        <f>IFERROR(INDEX(Mots!$B:$B,MATCH($A275,Mots!$A:$A,0)),"introuvable")</f>
        <v/>
      </c>
      <c r="C275" s="30">
        <f>IFERROR(INDEX(Mots!$S:$S,MATCH($A275,Mots!$A:$A,0)),"")</f>
        <v/>
      </c>
      <c r="D275" s="30">
        <f>IFERROR(COUNTA(INDEX(Mots!$J:$J,MATCH($A275,Mots!$A:$A,0)):INDEX(Mots!$P:$P,MATCH($A275,Mots!$A:$A,0))),0)</f>
        <v/>
      </c>
      <c r="E275" s="30">
        <f>IF(COUNTIF(Classement!$A:$A,$A275)&gt;0,"ok","à faire")</f>
        <v/>
      </c>
      <c r="F275" s="30">
        <f>IF(COUNTIF(Tags!$A:$A,$A275)&gt;0,"ok","à faire")</f>
        <v/>
      </c>
      <c r="G275" s="30">
        <f>IF(COUNTIF(Phrases!$A:$A,$A275)&gt;0,"ok","à faire")</f>
        <v/>
      </c>
      <c r="H275" s="30">
        <f>IF(COUNTIFS(Phrases!$A:$A,$A275,Phrases!$I:$I,"&lt;&gt;")&gt;0,"ok","à faire")</f>
        <v/>
      </c>
      <c r="I275" s="30">
        <f>IF(COUNTIF(Synonymes!$A:$A,$A275)&gt;0,"ok","")</f>
        <v/>
      </c>
      <c r="J275" s="30">
        <f>COUNTIF(E275:H275,"à faire")</f>
        <v/>
      </c>
    </row>
    <row r="276">
      <c r="A276" s="30" t="inlineStr">
        <is>
          <t>feu</t>
        </is>
      </c>
      <c r="B276" s="30">
        <f>IFERROR(INDEX(Mots!$B:$B,MATCH($A276,Mots!$A:$A,0)),"introuvable")</f>
        <v/>
      </c>
      <c r="C276" s="30">
        <f>IFERROR(INDEX(Mots!$S:$S,MATCH($A276,Mots!$A:$A,0)),"")</f>
        <v/>
      </c>
      <c r="D276" s="30">
        <f>IFERROR(COUNTA(INDEX(Mots!$J:$J,MATCH($A276,Mots!$A:$A,0)):INDEX(Mots!$P:$P,MATCH($A276,Mots!$A:$A,0))),0)</f>
        <v/>
      </c>
      <c r="E276" s="30">
        <f>IF(COUNTIF(Classement!$A:$A,$A276)&gt;0,"ok","à faire")</f>
        <v/>
      </c>
      <c r="F276" s="30">
        <f>IF(COUNTIF(Tags!$A:$A,$A276)&gt;0,"ok","à faire")</f>
        <v/>
      </c>
      <c r="G276" s="30">
        <f>IF(COUNTIF(Phrases!$A:$A,$A276)&gt;0,"ok","à faire")</f>
        <v/>
      </c>
      <c r="H276" s="30">
        <f>IF(COUNTIFS(Phrases!$A:$A,$A276,Phrases!$I:$I,"&lt;&gt;")&gt;0,"ok","à faire")</f>
        <v/>
      </c>
      <c r="I276" s="30">
        <f>IF(COUNTIF(Synonymes!$A:$A,$A276)&gt;0,"ok","")</f>
        <v/>
      </c>
      <c r="J276" s="30">
        <f>COUNTIF(E276:H276,"à faire")</f>
        <v/>
      </c>
    </row>
    <row r="277">
      <c r="A277" s="30" t="inlineStr">
        <is>
          <t>soleil</t>
        </is>
      </c>
      <c r="B277" s="30">
        <f>IFERROR(INDEX(Mots!$B:$B,MATCH($A277,Mots!$A:$A,0)),"introuvable")</f>
        <v/>
      </c>
      <c r="C277" s="30">
        <f>IFERROR(INDEX(Mots!$S:$S,MATCH($A277,Mots!$A:$A,0)),"")</f>
        <v/>
      </c>
      <c r="D277" s="30">
        <f>IFERROR(COUNTA(INDEX(Mots!$J:$J,MATCH($A277,Mots!$A:$A,0)):INDEX(Mots!$P:$P,MATCH($A277,Mots!$A:$A,0))),0)</f>
        <v/>
      </c>
      <c r="E277" s="30">
        <f>IF(COUNTIF(Classement!$A:$A,$A277)&gt;0,"ok","à faire")</f>
        <v/>
      </c>
      <c r="F277" s="30">
        <f>IF(COUNTIF(Tags!$A:$A,$A277)&gt;0,"ok","à faire")</f>
        <v/>
      </c>
      <c r="G277" s="30">
        <f>IF(COUNTIF(Phrases!$A:$A,$A277)&gt;0,"ok","à faire")</f>
        <v/>
      </c>
      <c r="H277" s="30">
        <f>IF(COUNTIFS(Phrases!$A:$A,$A277,Phrases!$I:$I,"&lt;&gt;")&gt;0,"ok","à faire")</f>
        <v/>
      </c>
      <c r="I277" s="30">
        <f>IF(COUNTIF(Synonymes!$A:$A,$A277)&gt;0,"ok","")</f>
        <v/>
      </c>
      <c r="J277" s="30">
        <f>COUNTIF(E277:H277,"à faire")</f>
        <v/>
      </c>
    </row>
    <row r="278">
      <c r="A278" s="30" t="inlineStr">
        <is>
          <t>eau</t>
        </is>
      </c>
      <c r="B278" s="30">
        <f>IFERROR(INDEX(Mots!$B:$B,MATCH($A278,Mots!$A:$A,0)),"introuvable")</f>
        <v/>
      </c>
      <c r="C278" s="30">
        <f>IFERROR(INDEX(Mots!$S:$S,MATCH($A278,Mots!$A:$A,0)),"")</f>
        <v/>
      </c>
      <c r="D278" s="30">
        <f>IFERROR(COUNTA(INDEX(Mots!$J:$J,MATCH($A278,Mots!$A:$A,0)):INDEX(Mots!$P:$P,MATCH($A278,Mots!$A:$A,0))),0)</f>
        <v/>
      </c>
      <c r="E278" s="30">
        <f>IF(COUNTIF(Classement!$A:$A,$A278)&gt;0,"ok","à faire")</f>
        <v/>
      </c>
      <c r="F278" s="30">
        <f>IF(COUNTIF(Tags!$A:$A,$A278)&gt;0,"ok","à faire")</f>
        <v/>
      </c>
      <c r="G278" s="30">
        <f>IF(COUNTIF(Phrases!$A:$A,$A278)&gt;0,"ok","à faire")</f>
        <v/>
      </c>
      <c r="H278" s="30">
        <f>IF(COUNTIFS(Phrases!$A:$A,$A278,Phrases!$I:$I,"&lt;&gt;")&gt;0,"ok","à faire")</f>
        <v/>
      </c>
      <c r="I278" s="30">
        <f>IF(COUNTIF(Synonymes!$A:$A,$A278)&gt;0,"ok","")</f>
        <v/>
      </c>
      <c r="J278" s="30">
        <f>COUNTIF(E278:H278,"à faire")</f>
        <v/>
      </c>
    </row>
    <row r="279">
      <c r="A279" s="30" t="inlineStr">
        <is>
          <t>incendie</t>
        </is>
      </c>
      <c r="B279" s="30">
        <f>IFERROR(INDEX(Mots!$B:$B,MATCH($A279,Mots!$A:$A,0)),"introuvable")</f>
        <v/>
      </c>
      <c r="C279" s="30">
        <f>IFERROR(INDEX(Mots!$S:$S,MATCH($A279,Mots!$A:$A,0)),"")</f>
        <v/>
      </c>
      <c r="D279" s="30">
        <f>IFERROR(COUNTA(INDEX(Mots!$J:$J,MATCH($A279,Mots!$A:$A,0)):INDEX(Mots!$P:$P,MATCH($A279,Mots!$A:$A,0))),0)</f>
        <v/>
      </c>
      <c r="E279" s="30">
        <f>IF(COUNTIF(Classement!$A:$A,$A279)&gt;0,"ok","à faire")</f>
        <v/>
      </c>
      <c r="F279" s="30">
        <f>IF(COUNTIF(Tags!$A:$A,$A279)&gt;0,"ok","à faire")</f>
        <v/>
      </c>
      <c r="G279" s="30">
        <f>IF(COUNTIF(Phrases!$A:$A,$A279)&gt;0,"ok","à faire")</f>
        <v/>
      </c>
      <c r="H279" s="30">
        <f>IF(COUNTIFS(Phrases!$A:$A,$A279,Phrases!$I:$I,"&lt;&gt;")&gt;0,"ok","à faire")</f>
        <v/>
      </c>
      <c r="I279" s="30">
        <f>IF(COUNTIF(Synonymes!$A:$A,$A279)&gt;0,"ok","")</f>
        <v/>
      </c>
      <c r="J279" s="30">
        <f>COUNTIF(E279:H279,"à faire")</f>
        <v/>
      </c>
    </row>
    <row r="280">
      <c r="A280" s="30" t="inlineStr">
        <is>
          <t>colere</t>
        </is>
      </c>
      <c r="B280" s="30">
        <f>IFERROR(INDEX(Mots!$B:$B,MATCH($A280,Mots!$A:$A,0)),"introuvable")</f>
        <v/>
      </c>
      <c r="C280" s="30">
        <f>IFERROR(INDEX(Mots!$S:$S,MATCH($A280,Mots!$A:$A,0)),"")</f>
        <v/>
      </c>
      <c r="D280" s="30">
        <f>IFERROR(COUNTA(INDEX(Mots!$J:$J,MATCH($A280,Mots!$A:$A,0)):INDEX(Mots!$P:$P,MATCH($A280,Mots!$A:$A,0))),0)</f>
        <v/>
      </c>
      <c r="E280" s="30">
        <f>IF(COUNTIF(Classement!$A:$A,$A280)&gt;0,"ok","à faire")</f>
        <v/>
      </c>
      <c r="F280" s="30">
        <f>IF(COUNTIF(Tags!$A:$A,$A280)&gt;0,"ok","à faire")</f>
        <v/>
      </c>
      <c r="G280" s="30">
        <f>IF(COUNTIF(Phrases!$A:$A,$A280)&gt;0,"ok","à faire")</f>
        <v/>
      </c>
      <c r="H280" s="30">
        <f>IF(COUNTIFS(Phrases!$A:$A,$A280,Phrases!$I:$I,"&lt;&gt;")&gt;0,"ok","à faire")</f>
        <v/>
      </c>
      <c r="I280" s="30">
        <f>IF(COUNTIF(Synonymes!$A:$A,$A280)&gt;0,"ok","")</f>
        <v/>
      </c>
      <c r="J280" s="30">
        <f>COUNTIF(E280:H280,"à faire")</f>
        <v/>
      </c>
    </row>
    <row r="281">
      <c r="A281" s="30" t="inlineStr">
        <is>
          <t>peur</t>
        </is>
      </c>
      <c r="B281" s="30">
        <f>IFERROR(INDEX(Mots!$B:$B,MATCH($A281,Mots!$A:$A,0)),"introuvable")</f>
        <v/>
      </c>
      <c r="C281" s="30">
        <f>IFERROR(INDEX(Mots!$S:$S,MATCH($A281,Mots!$A:$A,0)),"")</f>
        <v/>
      </c>
      <c r="D281" s="30">
        <f>IFERROR(COUNTA(INDEX(Mots!$J:$J,MATCH($A281,Mots!$A:$A,0)):INDEX(Mots!$P:$P,MATCH($A281,Mots!$A:$A,0))),0)</f>
        <v/>
      </c>
      <c r="E281" s="30">
        <f>IF(COUNTIF(Classement!$A:$A,$A281)&gt;0,"ok","à faire")</f>
        <v/>
      </c>
      <c r="F281" s="30">
        <f>IF(COUNTIF(Tags!$A:$A,$A281)&gt;0,"ok","à faire")</f>
        <v/>
      </c>
      <c r="G281" s="30">
        <f>IF(COUNTIF(Phrases!$A:$A,$A281)&gt;0,"ok","à faire")</f>
        <v/>
      </c>
      <c r="H281" s="30">
        <f>IF(COUNTIFS(Phrases!$A:$A,$A281,Phrases!$I:$I,"&lt;&gt;")&gt;0,"ok","à faire")</f>
        <v/>
      </c>
      <c r="I281" s="30">
        <f>IF(COUNTIF(Synonymes!$A:$A,$A281)&gt;0,"ok","")</f>
        <v/>
      </c>
      <c r="J281" s="30">
        <f>COUNTIF(E281:H281,"à faire")</f>
        <v/>
      </c>
    </row>
    <row r="282">
      <c r="A282" s="30" t="inlineStr">
        <is>
          <t>solitude</t>
        </is>
      </c>
      <c r="B282" s="30">
        <f>IFERROR(INDEX(Mots!$B:$B,MATCH($A282,Mots!$A:$A,0)),"introuvable")</f>
        <v/>
      </c>
      <c r="C282" s="30">
        <f>IFERROR(INDEX(Mots!$S:$S,MATCH($A282,Mots!$A:$A,0)),"")</f>
        <v/>
      </c>
      <c r="D282" s="30">
        <f>IFERROR(COUNTA(INDEX(Mots!$J:$J,MATCH($A282,Mots!$A:$A,0)):INDEX(Mots!$P:$P,MATCH($A282,Mots!$A:$A,0))),0)</f>
        <v/>
      </c>
      <c r="E282" s="30">
        <f>IF(COUNTIF(Classement!$A:$A,$A282)&gt;0,"ok","à faire")</f>
        <v/>
      </c>
      <c r="F282" s="30">
        <f>IF(COUNTIF(Tags!$A:$A,$A282)&gt;0,"ok","à faire")</f>
        <v/>
      </c>
      <c r="G282" s="30">
        <f>IF(COUNTIF(Phrases!$A:$A,$A282)&gt;0,"ok","à faire")</f>
        <v/>
      </c>
      <c r="H282" s="30">
        <f>IF(COUNTIFS(Phrases!$A:$A,$A282,Phrases!$I:$I,"&lt;&gt;")&gt;0,"ok","à faire")</f>
        <v/>
      </c>
      <c r="I282" s="30">
        <f>IF(COUNTIF(Synonymes!$A:$A,$A282)&gt;0,"ok","")</f>
        <v/>
      </c>
      <c r="J282" s="30">
        <f>COUNTIF(E282:H282,"à faire")</f>
        <v/>
      </c>
    </row>
    <row r="283">
      <c r="A283" s="30" t="inlineStr">
        <is>
          <t>tristesse</t>
        </is>
      </c>
      <c r="B283" s="30">
        <f>IFERROR(INDEX(Mots!$B:$B,MATCH($A283,Mots!$A:$A,0)),"introuvable")</f>
        <v/>
      </c>
      <c r="C283" s="30">
        <f>IFERROR(INDEX(Mots!$S:$S,MATCH($A283,Mots!$A:$A,0)),"")</f>
        <v/>
      </c>
      <c r="D283" s="30">
        <f>IFERROR(COUNTA(INDEX(Mots!$J:$J,MATCH($A283,Mots!$A:$A,0)):INDEX(Mots!$P:$P,MATCH($A283,Mots!$A:$A,0))),0)</f>
        <v/>
      </c>
      <c r="E283" s="30">
        <f>IF(COUNTIF(Classement!$A:$A,$A283)&gt;0,"ok","à faire")</f>
        <v/>
      </c>
      <c r="F283" s="30">
        <f>IF(COUNTIF(Tags!$A:$A,$A283)&gt;0,"ok","à faire")</f>
        <v/>
      </c>
      <c r="G283" s="30">
        <f>IF(COUNTIF(Phrases!$A:$A,$A283)&gt;0,"ok","à faire")</f>
        <v/>
      </c>
      <c r="H283" s="30">
        <f>IF(COUNTIFS(Phrases!$A:$A,$A283,Phrases!$I:$I,"&lt;&gt;")&gt;0,"ok","à faire")</f>
        <v/>
      </c>
      <c r="I283" s="30">
        <f>IF(COUNTIF(Synonymes!$A:$A,$A283)&gt;0,"ok","")</f>
        <v/>
      </c>
      <c r="J283" s="30">
        <f>COUNTIF(E283:H283,"à faire")</f>
        <v/>
      </c>
    </row>
    <row r="284">
      <c r="A284" s="30" t="inlineStr">
        <is>
          <t>confiance</t>
        </is>
      </c>
      <c r="B284" s="30">
        <f>IFERROR(INDEX(Mots!$B:$B,MATCH($A284,Mots!$A:$A,0)),"introuvable")</f>
        <v/>
      </c>
      <c r="C284" s="30">
        <f>IFERROR(INDEX(Mots!$S:$S,MATCH($A284,Mots!$A:$A,0)),"")</f>
        <v/>
      </c>
      <c r="D284" s="30">
        <f>IFERROR(COUNTA(INDEX(Mots!$J:$J,MATCH($A284,Mots!$A:$A,0)):INDEX(Mots!$P:$P,MATCH($A284,Mots!$A:$A,0))),0)</f>
        <v/>
      </c>
      <c r="E284" s="30">
        <f>IF(COUNTIF(Classement!$A:$A,$A284)&gt;0,"ok","à faire")</f>
        <v/>
      </c>
      <c r="F284" s="30">
        <f>IF(COUNTIF(Tags!$A:$A,$A284)&gt;0,"ok","à faire")</f>
        <v/>
      </c>
      <c r="G284" s="30">
        <f>IF(COUNTIF(Phrases!$A:$A,$A284)&gt;0,"ok","à faire")</f>
        <v/>
      </c>
      <c r="H284" s="30">
        <f>IF(COUNTIFS(Phrases!$A:$A,$A284,Phrases!$I:$I,"&lt;&gt;")&gt;0,"ok","à faire")</f>
        <v/>
      </c>
      <c r="I284" s="30">
        <f>IF(COUNTIF(Synonymes!$A:$A,$A284)&gt;0,"ok","")</f>
        <v/>
      </c>
      <c r="J284" s="30">
        <f>COUNTIF(E284:H284,"à faire")</f>
        <v/>
      </c>
    </row>
    <row r="285">
      <c r="A285" s="30" t="inlineStr">
        <is>
          <t>fierte</t>
        </is>
      </c>
      <c r="B285" s="30">
        <f>IFERROR(INDEX(Mots!$B:$B,MATCH($A285,Mots!$A:$A,0)),"introuvable")</f>
        <v/>
      </c>
      <c r="C285" s="30">
        <f>IFERROR(INDEX(Mots!$S:$S,MATCH($A285,Mots!$A:$A,0)),"")</f>
        <v/>
      </c>
      <c r="D285" s="30">
        <f>IFERROR(COUNTA(INDEX(Mots!$J:$J,MATCH($A285,Mots!$A:$A,0)):INDEX(Mots!$P:$P,MATCH($A285,Mots!$A:$A,0))),0)</f>
        <v/>
      </c>
      <c r="E285" s="30">
        <f>IF(COUNTIF(Classement!$A:$A,$A285)&gt;0,"ok","à faire")</f>
        <v/>
      </c>
      <c r="F285" s="30">
        <f>IF(COUNTIF(Tags!$A:$A,$A285)&gt;0,"ok","à faire")</f>
        <v/>
      </c>
      <c r="G285" s="30">
        <f>IF(COUNTIF(Phrases!$A:$A,$A285)&gt;0,"ok","à faire")</f>
        <v/>
      </c>
      <c r="H285" s="30">
        <f>IF(COUNTIFS(Phrases!$A:$A,$A285,Phrases!$I:$I,"&lt;&gt;")&gt;0,"ok","à faire")</f>
        <v/>
      </c>
      <c r="I285" s="30">
        <f>IF(COUNTIF(Synonymes!$A:$A,$A285)&gt;0,"ok","")</f>
        <v/>
      </c>
      <c r="J285" s="30">
        <f>COUNTIF(E285:H285,"à faire")</f>
        <v/>
      </c>
    </row>
    <row r="286">
      <c r="A286" s="30" t="inlineStr">
        <is>
          <t>gratitude</t>
        </is>
      </c>
      <c r="B286" s="30">
        <f>IFERROR(INDEX(Mots!$B:$B,MATCH($A286,Mots!$A:$A,0)),"introuvable")</f>
        <v/>
      </c>
      <c r="C286" s="30">
        <f>IFERROR(INDEX(Mots!$S:$S,MATCH($A286,Mots!$A:$A,0)),"")</f>
        <v/>
      </c>
      <c r="D286" s="30">
        <f>IFERROR(COUNTA(INDEX(Mots!$J:$J,MATCH($A286,Mots!$A:$A,0)):INDEX(Mots!$P:$P,MATCH($A286,Mots!$A:$A,0))),0)</f>
        <v/>
      </c>
      <c r="E286" s="30">
        <f>IF(COUNTIF(Classement!$A:$A,$A286)&gt;0,"ok","à faire")</f>
        <v/>
      </c>
      <c r="F286" s="30">
        <f>IF(COUNTIF(Tags!$A:$A,$A286)&gt;0,"ok","à faire")</f>
        <v/>
      </c>
      <c r="G286" s="30">
        <f>IF(COUNTIF(Phrases!$A:$A,$A286)&gt;0,"ok","à faire")</f>
        <v/>
      </c>
      <c r="H286" s="30">
        <f>IF(COUNTIFS(Phrases!$A:$A,$A286,Phrases!$I:$I,"&lt;&gt;")&gt;0,"ok","à faire")</f>
        <v/>
      </c>
      <c r="I286" s="30">
        <f>IF(COUNTIF(Synonymes!$A:$A,$A286)&gt;0,"ok","")</f>
        <v/>
      </c>
      <c r="J286" s="30">
        <f>COUNTIF(E286:H286,"à faire")</f>
        <v/>
      </c>
    </row>
    <row r="287">
      <c r="A287" s="30" t="inlineStr">
        <is>
          <t>joie</t>
        </is>
      </c>
      <c r="B287" s="30">
        <f>IFERROR(INDEX(Mots!$B:$B,MATCH($A287,Mots!$A:$A,0)),"introuvable")</f>
        <v/>
      </c>
      <c r="C287" s="30">
        <f>IFERROR(INDEX(Mots!$S:$S,MATCH($A287,Mots!$A:$A,0)),"")</f>
        <v/>
      </c>
      <c r="D287" s="30">
        <f>IFERROR(COUNTA(INDEX(Mots!$J:$J,MATCH($A287,Mots!$A:$A,0)):INDEX(Mots!$P:$P,MATCH($A287,Mots!$A:$A,0))),0)</f>
        <v/>
      </c>
      <c r="E287" s="30">
        <f>IF(COUNTIF(Classement!$A:$A,$A287)&gt;0,"ok","à faire")</f>
        <v/>
      </c>
      <c r="F287" s="30">
        <f>IF(COUNTIF(Tags!$A:$A,$A287)&gt;0,"ok","à faire")</f>
        <v/>
      </c>
      <c r="G287" s="30">
        <f>IF(COUNTIF(Phrases!$A:$A,$A287)&gt;0,"ok","à faire")</f>
        <v/>
      </c>
      <c r="H287" s="30">
        <f>IF(COUNTIFS(Phrases!$A:$A,$A287,Phrases!$I:$I,"&lt;&gt;")&gt;0,"ok","à faire")</f>
        <v/>
      </c>
      <c r="I287" s="30">
        <f>IF(COUNTIF(Synonymes!$A:$A,$A287)&gt;0,"ok","")</f>
        <v/>
      </c>
      <c r="J287" s="30">
        <f>COUNTIF(E287:H287,"à faire")</f>
        <v/>
      </c>
    </row>
    <row r="288">
      <c r="A288" s="30" t="inlineStr">
        <is>
          <t>surprise</t>
        </is>
      </c>
      <c r="B288" s="30">
        <f>IFERROR(INDEX(Mots!$B:$B,MATCH($A288,Mots!$A:$A,0)),"introuvable")</f>
        <v/>
      </c>
      <c r="C288" s="30">
        <f>IFERROR(INDEX(Mots!$S:$S,MATCH($A288,Mots!$A:$A,0)),"")</f>
        <v/>
      </c>
      <c r="D288" s="30">
        <f>IFERROR(COUNTA(INDEX(Mots!$J:$J,MATCH($A288,Mots!$A:$A,0)):INDEX(Mots!$P:$P,MATCH($A288,Mots!$A:$A,0))),0)</f>
        <v/>
      </c>
      <c r="E288" s="30">
        <f>IF(COUNTIF(Classement!$A:$A,$A288)&gt;0,"ok","à faire")</f>
        <v/>
      </c>
      <c r="F288" s="30">
        <f>IF(COUNTIF(Tags!$A:$A,$A288)&gt;0,"ok","à faire")</f>
        <v/>
      </c>
      <c r="G288" s="30">
        <f>IF(COUNTIF(Phrases!$A:$A,$A288)&gt;0,"ok","à faire")</f>
        <v/>
      </c>
      <c r="H288" s="30">
        <f>IF(COUNTIFS(Phrases!$A:$A,$A288,Phrases!$I:$I,"&lt;&gt;")&gt;0,"ok","à faire")</f>
        <v/>
      </c>
      <c r="I288" s="30">
        <f>IF(COUNTIF(Synonymes!$A:$A,$A288)&gt;0,"ok","")</f>
        <v/>
      </c>
      <c r="J288" s="30">
        <f>COUNTIF(E288:H288,"à faire")</f>
        <v/>
      </c>
    </row>
    <row r="289">
      <c r="A289" s="30" t="inlineStr">
        <is>
          <t>amour</t>
        </is>
      </c>
      <c r="B289" s="30">
        <f>IFERROR(INDEX(Mots!$B:$B,MATCH($A289,Mots!$A:$A,0)),"introuvable")</f>
        <v/>
      </c>
      <c r="C289" s="30">
        <f>IFERROR(INDEX(Mots!$S:$S,MATCH($A289,Mots!$A:$A,0)),"")</f>
        <v/>
      </c>
      <c r="D289" s="30">
        <f>IFERROR(COUNTA(INDEX(Mots!$J:$J,MATCH($A289,Mots!$A:$A,0)):INDEX(Mots!$P:$P,MATCH($A289,Mots!$A:$A,0))),0)</f>
        <v/>
      </c>
      <c r="E289" s="30">
        <f>IF(COUNTIF(Classement!$A:$A,$A289)&gt;0,"ok","à faire")</f>
        <v/>
      </c>
      <c r="F289" s="30">
        <f>IF(COUNTIF(Tags!$A:$A,$A289)&gt;0,"ok","à faire")</f>
        <v/>
      </c>
      <c r="G289" s="30">
        <f>IF(COUNTIF(Phrases!$A:$A,$A289)&gt;0,"ok","à faire")</f>
        <v/>
      </c>
      <c r="H289" s="30">
        <f>IF(COUNTIFS(Phrases!$A:$A,$A289,Phrases!$I:$I,"&lt;&gt;")&gt;0,"ok","à faire")</f>
        <v/>
      </c>
      <c r="I289" s="30">
        <f>IF(COUNTIF(Synonymes!$A:$A,$A289)&gt;0,"ok","")</f>
        <v/>
      </c>
      <c r="J289" s="30">
        <f>COUNTIF(E289:H289,"à faire")</f>
        <v/>
      </c>
    </row>
    <row r="290">
      <c r="A290" s="30" t="inlineStr">
        <is>
          <t>bonheur</t>
        </is>
      </c>
      <c r="B290" s="30">
        <f>IFERROR(INDEX(Mots!$B:$B,MATCH($A290,Mots!$A:$A,0)),"introuvable")</f>
        <v/>
      </c>
      <c r="C290" s="30">
        <f>IFERROR(INDEX(Mots!$S:$S,MATCH($A290,Mots!$A:$A,0)),"")</f>
        <v/>
      </c>
      <c r="D290" s="30">
        <f>IFERROR(COUNTA(INDEX(Mots!$J:$J,MATCH($A290,Mots!$A:$A,0)):INDEX(Mots!$P:$P,MATCH($A290,Mots!$A:$A,0))),0)</f>
        <v/>
      </c>
      <c r="E290" s="30">
        <f>IF(COUNTIF(Classement!$A:$A,$A290)&gt;0,"ok","à faire")</f>
        <v/>
      </c>
      <c r="F290" s="30">
        <f>IF(COUNTIF(Tags!$A:$A,$A290)&gt;0,"ok","à faire")</f>
        <v/>
      </c>
      <c r="G290" s="30">
        <f>IF(COUNTIF(Phrases!$A:$A,$A290)&gt;0,"ok","à faire")</f>
        <v/>
      </c>
      <c r="H290" s="30">
        <f>IF(COUNTIFS(Phrases!$A:$A,$A290,Phrases!$I:$I,"&lt;&gt;")&gt;0,"ok","à faire")</f>
        <v/>
      </c>
      <c r="I290" s="30">
        <f>IF(COUNTIF(Synonymes!$A:$A,$A290)&gt;0,"ok","")</f>
        <v/>
      </c>
      <c r="J290" s="30">
        <f>COUNTIF(E290:H290,"à faire")</f>
        <v/>
      </c>
    </row>
    <row r="291">
      <c r="A291" s="30" t="inlineStr">
        <is>
          <t>courage</t>
        </is>
      </c>
      <c r="B291" s="30">
        <f>IFERROR(INDEX(Mots!$B:$B,MATCH($A291,Mots!$A:$A,0)),"introuvable")</f>
        <v/>
      </c>
      <c r="C291" s="30">
        <f>IFERROR(INDEX(Mots!$S:$S,MATCH($A291,Mots!$A:$A,0)),"")</f>
        <v/>
      </c>
      <c r="D291" s="30">
        <f>IFERROR(COUNTA(INDEX(Mots!$J:$J,MATCH($A291,Mots!$A:$A,0)):INDEX(Mots!$P:$P,MATCH($A291,Mots!$A:$A,0))),0)</f>
        <v/>
      </c>
      <c r="E291" s="30">
        <f>IF(COUNTIF(Classement!$A:$A,$A291)&gt;0,"ok","à faire")</f>
        <v/>
      </c>
      <c r="F291" s="30">
        <f>IF(COUNTIF(Tags!$A:$A,$A291)&gt;0,"ok","à faire")</f>
        <v/>
      </c>
      <c r="G291" s="30">
        <f>IF(COUNTIF(Phrases!$A:$A,$A291)&gt;0,"ok","à faire")</f>
        <v/>
      </c>
      <c r="H291" s="30">
        <f>IF(COUNTIFS(Phrases!$A:$A,$A291,Phrases!$I:$I,"&lt;&gt;")&gt;0,"ok","à faire")</f>
        <v/>
      </c>
      <c r="I291" s="30">
        <f>IF(COUNTIF(Synonymes!$A:$A,$A291)&gt;0,"ok","")</f>
        <v/>
      </c>
      <c r="J291" s="30">
        <f>COUNTIF(E291:H291,"à faire")</f>
        <v/>
      </c>
    </row>
    <row r="292">
      <c r="A292" s="30" t="inlineStr">
        <is>
          <t>reve</t>
        </is>
      </c>
      <c r="B292" s="30">
        <f>IFERROR(INDEX(Mots!$B:$B,MATCH($A292,Mots!$A:$A,0)),"introuvable")</f>
        <v/>
      </c>
      <c r="C292" s="30">
        <f>IFERROR(INDEX(Mots!$S:$S,MATCH($A292,Mots!$A:$A,0)),"")</f>
        <v/>
      </c>
      <c r="D292" s="30">
        <f>IFERROR(COUNTA(INDEX(Mots!$J:$J,MATCH($A292,Mots!$A:$A,0)):INDEX(Mots!$P:$P,MATCH($A292,Mots!$A:$A,0))),0)</f>
        <v/>
      </c>
      <c r="E292" s="30">
        <f>IF(COUNTIF(Classement!$A:$A,$A292)&gt;0,"ok","à faire")</f>
        <v/>
      </c>
      <c r="F292" s="30">
        <f>IF(COUNTIF(Tags!$A:$A,$A292)&gt;0,"ok","à faire")</f>
        <v/>
      </c>
      <c r="G292" s="30">
        <f>IF(COUNTIF(Phrases!$A:$A,$A292)&gt;0,"ok","à faire")</f>
        <v/>
      </c>
      <c r="H292" s="30">
        <f>IF(COUNTIFS(Phrases!$A:$A,$A292,Phrases!$I:$I,"&lt;&gt;")&gt;0,"ok","à faire")</f>
        <v/>
      </c>
      <c r="I292" s="30">
        <f>IF(COUNTIF(Synonymes!$A:$A,$A292)&gt;0,"ok","")</f>
        <v/>
      </c>
      <c r="J292" s="30">
        <f>COUNTIF(E292:H292,"à faire")</f>
        <v/>
      </c>
    </row>
    <row r="293">
      <c r="A293" s="30" t="inlineStr">
        <is>
          <t>espoir</t>
        </is>
      </c>
      <c r="B293" s="30">
        <f>IFERROR(INDEX(Mots!$B:$B,MATCH($A293,Mots!$A:$A,0)),"introuvable")</f>
        <v/>
      </c>
      <c r="C293" s="30">
        <f>IFERROR(INDEX(Mots!$S:$S,MATCH($A293,Mots!$A:$A,0)),"")</f>
        <v/>
      </c>
      <c r="D293" s="30">
        <f>IFERROR(COUNTA(INDEX(Mots!$J:$J,MATCH($A293,Mots!$A:$A,0)):INDEX(Mots!$P:$P,MATCH($A293,Mots!$A:$A,0))),0)</f>
        <v/>
      </c>
      <c r="E293" s="30">
        <f>IF(COUNTIF(Classement!$A:$A,$A293)&gt;0,"ok","à faire")</f>
        <v/>
      </c>
      <c r="F293" s="30">
        <f>IF(COUNTIF(Tags!$A:$A,$A293)&gt;0,"ok","à faire")</f>
        <v/>
      </c>
      <c r="G293" s="30">
        <f>IF(COUNTIF(Phrases!$A:$A,$A293)&gt;0,"ok","à faire")</f>
        <v/>
      </c>
      <c r="H293" s="30">
        <f>IF(COUNTIFS(Phrases!$A:$A,$A293,Phrases!$I:$I,"&lt;&gt;")&gt;0,"ok","à faire")</f>
        <v/>
      </c>
      <c r="I293" s="30">
        <f>IF(COUNTIF(Synonymes!$A:$A,$A293)&gt;0,"ok","")</f>
        <v/>
      </c>
      <c r="J293" s="30">
        <f>COUNTIF(E293:H293,"à faire")</f>
        <v/>
      </c>
    </row>
    <row r="294">
      <c r="A294" s="30" t="inlineStr">
        <is>
          <t>auberge_godet</t>
        </is>
      </c>
      <c r="B294" s="30">
        <f>IFERROR(INDEX(Mots!$B:$B,MATCH($A294,Mots!$A:$A,0)),"introuvable")</f>
        <v/>
      </c>
      <c r="C294" s="30">
        <f>IFERROR(INDEX(Mots!$S:$S,MATCH($A294,Mots!$A:$A,0)),"")</f>
        <v/>
      </c>
      <c r="D294" s="30">
        <f>IFERROR(COUNTA(INDEX(Mots!$J:$J,MATCH($A294,Mots!$A:$A,0)):INDEX(Mots!$P:$P,MATCH($A294,Mots!$A:$A,0))),0)</f>
        <v/>
      </c>
      <c r="E294" s="30">
        <f>IF(COUNTIF(Classement!$A:$A,$A294)&gt;0,"ok","à faire")</f>
        <v/>
      </c>
      <c r="F294" s="30">
        <f>IF(COUNTIF(Tags!$A:$A,$A294)&gt;0,"ok","à faire")</f>
        <v/>
      </c>
      <c r="G294" s="30">
        <f>IF(COUNTIF(Phrases!$A:$A,$A294)&gt;0,"ok","à faire")</f>
        <v/>
      </c>
      <c r="H294" s="30">
        <f>IF(COUNTIFS(Phrases!$A:$A,$A294,Phrases!$I:$I,"&lt;&gt;")&gt;0,"ok","à faire")</f>
        <v/>
      </c>
      <c r="I294" s="30">
        <f>IF(COUNTIF(Synonymes!$A:$A,$A294)&gt;0,"ok","")</f>
        <v/>
      </c>
      <c r="J294" s="30">
        <f>COUNTIF(E294:H294,"à faire")</f>
        <v/>
      </c>
    </row>
    <row r="295">
      <c r="A295" s="30" t="inlineStr">
        <is>
          <t>refuge_lac_derborence</t>
        </is>
      </c>
      <c r="B295" s="30">
        <f>IFERROR(INDEX(Mots!$B:$B,MATCH($A295,Mots!$A:$A,0)),"introuvable")</f>
        <v/>
      </c>
      <c r="C295" s="30">
        <f>IFERROR(INDEX(Mots!$S:$S,MATCH($A295,Mots!$A:$A,0)),"")</f>
        <v/>
      </c>
      <c r="D295" s="30">
        <f>IFERROR(COUNTA(INDEX(Mots!$J:$J,MATCH($A295,Mots!$A:$A,0)):INDEX(Mots!$P:$P,MATCH($A295,Mots!$A:$A,0))),0)</f>
        <v/>
      </c>
      <c r="E295" s="30">
        <f>IF(COUNTIF(Classement!$A:$A,$A295)&gt;0,"ok","à faire")</f>
        <v/>
      </c>
      <c r="F295" s="30">
        <f>IF(COUNTIF(Tags!$A:$A,$A295)&gt;0,"ok","à faire")</f>
        <v/>
      </c>
      <c r="G295" s="30">
        <f>IF(COUNTIF(Phrases!$A:$A,$A295)&gt;0,"ok","à faire")</f>
        <v/>
      </c>
      <c r="H295" s="30">
        <f>IF(COUNTIFS(Phrases!$A:$A,$A295,Phrases!$I:$I,"&lt;&gt;")&gt;0,"ok","à faire")</f>
        <v/>
      </c>
      <c r="I295" s="30">
        <f>IF(COUNTIF(Synonymes!$A:$A,$A295)&gt;0,"ok","")</f>
        <v/>
      </c>
      <c r="J295" s="30">
        <f>COUNTIF(E295:H295,"à faire")</f>
        <v/>
      </c>
    </row>
    <row r="296">
      <c r="A296" s="30" t="inlineStr">
        <is>
          <t>lac_derborence</t>
        </is>
      </c>
      <c r="B296" s="30">
        <f>IFERROR(INDEX(Mots!$B:$B,MATCH($A296,Mots!$A:$A,0)),"introuvable")</f>
        <v/>
      </c>
      <c r="C296" s="30">
        <f>IFERROR(INDEX(Mots!$S:$S,MATCH($A296,Mots!$A:$A,0)),"")</f>
        <v/>
      </c>
      <c r="D296" s="30">
        <f>IFERROR(COUNTA(INDEX(Mots!$J:$J,MATCH($A296,Mots!$A:$A,0)):INDEX(Mots!$P:$P,MATCH($A296,Mots!$A:$A,0))),0)</f>
        <v/>
      </c>
      <c r="E296" s="30">
        <f>IF(COUNTIF(Classement!$A:$A,$A296)&gt;0,"ok","à faire")</f>
        <v/>
      </c>
      <c r="F296" s="30">
        <f>IF(COUNTIF(Tags!$A:$A,$A296)&gt;0,"ok","à faire")</f>
        <v/>
      </c>
      <c r="G296" s="30">
        <f>IF(COUNTIF(Phrases!$A:$A,$A296)&gt;0,"ok","à faire")</f>
        <v/>
      </c>
      <c r="H296" s="30">
        <f>IF(COUNTIFS(Phrases!$A:$A,$A296,Phrases!$I:$I,"&lt;&gt;")&gt;0,"ok","à faire")</f>
        <v/>
      </c>
      <c r="I296" s="30">
        <f>IF(COUNTIF(Synonymes!$A:$A,$A296)&gt;0,"ok","")</f>
        <v/>
      </c>
      <c r="J296" s="30">
        <f>COUNTIF(E296:H296,"à faire")</f>
        <v/>
      </c>
    </row>
    <row r="297">
      <c r="A297" s="30" t="inlineStr">
        <is>
          <t>buvette_dorbon.webp</t>
        </is>
      </c>
      <c r="B297" s="30">
        <f>IFERROR(INDEX(Mots!$B:$B,MATCH($A297,Mots!$A:$A,0)),"introuvable")</f>
        <v/>
      </c>
      <c r="C297" s="30">
        <f>IFERROR(INDEX(Mots!$S:$S,MATCH($A297,Mots!$A:$A,0)),"")</f>
        <v/>
      </c>
      <c r="D297" s="30">
        <f>IFERROR(COUNTA(INDEX(Mots!$J:$J,MATCH($A297,Mots!$A:$A,0)):INDEX(Mots!$P:$P,MATCH($A297,Mots!$A:$A,0))),0)</f>
        <v/>
      </c>
      <c r="E297" s="30">
        <f>IF(COUNTIF(Classement!$A:$A,$A297)&gt;0,"ok","à faire")</f>
        <v/>
      </c>
      <c r="F297" s="30">
        <f>IF(COUNTIF(Tags!$A:$A,$A297)&gt;0,"ok","à faire")</f>
        <v/>
      </c>
      <c r="G297" s="30">
        <f>IF(COUNTIF(Phrases!$A:$A,$A297)&gt;0,"ok","à faire")</f>
        <v/>
      </c>
      <c r="H297" s="30">
        <f>IF(COUNTIFS(Phrases!$A:$A,$A297,Phrases!$I:$I,"&lt;&gt;")&gt;0,"ok","à faire")</f>
        <v/>
      </c>
      <c r="I297" s="30">
        <f>IF(COUNTIF(Synonymes!$A:$A,$A297)&gt;0,"ok","")</f>
        <v/>
      </c>
      <c r="J297" s="30">
        <f>COUNTIF(E297:H297,"à faire")</f>
        <v/>
      </c>
    </row>
    <row r="298">
      <c r="A298" s="30" t="inlineStr">
        <is>
          <t>alpage_airoz</t>
        </is>
      </c>
      <c r="B298" s="30">
        <f>IFERROR(INDEX(Mots!$B:$B,MATCH($A298,Mots!$A:$A,0)),"introuvable")</f>
        <v/>
      </c>
      <c r="C298" s="30">
        <f>IFERROR(INDEX(Mots!$S:$S,MATCH($A298,Mots!$A:$A,0)),"")</f>
        <v/>
      </c>
      <c r="D298" s="30">
        <f>IFERROR(COUNTA(INDEX(Mots!$J:$J,MATCH($A298,Mots!$A:$A,0)):INDEX(Mots!$P:$P,MATCH($A298,Mots!$A:$A,0))),0)</f>
        <v/>
      </c>
      <c r="E298" s="30">
        <f>IF(COUNTIF(Classement!$A:$A,$A298)&gt;0,"ok","à faire")</f>
        <v/>
      </c>
      <c r="F298" s="30">
        <f>IF(COUNTIF(Tags!$A:$A,$A298)&gt;0,"ok","à faire")</f>
        <v/>
      </c>
      <c r="G298" s="30">
        <f>IF(COUNTIF(Phrases!$A:$A,$A298)&gt;0,"ok","à faire")</f>
        <v/>
      </c>
      <c r="H298" s="30">
        <f>IF(COUNTIFS(Phrases!$A:$A,$A298,Phrases!$I:$I,"&lt;&gt;")&gt;0,"ok","à faire")</f>
        <v/>
      </c>
      <c r="I298" s="30">
        <f>IF(COUNTIF(Synonymes!$A:$A,$A298)&gt;0,"ok","")</f>
        <v/>
      </c>
      <c r="J298" s="30">
        <f>COUNTIF(E298:H298,"à faire")</f>
        <v/>
      </c>
    </row>
    <row r="299">
      <c r="A299" s="30" t="inlineStr">
        <is>
          <t>aplage_flore</t>
        </is>
      </c>
      <c r="B299" s="30">
        <f>IFERROR(INDEX(Mots!$B:$B,MATCH($A299,Mots!$A:$A,0)),"introuvable")</f>
        <v/>
      </c>
      <c r="C299" s="30">
        <f>IFERROR(INDEX(Mots!$S:$S,MATCH($A299,Mots!$A:$A,0)),"")</f>
        <v/>
      </c>
      <c r="D299" s="30">
        <f>IFERROR(COUNTA(INDEX(Mots!$J:$J,MATCH($A299,Mots!$A:$A,0)):INDEX(Mots!$P:$P,MATCH($A299,Mots!$A:$A,0))),0)</f>
        <v/>
      </c>
      <c r="E299" s="30">
        <f>IF(COUNTIF(Classement!$A:$A,$A299)&gt;0,"ok","à faire")</f>
        <v/>
      </c>
      <c r="F299" s="30">
        <f>IF(COUNTIF(Tags!$A:$A,$A299)&gt;0,"ok","à faire")</f>
        <v/>
      </c>
      <c r="G299" s="30">
        <f>IF(COUNTIF(Phrases!$A:$A,$A299)&gt;0,"ok","à faire")</f>
        <v/>
      </c>
      <c r="H299" s="30">
        <f>IF(COUNTIFS(Phrases!$A:$A,$A299,Phrases!$I:$I,"&lt;&gt;")&gt;0,"ok","à faire")</f>
        <v/>
      </c>
      <c r="I299" s="30">
        <f>IF(COUNTIF(Synonymes!$A:$A,$A299)&gt;0,"ok","")</f>
        <v/>
      </c>
      <c r="J299" s="30">
        <f>COUNTIF(E299:H299,"à faire")</f>
        <v/>
      </c>
    </row>
    <row r="300">
      <c r="A300" s="30" t="inlineStr">
        <is>
          <t>lac_trente_pas</t>
        </is>
      </c>
      <c r="B300" s="30">
        <f>IFERROR(INDEX(Mots!$B:$B,MATCH($A300,Mots!$A:$A,0)),"introuvable")</f>
        <v/>
      </c>
      <c r="C300" s="30">
        <f>IFERROR(INDEX(Mots!$S:$S,MATCH($A300,Mots!$A:$A,0)),"")</f>
        <v/>
      </c>
      <c r="D300" s="30">
        <f>IFERROR(COUNTA(INDEX(Mots!$J:$J,MATCH($A300,Mots!$A:$A,0)):INDEX(Mots!$P:$P,MATCH($A300,Mots!$A:$A,0))),0)</f>
        <v/>
      </c>
      <c r="E300" s="30">
        <f>IF(COUNTIF(Classement!$A:$A,$A300)&gt;0,"ok","à faire")</f>
        <v/>
      </c>
      <c r="F300" s="30">
        <f>IF(COUNTIF(Tags!$A:$A,$A300)&gt;0,"ok","à faire")</f>
        <v/>
      </c>
      <c r="G300" s="30">
        <f>IF(COUNTIF(Phrases!$A:$A,$A300)&gt;0,"ok","à faire")</f>
        <v/>
      </c>
      <c r="H300" s="30">
        <f>IF(COUNTIFS(Phrases!$A:$A,$A300,Phrases!$I:$I,"&lt;&gt;")&gt;0,"ok","à faire")</f>
        <v/>
      </c>
      <c r="I300" s="30">
        <f>IF(COUNTIF(Synonymes!$A:$A,$A300)&gt;0,"ok","")</f>
        <v/>
      </c>
      <c r="J300" s="30">
        <f>COUNTIF(E300:H300,"à faire")</f>
        <v/>
      </c>
    </row>
    <row r="301">
      <c r="A301" s="30" t="inlineStr">
        <is>
          <t>croix_de_la_chia</t>
        </is>
      </c>
      <c r="B301" s="30">
        <f>IFERROR(INDEX(Mots!$B:$B,MATCH($A301,Mots!$A:$A,0)),"introuvable")</f>
        <v/>
      </c>
      <c r="C301" s="30">
        <f>IFERROR(INDEX(Mots!$S:$S,MATCH($A301,Mots!$A:$A,0)),"")</f>
        <v/>
      </c>
      <c r="D301" s="30">
        <f>IFERROR(COUNTA(INDEX(Mots!$J:$J,MATCH($A301,Mots!$A:$A,0)):INDEX(Mots!$P:$P,MATCH($A301,Mots!$A:$A,0))),0)</f>
        <v/>
      </c>
      <c r="E301" s="30">
        <f>IF(COUNTIF(Classement!$A:$A,$A301)&gt;0,"ok","à faire")</f>
        <v/>
      </c>
      <c r="F301" s="30">
        <f>IF(COUNTIF(Tags!$A:$A,$A301)&gt;0,"ok","à faire")</f>
        <v/>
      </c>
      <c r="G301" s="30">
        <f>IF(COUNTIF(Phrases!$A:$A,$A301)&gt;0,"ok","à faire")</f>
        <v/>
      </c>
      <c r="H301" s="30">
        <f>IF(COUNTIFS(Phrases!$A:$A,$A301,Phrases!$I:$I,"&lt;&gt;")&gt;0,"ok","à faire")</f>
        <v/>
      </c>
      <c r="I301" s="30">
        <f>IF(COUNTIF(Synonymes!$A:$A,$A301)&gt;0,"ok","")</f>
        <v/>
      </c>
      <c r="J301" s="30">
        <f>COUNTIF(E301:H301,"à faire")</f>
        <v/>
      </c>
    </row>
    <row r="302">
      <c r="A302" s="30" t="inlineStr">
        <is>
          <t>gite_lodze</t>
        </is>
      </c>
      <c r="B302" s="30">
        <f>IFERROR(INDEX(Mots!$B:$B,MATCH($A302,Mots!$A:$A,0)),"introuvable")</f>
        <v/>
      </c>
      <c r="C302" s="30">
        <f>IFERROR(INDEX(Mots!$S:$S,MATCH($A302,Mots!$A:$A,0)),"")</f>
        <v/>
      </c>
      <c r="D302" s="30">
        <f>IFERROR(COUNTA(INDEX(Mots!$J:$J,MATCH($A302,Mots!$A:$A,0)):INDEX(Mots!$P:$P,MATCH($A302,Mots!$A:$A,0))),0)</f>
        <v/>
      </c>
      <c r="E302" s="30">
        <f>IF(COUNTIF(Classement!$A:$A,$A302)&gt;0,"ok","à faire")</f>
        <v/>
      </c>
      <c r="F302" s="30">
        <f>IF(COUNTIF(Tags!$A:$A,$A302)&gt;0,"ok","à faire")</f>
        <v/>
      </c>
      <c r="G302" s="30">
        <f>IF(COUNTIF(Phrases!$A:$A,$A302)&gt;0,"ok","à faire")</f>
        <v/>
      </c>
      <c r="H302" s="30">
        <f>IF(COUNTIFS(Phrases!$A:$A,$A302,Phrases!$I:$I,"&lt;&gt;")&gt;0,"ok","à faire")</f>
        <v/>
      </c>
      <c r="I302" s="30">
        <f>IF(COUNTIF(Synonymes!$A:$A,$A302)&gt;0,"ok","")</f>
        <v/>
      </c>
      <c r="J302" s="30">
        <f>COUNTIF(E302:H302,"à faire")</f>
        <v/>
      </c>
    </row>
    <row r="303">
      <c r="A303" s="30" t="inlineStr">
        <is>
          <t>grand_zour</t>
        </is>
      </c>
      <c r="B303" s="30">
        <f>IFERROR(INDEX(Mots!$B:$B,MATCH($A303,Mots!$A:$A,0)),"introuvable")</f>
        <v/>
      </c>
      <c r="C303" s="30">
        <f>IFERROR(INDEX(Mots!$S:$S,MATCH($A303,Mots!$A:$A,0)),"")</f>
        <v/>
      </c>
      <c r="D303" s="30">
        <f>IFERROR(COUNTA(INDEX(Mots!$J:$J,MATCH($A303,Mots!$A:$A,0)):INDEX(Mots!$P:$P,MATCH($A303,Mots!$A:$A,0))),0)</f>
        <v/>
      </c>
      <c r="E303" s="30">
        <f>IF(COUNTIF(Classement!$A:$A,$A303)&gt;0,"ok","à faire")</f>
        <v/>
      </c>
      <c r="F303" s="30">
        <f>IF(COUNTIF(Tags!$A:$A,$A303)&gt;0,"ok","à faire")</f>
        <v/>
      </c>
      <c r="G303" s="30">
        <f>IF(COUNTIF(Phrases!$A:$A,$A303)&gt;0,"ok","à faire")</f>
        <v/>
      </c>
      <c r="H303" s="30">
        <f>IF(COUNTIFS(Phrases!$A:$A,$A303,Phrases!$I:$I,"&lt;&gt;")&gt;0,"ok","à faire")</f>
        <v/>
      </c>
      <c r="I303" s="30">
        <f>IF(COUNTIF(Synonymes!$A:$A,$A303)&gt;0,"ok","")</f>
        <v/>
      </c>
      <c r="J303" s="30">
        <f>COUNTIF(E303:H303,"à faire")</f>
        <v/>
      </c>
    </row>
    <row r="304">
      <c r="A304" s="30" t="inlineStr">
        <is>
          <t>prarochet</t>
        </is>
      </c>
      <c r="B304" s="30">
        <f>IFERROR(INDEX(Mots!$B:$B,MATCH($A304,Mots!$A:$A,0)),"introuvable")</f>
        <v/>
      </c>
      <c r="C304" s="30">
        <f>IFERROR(INDEX(Mots!$S:$S,MATCH($A304,Mots!$A:$A,0)),"")</f>
        <v/>
      </c>
      <c r="D304" s="30">
        <f>IFERROR(COUNTA(INDEX(Mots!$J:$J,MATCH($A304,Mots!$A:$A,0)):INDEX(Mots!$P:$P,MATCH($A304,Mots!$A:$A,0))),0)</f>
        <v/>
      </c>
      <c r="E304" s="30">
        <f>IF(COUNTIF(Classement!$A:$A,$A304)&gt;0,"ok","à faire")</f>
        <v/>
      </c>
      <c r="F304" s="30">
        <f>IF(COUNTIF(Tags!$A:$A,$A304)&gt;0,"ok","à faire")</f>
        <v/>
      </c>
      <c r="G304" s="30">
        <f>IF(COUNTIF(Phrases!$A:$A,$A304)&gt;0,"ok","à faire")</f>
        <v/>
      </c>
      <c r="H304" s="30">
        <f>IF(COUNTIFS(Phrases!$A:$A,$A304,Phrases!$I:$I,"&lt;&gt;")&gt;0,"ok","à faire")</f>
        <v/>
      </c>
      <c r="I304" s="30">
        <f>IF(COUNTIF(Synonymes!$A:$A,$A304)&gt;0,"ok","")</f>
        <v/>
      </c>
      <c r="J304" s="30">
        <f>COUNTIF(E304:H304,"à faire")</f>
        <v/>
      </c>
    </row>
    <row r="305">
      <c r="A305" s="30" t="inlineStr">
        <is>
          <t>barage_grande_dixence</t>
        </is>
      </c>
      <c r="B305" s="30">
        <f>IFERROR(INDEX(Mots!$B:$B,MATCH($A305,Mots!$A:$A,0)),"introuvable")</f>
        <v/>
      </c>
      <c r="C305" s="30">
        <f>IFERROR(INDEX(Mots!$S:$S,MATCH($A305,Mots!$A:$A,0)),"")</f>
        <v/>
      </c>
      <c r="D305" s="30">
        <f>IFERROR(COUNTA(INDEX(Mots!$J:$J,MATCH($A305,Mots!$A:$A,0)):INDEX(Mots!$P:$P,MATCH($A305,Mots!$A:$A,0))),0)</f>
        <v/>
      </c>
      <c r="E305" s="30">
        <f>IF(COUNTIF(Classement!$A:$A,$A305)&gt;0,"ok","à faire")</f>
        <v/>
      </c>
      <c r="F305" s="30">
        <f>IF(COUNTIF(Tags!$A:$A,$A305)&gt;0,"ok","à faire")</f>
        <v/>
      </c>
      <c r="G305" s="30">
        <f>IF(COUNTIF(Phrases!$A:$A,$A305)&gt;0,"ok","à faire")</f>
        <v/>
      </c>
      <c r="H305" s="30">
        <f>IF(COUNTIFS(Phrases!$A:$A,$A305,Phrases!$I:$I,"&lt;&gt;")&gt;0,"ok","à faire")</f>
        <v/>
      </c>
      <c r="I305" s="30">
        <f>IF(COUNTIF(Synonymes!$A:$A,$A305)&gt;0,"ok","")</f>
        <v/>
      </c>
      <c r="J305" s="30">
        <f>COUNTIF(E305:H305,"à faire")</f>
        <v/>
      </c>
    </row>
    <row r="306">
      <c r="A306" s="30" t="inlineStr">
        <is>
          <t>argent</t>
        </is>
      </c>
      <c r="B306" s="30">
        <f>IFERROR(INDEX(Mots!$B:$B,MATCH($A306,Mots!$A:$A,0)),"introuvable")</f>
        <v/>
      </c>
      <c r="C306" s="30">
        <f>IFERROR(INDEX(Mots!$S:$S,MATCH($A306,Mots!$A:$A,0)),"")</f>
        <v/>
      </c>
      <c r="D306" s="30">
        <f>IFERROR(COUNTA(INDEX(Mots!$J:$J,MATCH($A306,Mots!$A:$A,0)):INDEX(Mots!$P:$P,MATCH($A306,Mots!$A:$A,0))),0)</f>
        <v/>
      </c>
      <c r="E306" s="30">
        <f>IF(COUNTIF(Classement!$A:$A,$A306)&gt;0,"ok","à faire")</f>
        <v/>
      </c>
      <c r="F306" s="30">
        <f>IF(COUNTIF(Tags!$A:$A,$A306)&gt;0,"ok","à faire")</f>
        <v/>
      </c>
      <c r="G306" s="30">
        <f>IF(COUNTIF(Phrases!$A:$A,$A306)&gt;0,"ok","à faire")</f>
        <v/>
      </c>
      <c r="H306" s="30">
        <f>IF(COUNTIFS(Phrases!$A:$A,$A306,Phrases!$I:$I,"&lt;&gt;")&gt;0,"ok","à faire")</f>
        <v/>
      </c>
      <c r="I306" s="30">
        <f>IF(COUNTIF(Synonymes!$A:$A,$A306)&gt;0,"ok","")</f>
        <v/>
      </c>
      <c r="J306" s="30">
        <f>COUNTIF(E306:H306,"à faire")</f>
        <v/>
      </c>
    </row>
    <row r="307">
      <c r="A307" s="30" t="inlineStr">
        <is>
          <t>salaire</t>
        </is>
      </c>
      <c r="B307" s="30">
        <f>IFERROR(INDEX(Mots!$B:$B,MATCH($A307,Mots!$A:$A,0)),"introuvable")</f>
        <v/>
      </c>
      <c r="C307" s="30">
        <f>IFERROR(INDEX(Mots!$S:$S,MATCH($A307,Mots!$A:$A,0)),"")</f>
        <v/>
      </c>
      <c r="D307" s="30">
        <f>IFERROR(COUNTA(INDEX(Mots!$J:$J,MATCH($A307,Mots!$A:$A,0)):INDEX(Mots!$P:$P,MATCH($A307,Mots!$A:$A,0))),0)</f>
        <v/>
      </c>
      <c r="E307" s="30">
        <f>IF(COUNTIF(Classement!$A:$A,$A307)&gt;0,"ok","à faire")</f>
        <v/>
      </c>
      <c r="F307" s="30">
        <f>IF(COUNTIF(Tags!$A:$A,$A307)&gt;0,"ok","à faire")</f>
        <v/>
      </c>
      <c r="G307" s="30">
        <f>IF(COUNTIF(Phrases!$A:$A,$A307)&gt;0,"ok","à faire")</f>
        <v/>
      </c>
      <c r="H307" s="30">
        <f>IF(COUNTIFS(Phrases!$A:$A,$A307,Phrases!$I:$I,"&lt;&gt;")&gt;0,"ok","à faire")</f>
        <v/>
      </c>
      <c r="I307" s="30">
        <f>IF(COUNTIF(Synonymes!$A:$A,$A307)&gt;0,"ok","")</f>
        <v/>
      </c>
      <c r="J307" s="30">
        <f>COUNTIF(E307:H307,"à faire")</f>
        <v/>
      </c>
    </row>
    <row r="308">
      <c r="A308" s="30" t="inlineStr">
        <is>
          <t>fruit</t>
        </is>
      </c>
      <c r="B308" s="30">
        <f>IFERROR(INDEX(Mots!$B:$B,MATCH($A308,Mots!$A:$A,0)),"introuvable")</f>
        <v/>
      </c>
      <c r="C308" s="30">
        <f>IFERROR(INDEX(Mots!$S:$S,MATCH($A308,Mots!$A:$A,0)),"")</f>
        <v/>
      </c>
      <c r="D308" s="30">
        <f>IFERROR(COUNTA(INDEX(Mots!$J:$J,MATCH($A308,Mots!$A:$A,0)):INDEX(Mots!$P:$P,MATCH($A308,Mots!$A:$A,0))),0)</f>
        <v/>
      </c>
      <c r="E308" s="30">
        <f>IF(COUNTIF(Classement!$A:$A,$A308)&gt;0,"ok","à faire")</f>
        <v/>
      </c>
      <c r="F308" s="30">
        <f>IF(COUNTIF(Tags!$A:$A,$A308)&gt;0,"ok","à faire")</f>
        <v/>
      </c>
      <c r="G308" s="30">
        <f>IF(COUNTIF(Phrases!$A:$A,$A308)&gt;0,"ok","à faire")</f>
        <v/>
      </c>
      <c r="H308" s="30">
        <f>IF(COUNTIFS(Phrases!$A:$A,$A308,Phrases!$I:$I,"&lt;&gt;")&gt;0,"ok","à faire")</f>
        <v/>
      </c>
      <c r="I308" s="30">
        <f>IF(COUNTIF(Synonymes!$A:$A,$A308)&gt;0,"ok","")</f>
        <v/>
      </c>
      <c r="J308" s="30">
        <f>COUNTIF(E308:H308,"à faire")</f>
        <v/>
      </c>
    </row>
    <row r="309">
      <c r="A309" s="30" t="inlineStr">
        <is>
          <t>pomme</t>
        </is>
      </c>
      <c r="B309" s="30">
        <f>IFERROR(INDEX(Mots!$B:$B,MATCH($A309,Mots!$A:$A,0)),"introuvable")</f>
        <v/>
      </c>
      <c r="C309" s="30">
        <f>IFERROR(INDEX(Mots!$S:$S,MATCH($A309,Mots!$A:$A,0)),"")</f>
        <v/>
      </c>
      <c r="D309" s="30">
        <f>IFERROR(COUNTA(INDEX(Mots!$J:$J,MATCH($A309,Mots!$A:$A,0)):INDEX(Mots!$P:$P,MATCH($A309,Mots!$A:$A,0))),0)</f>
        <v/>
      </c>
      <c r="E309" s="30">
        <f>IF(COUNTIF(Classement!$A:$A,$A309)&gt;0,"ok","à faire")</f>
        <v/>
      </c>
      <c r="F309" s="30">
        <f>IF(COUNTIF(Tags!$A:$A,$A309)&gt;0,"ok","à faire")</f>
        <v/>
      </c>
      <c r="G309" s="30">
        <f>IF(COUNTIF(Phrases!$A:$A,$A309)&gt;0,"ok","à faire")</f>
        <v/>
      </c>
      <c r="H309" s="30">
        <f>IF(COUNTIFS(Phrases!$A:$A,$A309,Phrases!$I:$I,"&lt;&gt;")&gt;0,"ok","à faire")</f>
        <v/>
      </c>
      <c r="I309" s="30">
        <f>IF(COUNTIF(Synonymes!$A:$A,$A309)&gt;0,"ok","")</f>
        <v/>
      </c>
      <c r="J309" s="30">
        <f>COUNTIF(E309:H309,"à faire")</f>
        <v/>
      </c>
    </row>
    <row r="310">
      <c r="A310" s="30" t="inlineStr">
        <is>
          <t>poire</t>
        </is>
      </c>
      <c r="B310" s="30">
        <f>IFERROR(INDEX(Mots!$B:$B,MATCH($A310,Mots!$A:$A,0)),"introuvable")</f>
        <v/>
      </c>
      <c r="C310" s="30">
        <f>IFERROR(INDEX(Mots!$S:$S,MATCH($A310,Mots!$A:$A,0)),"")</f>
        <v/>
      </c>
      <c r="D310" s="30">
        <f>IFERROR(COUNTA(INDEX(Mots!$J:$J,MATCH($A310,Mots!$A:$A,0)):INDEX(Mots!$P:$P,MATCH($A310,Mots!$A:$A,0))),0)</f>
        <v/>
      </c>
      <c r="E310" s="30">
        <f>IF(COUNTIF(Classement!$A:$A,$A310)&gt;0,"ok","à faire")</f>
        <v/>
      </c>
      <c r="F310" s="30">
        <f>IF(COUNTIF(Tags!$A:$A,$A310)&gt;0,"ok","à faire")</f>
        <v/>
      </c>
      <c r="G310" s="30">
        <f>IF(COUNTIF(Phrases!$A:$A,$A310)&gt;0,"ok","à faire")</f>
        <v/>
      </c>
      <c r="H310" s="30">
        <f>IF(COUNTIFS(Phrases!$A:$A,$A310,Phrases!$I:$I,"&lt;&gt;")&gt;0,"ok","à faire")</f>
        <v/>
      </c>
      <c r="I310" s="30">
        <f>IF(COUNTIF(Synonymes!$A:$A,$A310)&gt;0,"ok","")</f>
        <v/>
      </c>
      <c r="J310" s="30">
        <f>COUNTIF(E310:H310,"à faire")</f>
        <v/>
      </c>
    </row>
    <row r="311">
      <c r="A311" s="30" t="inlineStr">
        <is>
          <t>pruneau</t>
        </is>
      </c>
      <c r="B311" s="30">
        <f>IFERROR(INDEX(Mots!$B:$B,MATCH($A311,Mots!$A:$A,0)),"introuvable")</f>
        <v/>
      </c>
      <c r="C311" s="30">
        <f>IFERROR(INDEX(Mots!$S:$S,MATCH($A311,Mots!$A:$A,0)),"")</f>
        <v/>
      </c>
      <c r="D311" s="30">
        <f>IFERROR(COUNTA(INDEX(Mots!$J:$J,MATCH($A311,Mots!$A:$A,0)):INDEX(Mots!$P:$P,MATCH($A311,Mots!$A:$A,0))),0)</f>
        <v/>
      </c>
      <c r="E311" s="30">
        <f>IF(COUNTIF(Classement!$A:$A,$A311)&gt;0,"ok","à faire")</f>
        <v/>
      </c>
      <c r="F311" s="30">
        <f>IF(COUNTIF(Tags!$A:$A,$A311)&gt;0,"ok","à faire")</f>
        <v/>
      </c>
      <c r="G311" s="30">
        <f>IF(COUNTIF(Phrases!$A:$A,$A311)&gt;0,"ok","à faire")</f>
        <v/>
      </c>
      <c r="H311" s="30">
        <f>IF(COUNTIFS(Phrases!$A:$A,$A311,Phrases!$I:$I,"&lt;&gt;")&gt;0,"ok","à faire")</f>
        <v/>
      </c>
      <c r="I311" s="30">
        <f>IF(COUNTIF(Synonymes!$A:$A,$A311)&gt;0,"ok","")</f>
        <v/>
      </c>
      <c r="J311" s="30">
        <f>COUNTIF(E311:H311,"à faire")</f>
        <v/>
      </c>
    </row>
    <row r="312">
      <c r="A312" s="30" t="inlineStr">
        <is>
          <t>cerise</t>
        </is>
      </c>
      <c r="B312" s="30">
        <f>IFERROR(INDEX(Mots!$B:$B,MATCH($A312,Mots!$A:$A,0)),"introuvable")</f>
        <v/>
      </c>
      <c r="C312" s="30">
        <f>IFERROR(INDEX(Mots!$S:$S,MATCH($A312,Mots!$A:$A,0)),"")</f>
        <v/>
      </c>
      <c r="D312" s="30">
        <f>IFERROR(COUNTA(INDEX(Mots!$J:$J,MATCH($A312,Mots!$A:$A,0)):INDEX(Mots!$P:$P,MATCH($A312,Mots!$A:$A,0))),0)</f>
        <v/>
      </c>
      <c r="E312" s="30">
        <f>IF(COUNTIF(Classement!$A:$A,$A312)&gt;0,"ok","à faire")</f>
        <v/>
      </c>
      <c r="F312" s="30">
        <f>IF(COUNTIF(Tags!$A:$A,$A312)&gt;0,"ok","à faire")</f>
        <v/>
      </c>
      <c r="G312" s="30">
        <f>IF(COUNTIF(Phrases!$A:$A,$A312)&gt;0,"ok","à faire")</f>
        <v/>
      </c>
      <c r="H312" s="30">
        <f>IF(COUNTIFS(Phrases!$A:$A,$A312,Phrases!$I:$I,"&lt;&gt;")&gt;0,"ok","à faire")</f>
        <v/>
      </c>
      <c r="I312" s="30">
        <f>IF(COUNTIF(Synonymes!$A:$A,$A312)&gt;0,"ok","")</f>
        <v/>
      </c>
      <c r="J312" s="30">
        <f>COUNTIF(E312:H312,"à faire")</f>
        <v/>
      </c>
    </row>
    <row r="313">
      <c r="A313" s="30" t="inlineStr">
        <is>
          <t>abricot</t>
        </is>
      </c>
      <c r="B313" s="30">
        <f>IFERROR(INDEX(Mots!$B:$B,MATCH($A313,Mots!$A:$A,0)),"introuvable")</f>
        <v/>
      </c>
      <c r="C313" s="30">
        <f>IFERROR(INDEX(Mots!$S:$S,MATCH($A313,Mots!$A:$A,0)),"")</f>
        <v/>
      </c>
      <c r="D313" s="30">
        <f>IFERROR(COUNTA(INDEX(Mots!$J:$J,MATCH($A313,Mots!$A:$A,0)):INDEX(Mots!$P:$P,MATCH($A313,Mots!$A:$A,0))),0)</f>
        <v/>
      </c>
      <c r="E313" s="30">
        <f>IF(COUNTIF(Classement!$A:$A,$A313)&gt;0,"ok","à faire")</f>
        <v/>
      </c>
      <c r="F313" s="30">
        <f>IF(COUNTIF(Tags!$A:$A,$A313)&gt;0,"ok","à faire")</f>
        <v/>
      </c>
      <c r="G313" s="30">
        <f>IF(COUNTIF(Phrases!$A:$A,$A313)&gt;0,"ok","à faire")</f>
        <v/>
      </c>
      <c r="H313" s="30">
        <f>IF(COUNTIFS(Phrases!$A:$A,$A313,Phrases!$I:$I,"&lt;&gt;")&gt;0,"ok","à faire")</f>
        <v/>
      </c>
      <c r="I313" s="30">
        <f>IF(COUNTIF(Synonymes!$A:$A,$A313)&gt;0,"ok","")</f>
        <v/>
      </c>
      <c r="J313" s="30">
        <f>COUNTIF(E313:H313,"à faire")</f>
        <v/>
      </c>
    </row>
    <row r="314">
      <c r="A314" s="30" t="inlineStr">
        <is>
          <t>fraise</t>
        </is>
      </c>
      <c r="B314" s="30">
        <f>IFERROR(INDEX(Mots!$B:$B,MATCH($A314,Mots!$A:$A,0)),"introuvable")</f>
        <v/>
      </c>
      <c r="C314" s="30">
        <f>IFERROR(INDEX(Mots!$S:$S,MATCH($A314,Mots!$A:$A,0)),"")</f>
        <v/>
      </c>
      <c r="D314" s="30">
        <f>IFERROR(COUNTA(INDEX(Mots!$J:$J,MATCH($A314,Mots!$A:$A,0)):INDEX(Mots!$P:$P,MATCH($A314,Mots!$A:$A,0))),0)</f>
        <v/>
      </c>
      <c r="E314" s="30">
        <f>IF(COUNTIF(Classement!$A:$A,$A314)&gt;0,"ok","à faire")</f>
        <v/>
      </c>
      <c r="F314" s="30">
        <f>IF(COUNTIF(Tags!$A:$A,$A314)&gt;0,"ok","à faire")</f>
        <v/>
      </c>
      <c r="G314" s="30">
        <f>IF(COUNTIF(Phrases!$A:$A,$A314)&gt;0,"ok","à faire")</f>
        <v/>
      </c>
      <c r="H314" s="30">
        <f>IF(COUNTIFS(Phrases!$A:$A,$A314,Phrases!$I:$I,"&lt;&gt;")&gt;0,"ok","à faire")</f>
        <v/>
      </c>
      <c r="I314" s="30">
        <f>IF(COUNTIF(Synonymes!$A:$A,$A314)&gt;0,"ok","")</f>
        <v/>
      </c>
      <c r="J314" s="30">
        <f>COUNTIF(E314:H314,"à faire")</f>
        <v/>
      </c>
    </row>
    <row r="315">
      <c r="A315" s="30" t="inlineStr">
        <is>
          <t>framboise</t>
        </is>
      </c>
      <c r="B315" s="30">
        <f>IFERROR(INDEX(Mots!$B:$B,MATCH($A315,Mots!$A:$A,0)),"introuvable")</f>
        <v/>
      </c>
      <c r="C315" s="30">
        <f>IFERROR(INDEX(Mots!$S:$S,MATCH($A315,Mots!$A:$A,0)),"")</f>
        <v/>
      </c>
      <c r="D315" s="30">
        <f>IFERROR(COUNTA(INDEX(Mots!$J:$J,MATCH($A315,Mots!$A:$A,0)):INDEX(Mots!$P:$P,MATCH($A315,Mots!$A:$A,0))),0)</f>
        <v/>
      </c>
      <c r="E315" s="30">
        <f>IF(COUNTIF(Classement!$A:$A,$A315)&gt;0,"ok","à faire")</f>
        <v/>
      </c>
      <c r="F315" s="30">
        <f>IF(COUNTIF(Tags!$A:$A,$A315)&gt;0,"ok","à faire")</f>
        <v/>
      </c>
      <c r="G315" s="30">
        <f>IF(COUNTIF(Phrases!$A:$A,$A315)&gt;0,"ok","à faire")</f>
        <v/>
      </c>
      <c r="H315" s="30">
        <f>IF(COUNTIFS(Phrases!$A:$A,$A315,Phrases!$I:$I,"&lt;&gt;")&gt;0,"ok","à faire")</f>
        <v/>
      </c>
      <c r="I315" s="30">
        <f>IF(COUNTIF(Synonymes!$A:$A,$A315)&gt;0,"ok","")</f>
        <v/>
      </c>
      <c r="J315" s="30">
        <f>COUNTIF(E315:H315,"à faire")</f>
        <v/>
      </c>
    </row>
    <row r="316">
      <c r="A316" s="30" t="inlineStr">
        <is>
          <t>banane</t>
        </is>
      </c>
      <c r="B316" s="30">
        <f>IFERROR(INDEX(Mots!$B:$B,MATCH($A316,Mots!$A:$A,0)),"introuvable")</f>
        <v/>
      </c>
      <c r="C316" s="30">
        <f>IFERROR(INDEX(Mots!$S:$S,MATCH($A316,Mots!$A:$A,0)),"")</f>
        <v/>
      </c>
      <c r="D316" s="30">
        <f>IFERROR(COUNTA(INDEX(Mots!$J:$J,MATCH($A316,Mots!$A:$A,0)):INDEX(Mots!$P:$P,MATCH($A316,Mots!$A:$A,0))),0)</f>
        <v/>
      </c>
      <c r="E316" s="30">
        <f>IF(COUNTIF(Classement!$A:$A,$A316)&gt;0,"ok","à faire")</f>
        <v/>
      </c>
      <c r="F316" s="30">
        <f>IF(COUNTIF(Tags!$A:$A,$A316)&gt;0,"ok","à faire")</f>
        <v/>
      </c>
      <c r="G316" s="30">
        <f>IF(COUNTIF(Phrases!$A:$A,$A316)&gt;0,"ok","à faire")</f>
        <v/>
      </c>
      <c r="H316" s="30">
        <f>IF(COUNTIFS(Phrases!$A:$A,$A316,Phrases!$I:$I,"&lt;&gt;")&gt;0,"ok","à faire")</f>
        <v/>
      </c>
      <c r="I316" s="30">
        <f>IF(COUNTIF(Synonymes!$A:$A,$A316)&gt;0,"ok","")</f>
        <v/>
      </c>
      <c r="J316" s="30">
        <f>COUNTIF(E316:H316,"à faire")</f>
        <v/>
      </c>
    </row>
    <row r="317">
      <c r="A317" s="30" t="inlineStr">
        <is>
          <t>orange</t>
        </is>
      </c>
      <c r="B317" s="30">
        <f>IFERROR(INDEX(Mots!$B:$B,MATCH($A317,Mots!$A:$A,0)),"introuvable")</f>
        <v/>
      </c>
      <c r="C317" s="30">
        <f>IFERROR(INDEX(Mots!$S:$S,MATCH($A317,Mots!$A:$A,0)),"")</f>
        <v/>
      </c>
      <c r="D317" s="30">
        <f>IFERROR(COUNTA(INDEX(Mots!$J:$J,MATCH($A317,Mots!$A:$A,0)):INDEX(Mots!$P:$P,MATCH($A317,Mots!$A:$A,0))),0)</f>
        <v/>
      </c>
      <c r="E317" s="30">
        <f>IF(COUNTIF(Classement!$A:$A,$A317)&gt;0,"ok","à faire")</f>
        <v/>
      </c>
      <c r="F317" s="30">
        <f>IF(COUNTIF(Tags!$A:$A,$A317)&gt;0,"ok","à faire")</f>
        <v/>
      </c>
      <c r="G317" s="30">
        <f>IF(COUNTIF(Phrases!$A:$A,$A317)&gt;0,"ok","à faire")</f>
        <v/>
      </c>
      <c r="H317" s="30">
        <f>IF(COUNTIFS(Phrases!$A:$A,$A317,Phrases!$I:$I,"&lt;&gt;")&gt;0,"ok","à faire")</f>
        <v/>
      </c>
      <c r="I317" s="30">
        <f>IF(COUNTIF(Synonymes!$A:$A,$A317)&gt;0,"ok","")</f>
        <v/>
      </c>
      <c r="J317" s="30">
        <f>COUNTIF(E317:H317,"à faire")</f>
        <v/>
      </c>
    </row>
    <row r="318">
      <c r="A318" s="30" t="inlineStr">
        <is>
          <t>mandarine</t>
        </is>
      </c>
      <c r="B318" s="30">
        <f>IFERROR(INDEX(Mots!$B:$B,MATCH($A318,Mots!$A:$A,0)),"introuvable")</f>
        <v/>
      </c>
      <c r="C318" s="30">
        <f>IFERROR(INDEX(Mots!$S:$S,MATCH($A318,Mots!$A:$A,0)),"")</f>
        <v/>
      </c>
      <c r="D318" s="30">
        <f>IFERROR(COUNTA(INDEX(Mots!$J:$J,MATCH($A318,Mots!$A:$A,0)):INDEX(Mots!$P:$P,MATCH($A318,Mots!$A:$A,0))),0)</f>
        <v/>
      </c>
      <c r="E318" s="30">
        <f>IF(COUNTIF(Classement!$A:$A,$A318)&gt;0,"ok","à faire")</f>
        <v/>
      </c>
      <c r="F318" s="30">
        <f>IF(COUNTIF(Tags!$A:$A,$A318)&gt;0,"ok","à faire")</f>
        <v/>
      </c>
      <c r="G318" s="30">
        <f>IF(COUNTIF(Phrases!$A:$A,$A318)&gt;0,"ok","à faire")</f>
        <v/>
      </c>
      <c r="H318" s="30">
        <f>IF(COUNTIFS(Phrases!$A:$A,$A318,Phrases!$I:$I,"&lt;&gt;")&gt;0,"ok","à faire")</f>
        <v/>
      </c>
      <c r="I318" s="30">
        <f>IF(COUNTIF(Synonymes!$A:$A,$A318)&gt;0,"ok","")</f>
        <v/>
      </c>
      <c r="J318" s="30">
        <f>COUNTIF(E318:H318,"à faire")</f>
        <v/>
      </c>
    </row>
    <row r="319">
      <c r="A319" s="30" t="inlineStr">
        <is>
          <t>avocat</t>
        </is>
      </c>
      <c r="B319" s="30">
        <f>IFERROR(INDEX(Mots!$B:$B,MATCH($A319,Mots!$A:$A,0)),"introuvable")</f>
        <v/>
      </c>
      <c r="C319" s="30">
        <f>IFERROR(INDEX(Mots!$S:$S,MATCH($A319,Mots!$A:$A,0)),"")</f>
        <v/>
      </c>
      <c r="D319" s="30">
        <f>IFERROR(COUNTA(INDEX(Mots!$J:$J,MATCH($A319,Mots!$A:$A,0)):INDEX(Mots!$P:$P,MATCH($A319,Mots!$A:$A,0))),0)</f>
        <v/>
      </c>
      <c r="E319" s="30">
        <f>IF(COUNTIF(Classement!$A:$A,$A319)&gt;0,"ok","à faire")</f>
        <v/>
      </c>
      <c r="F319" s="30">
        <f>IF(COUNTIF(Tags!$A:$A,$A319)&gt;0,"ok","à faire")</f>
        <v/>
      </c>
      <c r="G319" s="30">
        <f>IF(COUNTIF(Phrases!$A:$A,$A319)&gt;0,"ok","à faire")</f>
        <v/>
      </c>
      <c r="H319" s="30">
        <f>IF(COUNTIFS(Phrases!$A:$A,$A319,Phrases!$I:$I,"&lt;&gt;")&gt;0,"ok","à faire")</f>
        <v/>
      </c>
      <c r="I319" s="30">
        <f>IF(COUNTIF(Synonymes!$A:$A,$A319)&gt;0,"ok","")</f>
        <v/>
      </c>
      <c r="J319" s="30">
        <f>COUNTIF(E319:H319,"à faire")</f>
        <v/>
      </c>
    </row>
    <row r="320">
      <c r="A320" s="30" t="inlineStr">
        <is>
          <t>noix</t>
        </is>
      </c>
      <c r="B320" s="30">
        <f>IFERROR(INDEX(Mots!$B:$B,MATCH($A320,Mots!$A:$A,0)),"introuvable")</f>
        <v/>
      </c>
      <c r="C320" s="30">
        <f>IFERROR(INDEX(Mots!$S:$S,MATCH($A320,Mots!$A:$A,0)),"")</f>
        <v/>
      </c>
      <c r="D320" s="30">
        <f>IFERROR(COUNTA(INDEX(Mots!$J:$J,MATCH($A320,Mots!$A:$A,0)):INDEX(Mots!$P:$P,MATCH($A320,Mots!$A:$A,0))),0)</f>
        <v/>
      </c>
      <c r="E320" s="30">
        <f>IF(COUNTIF(Classement!$A:$A,$A320)&gt;0,"ok","à faire")</f>
        <v/>
      </c>
      <c r="F320" s="30">
        <f>IF(COUNTIF(Tags!$A:$A,$A320)&gt;0,"ok","à faire")</f>
        <v/>
      </c>
      <c r="G320" s="30">
        <f>IF(COUNTIF(Phrases!$A:$A,$A320)&gt;0,"ok","à faire")</f>
        <v/>
      </c>
      <c r="H320" s="30">
        <f>IF(COUNTIFS(Phrases!$A:$A,$A320,Phrases!$I:$I,"&lt;&gt;")&gt;0,"ok","à faire")</f>
        <v/>
      </c>
      <c r="I320" s="30">
        <f>IF(COUNTIF(Synonymes!$A:$A,$A320)&gt;0,"ok","")</f>
        <v/>
      </c>
      <c r="J320" s="30">
        <f>COUNTIF(E320:H320,"à faire")</f>
        <v/>
      </c>
    </row>
    <row r="321">
      <c r="A321" s="30" t="inlineStr">
        <is>
          <t>peche</t>
        </is>
      </c>
      <c r="B321" s="30">
        <f>IFERROR(INDEX(Mots!$B:$B,MATCH($A321,Mots!$A:$A,0)),"introuvable")</f>
        <v/>
      </c>
      <c r="C321" s="30">
        <f>IFERROR(INDEX(Mots!$S:$S,MATCH($A321,Mots!$A:$A,0)),"")</f>
        <v/>
      </c>
      <c r="D321" s="30">
        <f>IFERROR(COUNTA(INDEX(Mots!$J:$J,MATCH($A321,Mots!$A:$A,0)):INDEX(Mots!$P:$P,MATCH($A321,Mots!$A:$A,0))),0)</f>
        <v/>
      </c>
      <c r="E321" s="30">
        <f>IF(COUNTIF(Classement!$A:$A,$A321)&gt;0,"ok","à faire")</f>
        <v/>
      </c>
      <c r="F321" s="30">
        <f>IF(COUNTIF(Tags!$A:$A,$A321)&gt;0,"ok","à faire")</f>
        <v/>
      </c>
      <c r="G321" s="30">
        <f>IF(COUNTIF(Phrases!$A:$A,$A321)&gt;0,"ok","à faire")</f>
        <v/>
      </c>
      <c r="H321" s="30">
        <f>IF(COUNTIFS(Phrases!$A:$A,$A321,Phrases!$I:$I,"&lt;&gt;")&gt;0,"ok","à faire")</f>
        <v/>
      </c>
      <c r="I321" s="30">
        <f>IF(COUNTIF(Synonymes!$A:$A,$A321)&gt;0,"ok","")</f>
        <v/>
      </c>
      <c r="J321" s="30">
        <f>COUNTIF(E321:H321,"à faire")</f>
        <v/>
      </c>
    </row>
    <row r="322">
      <c r="A322" s="30" t="inlineStr">
        <is>
          <t>raisin</t>
        </is>
      </c>
      <c r="B322" s="30">
        <f>IFERROR(INDEX(Mots!$B:$B,MATCH($A322,Mots!$A:$A,0)),"introuvable")</f>
        <v/>
      </c>
      <c r="C322" s="30">
        <f>IFERROR(INDEX(Mots!$S:$S,MATCH($A322,Mots!$A:$A,0)),"")</f>
        <v/>
      </c>
      <c r="D322" s="30">
        <f>IFERROR(COUNTA(INDEX(Mots!$J:$J,MATCH($A322,Mots!$A:$A,0)):INDEX(Mots!$P:$P,MATCH($A322,Mots!$A:$A,0))),0)</f>
        <v/>
      </c>
      <c r="E322" s="30">
        <f>IF(COUNTIF(Classement!$A:$A,$A322)&gt;0,"ok","à faire")</f>
        <v/>
      </c>
      <c r="F322" s="30">
        <f>IF(COUNTIF(Tags!$A:$A,$A322)&gt;0,"ok","à faire")</f>
        <v/>
      </c>
      <c r="G322" s="30">
        <f>IF(COUNTIF(Phrases!$A:$A,$A322)&gt;0,"ok","à faire")</f>
        <v/>
      </c>
      <c r="H322" s="30">
        <f>IF(COUNTIFS(Phrases!$A:$A,$A322,Phrases!$I:$I,"&lt;&gt;")&gt;0,"ok","à faire")</f>
        <v/>
      </c>
      <c r="I322" s="30">
        <f>IF(COUNTIF(Synonymes!$A:$A,$A322)&gt;0,"ok","")</f>
        <v/>
      </c>
      <c r="J322" s="30">
        <f>COUNTIF(E322:H322,"à faire")</f>
        <v/>
      </c>
    </row>
    <row r="323">
      <c r="A323" s="30" t="inlineStr">
        <is>
          <t>fourmi</t>
        </is>
      </c>
      <c r="B323" s="30">
        <f>IFERROR(INDEX(Mots!$B:$B,MATCH($A323,Mots!$A:$A,0)),"introuvable")</f>
        <v/>
      </c>
      <c r="C323" s="30">
        <f>IFERROR(INDEX(Mots!$S:$S,MATCH($A323,Mots!$A:$A,0)),"")</f>
        <v/>
      </c>
      <c r="D323" s="30">
        <f>IFERROR(COUNTA(INDEX(Mots!$J:$J,MATCH($A323,Mots!$A:$A,0)):INDEX(Mots!$P:$P,MATCH($A323,Mots!$A:$A,0))),0)</f>
        <v/>
      </c>
      <c r="E323" s="30">
        <f>IF(COUNTIF(Classement!$A:$A,$A323)&gt;0,"ok","à faire")</f>
        <v/>
      </c>
      <c r="F323" s="30">
        <f>IF(COUNTIF(Tags!$A:$A,$A323)&gt;0,"ok","à faire")</f>
        <v/>
      </c>
      <c r="G323" s="30">
        <f>IF(COUNTIF(Phrases!$A:$A,$A323)&gt;0,"ok","à faire")</f>
        <v/>
      </c>
      <c r="H323" s="30">
        <f>IF(COUNTIFS(Phrases!$A:$A,$A323,Phrases!$I:$I,"&lt;&gt;")&gt;0,"ok","à faire")</f>
        <v/>
      </c>
      <c r="I323" s="30">
        <f>IF(COUNTIF(Synonymes!$A:$A,$A323)&gt;0,"ok","")</f>
        <v/>
      </c>
      <c r="J323" s="30">
        <f>COUNTIF(E323:H323,"à faire")</f>
        <v/>
      </c>
    </row>
    <row r="324">
      <c r="A324" s="30" t="inlineStr">
        <is>
          <t>mouche</t>
        </is>
      </c>
      <c r="B324" s="30">
        <f>IFERROR(INDEX(Mots!$B:$B,MATCH($A324,Mots!$A:$A,0)),"introuvable")</f>
        <v/>
      </c>
      <c r="C324" s="30">
        <f>IFERROR(INDEX(Mots!$S:$S,MATCH($A324,Mots!$A:$A,0)),"")</f>
        <v/>
      </c>
      <c r="D324" s="30">
        <f>IFERROR(COUNTA(INDEX(Mots!$J:$J,MATCH($A324,Mots!$A:$A,0)):INDEX(Mots!$P:$P,MATCH($A324,Mots!$A:$A,0))),0)</f>
        <v/>
      </c>
      <c r="E324" s="30">
        <f>IF(COUNTIF(Classement!$A:$A,$A324)&gt;0,"ok","à faire")</f>
        <v/>
      </c>
      <c r="F324" s="30">
        <f>IF(COUNTIF(Tags!$A:$A,$A324)&gt;0,"ok","à faire")</f>
        <v/>
      </c>
      <c r="G324" s="30">
        <f>IF(COUNTIF(Phrases!$A:$A,$A324)&gt;0,"ok","à faire")</f>
        <v/>
      </c>
      <c r="H324" s="30">
        <f>IF(COUNTIFS(Phrases!$A:$A,$A324,Phrases!$I:$I,"&lt;&gt;")&gt;0,"ok","à faire")</f>
        <v/>
      </c>
      <c r="I324" s="30">
        <f>IF(COUNTIF(Synonymes!$A:$A,$A324)&gt;0,"ok","")</f>
        <v/>
      </c>
      <c r="J324" s="30">
        <f>COUNTIF(E324:H324,"à faire")</f>
        <v/>
      </c>
    </row>
    <row r="325">
      <c r="A325" s="30" t="inlineStr">
        <is>
          <t>toile</t>
        </is>
      </c>
      <c r="B325" s="30">
        <f>IFERROR(INDEX(Mots!$B:$B,MATCH($A325,Mots!$A:$A,0)),"introuvable")</f>
        <v/>
      </c>
      <c r="C325" s="30">
        <f>IFERROR(INDEX(Mots!$S:$S,MATCH($A325,Mots!$A:$A,0)),"")</f>
        <v/>
      </c>
      <c r="D325" s="30">
        <f>IFERROR(COUNTA(INDEX(Mots!$J:$J,MATCH($A325,Mots!$A:$A,0)):INDEX(Mots!$P:$P,MATCH($A325,Mots!$A:$A,0))),0)</f>
        <v/>
      </c>
      <c r="E325" s="30">
        <f>IF(COUNTIF(Classement!$A:$A,$A325)&gt;0,"ok","à faire")</f>
        <v/>
      </c>
      <c r="F325" s="30">
        <f>IF(COUNTIF(Tags!$A:$A,$A325)&gt;0,"ok","à faire")</f>
        <v/>
      </c>
      <c r="G325" s="30">
        <f>IF(COUNTIF(Phrases!$A:$A,$A325)&gt;0,"ok","à faire")</f>
        <v/>
      </c>
      <c r="H325" s="30">
        <f>IF(COUNTIFS(Phrases!$A:$A,$A325,Phrases!$I:$I,"&lt;&gt;")&gt;0,"ok","à faire")</f>
        <v/>
      </c>
      <c r="I325" s="30">
        <f>IF(COUNTIF(Synonymes!$A:$A,$A325)&gt;0,"ok","")</f>
        <v/>
      </c>
      <c r="J325" s="30">
        <f>COUNTIF(E325:H325,"à faire")</f>
        <v/>
      </c>
    </row>
    <row r="326">
      <c r="A326" s="30" t="inlineStr">
        <is>
          <t>abeille</t>
        </is>
      </c>
      <c r="B326" s="30">
        <f>IFERROR(INDEX(Mots!$B:$B,MATCH($A326,Mots!$A:$A,0)),"introuvable")</f>
        <v/>
      </c>
      <c r="C326" s="30">
        <f>IFERROR(INDEX(Mots!$S:$S,MATCH($A326,Mots!$A:$A,0)),"")</f>
        <v/>
      </c>
      <c r="D326" s="30">
        <f>IFERROR(COUNTA(INDEX(Mots!$J:$J,MATCH($A326,Mots!$A:$A,0)):INDEX(Mots!$P:$P,MATCH($A326,Mots!$A:$A,0))),0)</f>
        <v/>
      </c>
      <c r="E326" s="30">
        <f>IF(COUNTIF(Classement!$A:$A,$A326)&gt;0,"ok","à faire")</f>
        <v/>
      </c>
      <c r="F326" s="30">
        <f>IF(COUNTIF(Tags!$A:$A,$A326)&gt;0,"ok","à faire")</f>
        <v/>
      </c>
      <c r="G326" s="30">
        <f>IF(COUNTIF(Phrases!$A:$A,$A326)&gt;0,"ok","à faire")</f>
        <v/>
      </c>
      <c r="H326" s="30">
        <f>IF(COUNTIFS(Phrases!$A:$A,$A326,Phrases!$I:$I,"&lt;&gt;")&gt;0,"ok","à faire")</f>
        <v/>
      </c>
      <c r="I326" s="30">
        <f>IF(COUNTIF(Synonymes!$A:$A,$A326)&gt;0,"ok","")</f>
        <v/>
      </c>
      <c r="J326" s="30">
        <f>COUNTIF(E326:H326,"à faire")</f>
        <v/>
      </c>
    </row>
    <row r="327">
      <c r="A327" s="30" t="inlineStr">
        <is>
          <t>araignee</t>
        </is>
      </c>
      <c r="B327" s="30">
        <f>IFERROR(INDEX(Mots!$B:$B,MATCH($A327,Mots!$A:$A,0)),"introuvable")</f>
        <v/>
      </c>
      <c r="C327" s="30">
        <f>IFERROR(INDEX(Mots!$S:$S,MATCH($A327,Mots!$A:$A,0)),"")</f>
        <v/>
      </c>
      <c r="D327" s="30">
        <f>IFERROR(COUNTA(INDEX(Mots!$J:$J,MATCH($A327,Mots!$A:$A,0)):INDEX(Mots!$P:$P,MATCH($A327,Mots!$A:$A,0))),0)</f>
        <v/>
      </c>
      <c r="E327" s="30">
        <f>IF(COUNTIF(Classement!$A:$A,$A327)&gt;0,"ok","à faire")</f>
        <v/>
      </c>
      <c r="F327" s="30">
        <f>IF(COUNTIF(Tags!$A:$A,$A327)&gt;0,"ok","à faire")</f>
        <v/>
      </c>
      <c r="G327" s="30">
        <f>IF(COUNTIF(Phrases!$A:$A,$A327)&gt;0,"ok","à faire")</f>
        <v/>
      </c>
      <c r="H327" s="30">
        <f>IF(COUNTIFS(Phrases!$A:$A,$A327,Phrases!$I:$I,"&lt;&gt;")&gt;0,"ok","à faire")</f>
        <v/>
      </c>
      <c r="I327" s="30">
        <f>IF(COUNTIF(Synonymes!$A:$A,$A327)&gt;0,"ok","")</f>
        <v/>
      </c>
      <c r="J327" s="30">
        <f>COUNTIF(E327:H327,"à faire")</f>
        <v/>
      </c>
    </row>
    <row r="328">
      <c r="A328" s="30" t="inlineStr">
        <is>
          <t>papillon</t>
        </is>
      </c>
      <c r="B328" s="30">
        <f>IFERROR(INDEX(Mots!$B:$B,MATCH($A328,Mots!$A:$A,0)),"introuvable")</f>
        <v/>
      </c>
      <c r="C328" s="30">
        <f>IFERROR(INDEX(Mots!$S:$S,MATCH($A328,Mots!$A:$A,0)),"")</f>
        <v/>
      </c>
      <c r="D328" s="30">
        <f>IFERROR(COUNTA(INDEX(Mots!$J:$J,MATCH($A328,Mots!$A:$A,0)):INDEX(Mots!$P:$P,MATCH($A328,Mots!$A:$A,0))),0)</f>
        <v/>
      </c>
      <c r="E328" s="30">
        <f>IF(COUNTIF(Classement!$A:$A,$A328)&gt;0,"ok","à faire")</f>
        <v/>
      </c>
      <c r="F328" s="30">
        <f>IF(COUNTIF(Tags!$A:$A,$A328)&gt;0,"ok","à faire")</f>
        <v/>
      </c>
      <c r="G328" s="30">
        <f>IF(COUNTIF(Phrases!$A:$A,$A328)&gt;0,"ok","à faire")</f>
        <v/>
      </c>
      <c r="H328" s="30">
        <f>IF(COUNTIFS(Phrases!$A:$A,$A328,Phrases!$I:$I,"&lt;&gt;")&gt;0,"ok","à faire")</f>
        <v/>
      </c>
      <c r="I328" s="30">
        <f>IF(COUNTIF(Synonymes!$A:$A,$A328)&gt;0,"ok","")</f>
        <v/>
      </c>
      <c r="J328" s="30">
        <f>COUNTIF(E328:H328,"à faire")</f>
        <v/>
      </c>
    </row>
    <row r="329">
      <c r="A329" s="30" t="inlineStr">
        <is>
          <t>insecte</t>
        </is>
      </c>
      <c r="B329" s="30">
        <f>IFERROR(INDEX(Mots!$B:$B,MATCH($A329,Mots!$A:$A,0)),"introuvable")</f>
        <v/>
      </c>
      <c r="C329" s="30">
        <f>IFERROR(INDEX(Mots!$S:$S,MATCH($A329,Mots!$A:$A,0)),"")</f>
        <v/>
      </c>
      <c r="D329" s="30">
        <f>IFERROR(COUNTA(INDEX(Mots!$J:$J,MATCH($A329,Mots!$A:$A,0)):INDEX(Mots!$P:$P,MATCH($A329,Mots!$A:$A,0))),0)</f>
        <v/>
      </c>
      <c r="E329" s="30">
        <f>IF(COUNTIF(Classement!$A:$A,$A329)&gt;0,"ok","à faire")</f>
        <v/>
      </c>
      <c r="F329" s="30">
        <f>IF(COUNTIF(Tags!$A:$A,$A329)&gt;0,"ok","à faire")</f>
        <v/>
      </c>
      <c r="G329" s="30">
        <f>IF(COUNTIF(Phrases!$A:$A,$A329)&gt;0,"ok","à faire")</f>
        <v/>
      </c>
      <c r="H329" s="30">
        <f>IF(COUNTIFS(Phrases!$A:$A,$A329,Phrases!$I:$I,"&lt;&gt;")&gt;0,"ok","à faire")</f>
        <v/>
      </c>
      <c r="I329" s="30">
        <f>IF(COUNTIF(Synonymes!$A:$A,$A329)&gt;0,"ok","")</f>
        <v/>
      </c>
      <c r="J329" s="30">
        <f>COUNTIF(E329:H329,"à faire")</f>
        <v/>
      </c>
    </row>
    <row r="330">
      <c r="A330" s="30" t="inlineStr">
        <is>
          <t>guitare</t>
        </is>
      </c>
      <c r="B330" s="30">
        <f>IFERROR(INDEX(Mots!$B:$B,MATCH($A330,Mots!$A:$A,0)),"introuvable")</f>
        <v/>
      </c>
      <c r="C330" s="30">
        <f>IFERROR(INDEX(Mots!$S:$S,MATCH($A330,Mots!$A:$A,0)),"")</f>
        <v/>
      </c>
      <c r="D330" s="30">
        <f>IFERROR(COUNTA(INDEX(Mots!$J:$J,MATCH($A330,Mots!$A:$A,0)):INDEX(Mots!$P:$P,MATCH($A330,Mots!$A:$A,0))),0)</f>
        <v/>
      </c>
      <c r="E330" s="30">
        <f>IF(COUNTIF(Classement!$A:$A,$A330)&gt;0,"ok","à faire")</f>
        <v/>
      </c>
      <c r="F330" s="30">
        <f>IF(COUNTIF(Tags!$A:$A,$A330)&gt;0,"ok","à faire")</f>
        <v/>
      </c>
      <c r="G330" s="30">
        <f>IF(COUNTIF(Phrases!$A:$A,$A330)&gt;0,"ok","à faire")</f>
        <v/>
      </c>
      <c r="H330" s="30">
        <f>IF(COUNTIFS(Phrases!$A:$A,$A330,Phrases!$I:$I,"&lt;&gt;")&gt;0,"ok","à faire")</f>
        <v/>
      </c>
      <c r="I330" s="30">
        <f>IF(COUNTIF(Synonymes!$A:$A,$A330)&gt;0,"ok","")</f>
        <v/>
      </c>
      <c r="J330" s="30">
        <f>COUNTIF(E330:H330,"à faire")</f>
        <v/>
      </c>
    </row>
    <row r="331">
      <c r="A331" s="30" t="inlineStr">
        <is>
          <t>piano</t>
        </is>
      </c>
      <c r="B331" s="30">
        <f>IFERROR(INDEX(Mots!$B:$B,MATCH($A331,Mots!$A:$A,0)),"introuvable")</f>
        <v/>
      </c>
      <c r="C331" s="30">
        <f>IFERROR(INDEX(Mots!$S:$S,MATCH($A331,Mots!$A:$A,0)),"")</f>
        <v/>
      </c>
      <c r="D331" s="30">
        <f>IFERROR(COUNTA(INDEX(Mots!$J:$J,MATCH($A331,Mots!$A:$A,0)):INDEX(Mots!$P:$P,MATCH($A331,Mots!$A:$A,0))),0)</f>
        <v/>
      </c>
      <c r="E331" s="30">
        <f>IF(COUNTIF(Classement!$A:$A,$A331)&gt;0,"ok","à faire")</f>
        <v/>
      </c>
      <c r="F331" s="30">
        <f>IF(COUNTIF(Tags!$A:$A,$A331)&gt;0,"ok","à faire")</f>
        <v/>
      </c>
      <c r="G331" s="30">
        <f>IF(COUNTIF(Phrases!$A:$A,$A331)&gt;0,"ok","à faire")</f>
        <v/>
      </c>
      <c r="H331" s="30">
        <f>IF(COUNTIFS(Phrases!$A:$A,$A331,Phrases!$I:$I,"&lt;&gt;")&gt;0,"ok","à faire")</f>
        <v/>
      </c>
      <c r="I331" s="30">
        <f>IF(COUNTIF(Synonymes!$A:$A,$A331)&gt;0,"ok","")</f>
        <v/>
      </c>
      <c r="J331" s="30">
        <f>COUNTIF(E331:H331,"à faire")</f>
        <v/>
      </c>
    </row>
    <row r="332">
      <c r="A332" s="30" t="inlineStr">
        <is>
          <t>batterie</t>
        </is>
      </c>
      <c r="B332" s="30">
        <f>IFERROR(INDEX(Mots!$B:$B,MATCH($A332,Mots!$A:$A,0)),"introuvable")</f>
        <v/>
      </c>
      <c r="C332" s="30">
        <f>IFERROR(INDEX(Mots!$S:$S,MATCH($A332,Mots!$A:$A,0)),"")</f>
        <v/>
      </c>
      <c r="D332" s="30">
        <f>IFERROR(COUNTA(INDEX(Mots!$J:$J,MATCH($A332,Mots!$A:$A,0)):INDEX(Mots!$P:$P,MATCH($A332,Mots!$A:$A,0))),0)</f>
        <v/>
      </c>
      <c r="E332" s="30">
        <f>IF(COUNTIF(Classement!$A:$A,$A332)&gt;0,"ok","à faire")</f>
        <v/>
      </c>
      <c r="F332" s="30">
        <f>IF(COUNTIF(Tags!$A:$A,$A332)&gt;0,"ok","à faire")</f>
        <v/>
      </c>
      <c r="G332" s="30">
        <f>IF(COUNTIF(Phrases!$A:$A,$A332)&gt;0,"ok","à faire")</f>
        <v/>
      </c>
      <c r="H332" s="30">
        <f>IF(COUNTIFS(Phrases!$A:$A,$A332,Phrases!$I:$I,"&lt;&gt;")&gt;0,"ok","à faire")</f>
        <v/>
      </c>
      <c r="I332" s="30">
        <f>IF(COUNTIF(Synonymes!$A:$A,$A332)&gt;0,"ok","")</f>
        <v/>
      </c>
      <c r="J332" s="30">
        <f>COUNTIF(E332:H332,"à faire")</f>
        <v/>
      </c>
    </row>
    <row r="333">
      <c r="A333" s="30" t="inlineStr">
        <is>
          <t>grosse_caisse</t>
        </is>
      </c>
      <c r="B333" s="30">
        <f>IFERROR(INDEX(Mots!$B:$B,MATCH($A333,Mots!$A:$A,0)),"introuvable")</f>
        <v/>
      </c>
      <c r="C333" s="30">
        <f>IFERROR(INDEX(Mots!$S:$S,MATCH($A333,Mots!$A:$A,0)),"")</f>
        <v/>
      </c>
      <c r="D333" s="30">
        <f>IFERROR(COUNTA(INDEX(Mots!$J:$J,MATCH($A333,Mots!$A:$A,0)):INDEX(Mots!$P:$P,MATCH($A333,Mots!$A:$A,0))),0)</f>
        <v/>
      </c>
      <c r="E333" s="30">
        <f>IF(COUNTIF(Classement!$A:$A,$A333)&gt;0,"ok","à faire")</f>
        <v/>
      </c>
      <c r="F333" s="30">
        <f>IF(COUNTIF(Tags!$A:$A,$A333)&gt;0,"ok","à faire")</f>
        <v/>
      </c>
      <c r="G333" s="30">
        <f>IF(COUNTIF(Phrases!$A:$A,$A333)&gt;0,"ok","à faire")</f>
        <v/>
      </c>
      <c r="H333" s="30">
        <f>IF(COUNTIFS(Phrases!$A:$A,$A333,Phrases!$I:$I,"&lt;&gt;")&gt;0,"ok","à faire")</f>
        <v/>
      </c>
      <c r="I333" s="30">
        <f>IF(COUNTIF(Synonymes!$A:$A,$A333)&gt;0,"ok","")</f>
        <v/>
      </c>
      <c r="J333" s="30">
        <f>COUNTIF(E333:H333,"à faire")</f>
        <v/>
      </c>
    </row>
    <row r="334">
      <c r="A334" s="30" t="inlineStr">
        <is>
          <t>cymbales</t>
        </is>
      </c>
      <c r="B334" s="30">
        <f>IFERROR(INDEX(Mots!$B:$B,MATCH($A334,Mots!$A:$A,0)),"introuvable")</f>
        <v/>
      </c>
      <c r="C334" s="30">
        <f>IFERROR(INDEX(Mots!$S:$S,MATCH($A334,Mots!$A:$A,0)),"")</f>
        <v/>
      </c>
      <c r="D334" s="30">
        <f>IFERROR(COUNTA(INDEX(Mots!$J:$J,MATCH($A334,Mots!$A:$A,0)):INDEX(Mots!$P:$P,MATCH($A334,Mots!$A:$A,0))),0)</f>
        <v/>
      </c>
      <c r="E334" s="30">
        <f>IF(COUNTIF(Classement!$A:$A,$A334)&gt;0,"ok","à faire")</f>
        <v/>
      </c>
      <c r="F334" s="30">
        <f>IF(COUNTIF(Tags!$A:$A,$A334)&gt;0,"ok","à faire")</f>
        <v/>
      </c>
      <c r="G334" s="30">
        <f>IF(COUNTIF(Phrases!$A:$A,$A334)&gt;0,"ok","à faire")</f>
        <v/>
      </c>
      <c r="H334" s="30">
        <f>IF(COUNTIFS(Phrases!$A:$A,$A334,Phrases!$I:$I,"&lt;&gt;")&gt;0,"ok","à faire")</f>
        <v/>
      </c>
      <c r="I334" s="30">
        <f>IF(COUNTIF(Synonymes!$A:$A,$A334)&gt;0,"ok","")</f>
        <v/>
      </c>
      <c r="J334" s="30">
        <f>COUNTIF(E334:H334,"à faire")</f>
        <v/>
      </c>
    </row>
    <row r="335">
      <c r="A335" s="30" t="inlineStr">
        <is>
          <t>timbales</t>
        </is>
      </c>
      <c r="B335" s="30">
        <f>IFERROR(INDEX(Mots!$B:$B,MATCH($A335,Mots!$A:$A,0)),"introuvable")</f>
        <v/>
      </c>
      <c r="C335" s="30">
        <f>IFERROR(INDEX(Mots!$S:$S,MATCH($A335,Mots!$A:$A,0)),"")</f>
        <v/>
      </c>
      <c r="D335" s="30">
        <f>IFERROR(COUNTA(INDEX(Mots!$J:$J,MATCH($A335,Mots!$A:$A,0)):INDEX(Mots!$P:$P,MATCH($A335,Mots!$A:$A,0))),0)</f>
        <v/>
      </c>
      <c r="E335" s="30">
        <f>IF(COUNTIF(Classement!$A:$A,$A335)&gt;0,"ok","à faire")</f>
        <v/>
      </c>
      <c r="F335" s="30">
        <f>IF(COUNTIF(Tags!$A:$A,$A335)&gt;0,"ok","à faire")</f>
        <v/>
      </c>
      <c r="G335" s="30">
        <f>IF(COUNTIF(Phrases!$A:$A,$A335)&gt;0,"ok","à faire")</f>
        <v/>
      </c>
      <c r="H335" s="30">
        <f>IF(COUNTIFS(Phrases!$A:$A,$A335,Phrases!$I:$I,"&lt;&gt;")&gt;0,"ok","à faire")</f>
        <v/>
      </c>
      <c r="I335" s="30">
        <f>IF(COUNTIF(Synonymes!$A:$A,$A335)&gt;0,"ok","")</f>
        <v/>
      </c>
      <c r="J335" s="30">
        <f>COUNTIF(E335:H335,"à faire")</f>
        <v/>
      </c>
    </row>
    <row r="336">
      <c r="A336" s="30" t="inlineStr">
        <is>
          <t>xylophone</t>
        </is>
      </c>
      <c r="B336" s="30">
        <f>IFERROR(INDEX(Mots!$B:$B,MATCH($A336,Mots!$A:$A,0)),"introuvable")</f>
        <v/>
      </c>
      <c r="C336" s="30">
        <f>IFERROR(INDEX(Mots!$S:$S,MATCH($A336,Mots!$A:$A,0)),"")</f>
        <v/>
      </c>
      <c r="D336" s="30">
        <f>IFERROR(COUNTA(INDEX(Mots!$J:$J,MATCH($A336,Mots!$A:$A,0)):INDEX(Mots!$P:$P,MATCH($A336,Mots!$A:$A,0))),0)</f>
        <v/>
      </c>
      <c r="E336" s="30">
        <f>IF(COUNTIF(Classement!$A:$A,$A336)&gt;0,"ok","à faire")</f>
        <v/>
      </c>
      <c r="F336" s="30">
        <f>IF(COUNTIF(Tags!$A:$A,$A336)&gt;0,"ok","à faire")</f>
        <v/>
      </c>
      <c r="G336" s="30">
        <f>IF(COUNTIF(Phrases!$A:$A,$A336)&gt;0,"ok","à faire")</f>
        <v/>
      </c>
      <c r="H336" s="30">
        <f>IF(COUNTIFS(Phrases!$A:$A,$A336,Phrases!$I:$I,"&lt;&gt;")&gt;0,"ok","à faire")</f>
        <v/>
      </c>
      <c r="I336" s="30">
        <f>IF(COUNTIF(Synonymes!$A:$A,$A336)&gt;0,"ok","")</f>
        <v/>
      </c>
      <c r="J336" s="30">
        <f>COUNTIF(E336:H336,"à faire")</f>
        <v/>
      </c>
    </row>
    <row r="337">
      <c r="A337" s="30" t="inlineStr">
        <is>
          <t>vibraphone</t>
        </is>
      </c>
      <c r="B337" s="30">
        <f>IFERROR(INDEX(Mots!$B:$B,MATCH($A337,Mots!$A:$A,0)),"introuvable")</f>
        <v/>
      </c>
      <c r="C337" s="30">
        <f>IFERROR(INDEX(Mots!$S:$S,MATCH($A337,Mots!$A:$A,0)),"")</f>
        <v/>
      </c>
      <c r="D337" s="30">
        <f>IFERROR(COUNTA(INDEX(Mots!$J:$J,MATCH($A337,Mots!$A:$A,0)):INDEX(Mots!$P:$P,MATCH($A337,Mots!$A:$A,0))),0)</f>
        <v/>
      </c>
      <c r="E337" s="30">
        <f>IF(COUNTIF(Classement!$A:$A,$A337)&gt;0,"ok","à faire")</f>
        <v/>
      </c>
      <c r="F337" s="30">
        <f>IF(COUNTIF(Tags!$A:$A,$A337)&gt;0,"ok","à faire")</f>
        <v/>
      </c>
      <c r="G337" s="30">
        <f>IF(COUNTIF(Phrases!$A:$A,$A337)&gt;0,"ok","à faire")</f>
        <v/>
      </c>
      <c r="H337" s="30">
        <f>IF(COUNTIFS(Phrases!$A:$A,$A337,Phrases!$I:$I,"&lt;&gt;")&gt;0,"ok","à faire")</f>
        <v/>
      </c>
      <c r="I337" s="30">
        <f>IF(COUNTIF(Synonymes!$A:$A,$A337)&gt;0,"ok","")</f>
        <v/>
      </c>
      <c r="J337" s="30">
        <f>COUNTIF(E337:H337,"à faire")</f>
        <v/>
      </c>
    </row>
    <row r="338">
      <c r="A338" s="30" t="inlineStr">
        <is>
          <t>marimba</t>
        </is>
      </c>
      <c r="B338" s="30">
        <f>IFERROR(INDEX(Mots!$B:$B,MATCH($A338,Mots!$A:$A,0)),"introuvable")</f>
        <v/>
      </c>
      <c r="C338" s="30">
        <f>IFERROR(INDEX(Mots!$S:$S,MATCH($A338,Mots!$A:$A,0)),"")</f>
        <v/>
      </c>
      <c r="D338" s="30">
        <f>IFERROR(COUNTA(INDEX(Mots!$J:$J,MATCH($A338,Mots!$A:$A,0)):INDEX(Mots!$P:$P,MATCH($A338,Mots!$A:$A,0))),0)</f>
        <v/>
      </c>
      <c r="E338" s="30">
        <f>IF(COUNTIF(Classement!$A:$A,$A338)&gt;0,"ok","à faire")</f>
        <v/>
      </c>
      <c r="F338" s="30">
        <f>IF(COUNTIF(Tags!$A:$A,$A338)&gt;0,"ok","à faire")</f>
        <v/>
      </c>
      <c r="G338" s="30">
        <f>IF(COUNTIF(Phrases!$A:$A,$A338)&gt;0,"ok","à faire")</f>
        <v/>
      </c>
      <c r="H338" s="30">
        <f>IF(COUNTIFS(Phrases!$A:$A,$A338,Phrases!$I:$I,"&lt;&gt;")&gt;0,"ok","à faire")</f>
        <v/>
      </c>
      <c r="I338" s="30">
        <f>IF(COUNTIF(Synonymes!$A:$A,$A338)&gt;0,"ok","")</f>
        <v/>
      </c>
      <c r="J338" s="30">
        <f>COUNTIF(E338:H338,"à faire")</f>
        <v/>
      </c>
    </row>
    <row r="339">
      <c r="A339" s="30" t="inlineStr">
        <is>
          <t>tambour</t>
        </is>
      </c>
      <c r="B339" s="30">
        <f>IFERROR(INDEX(Mots!$B:$B,MATCH($A339,Mots!$A:$A,0)),"introuvable")</f>
        <v/>
      </c>
      <c r="C339" s="30">
        <f>IFERROR(INDEX(Mots!$S:$S,MATCH($A339,Mots!$A:$A,0)),"")</f>
        <v/>
      </c>
      <c r="D339" s="30">
        <f>IFERROR(COUNTA(INDEX(Mots!$J:$J,MATCH($A339,Mots!$A:$A,0)):INDEX(Mots!$P:$P,MATCH($A339,Mots!$A:$A,0))),0)</f>
        <v/>
      </c>
      <c r="E339" s="30">
        <f>IF(COUNTIF(Classement!$A:$A,$A339)&gt;0,"ok","à faire")</f>
        <v/>
      </c>
      <c r="F339" s="30">
        <f>IF(COUNTIF(Tags!$A:$A,$A339)&gt;0,"ok","à faire")</f>
        <v/>
      </c>
      <c r="G339" s="30">
        <f>IF(COUNTIF(Phrases!$A:$A,$A339)&gt;0,"ok","à faire")</f>
        <v/>
      </c>
      <c r="H339" s="30">
        <f>IF(COUNTIFS(Phrases!$A:$A,$A339,Phrases!$I:$I,"&lt;&gt;")&gt;0,"ok","à faire")</f>
        <v/>
      </c>
      <c r="I339" s="30">
        <f>IF(COUNTIF(Synonymes!$A:$A,$A339)&gt;0,"ok","")</f>
        <v/>
      </c>
      <c r="J339" s="30">
        <f>COUNTIF(E339:H339,"à faire")</f>
        <v/>
      </c>
    </row>
    <row r="340">
      <c r="A340" s="30" t="inlineStr">
        <is>
          <t>cornet</t>
        </is>
      </c>
      <c r="B340" s="30">
        <f>IFERROR(INDEX(Mots!$B:$B,MATCH($A340,Mots!$A:$A,0)),"introuvable")</f>
        <v/>
      </c>
      <c r="C340" s="30">
        <f>IFERROR(INDEX(Mots!$S:$S,MATCH($A340,Mots!$A:$A,0)),"")</f>
        <v/>
      </c>
      <c r="D340" s="30">
        <f>IFERROR(COUNTA(INDEX(Mots!$J:$J,MATCH($A340,Mots!$A:$A,0)):INDEX(Mots!$P:$P,MATCH($A340,Mots!$A:$A,0))),0)</f>
        <v/>
      </c>
      <c r="E340" s="30">
        <f>IF(COUNTIF(Classement!$A:$A,$A340)&gt;0,"ok","à faire")</f>
        <v/>
      </c>
      <c r="F340" s="30">
        <f>IF(COUNTIF(Tags!$A:$A,$A340)&gt;0,"ok","à faire")</f>
        <v/>
      </c>
      <c r="G340" s="30">
        <f>IF(COUNTIF(Phrases!$A:$A,$A340)&gt;0,"ok","à faire")</f>
        <v/>
      </c>
      <c r="H340" s="30">
        <f>IF(COUNTIFS(Phrases!$A:$A,$A340,Phrases!$I:$I,"&lt;&gt;")&gt;0,"ok","à faire")</f>
        <v/>
      </c>
      <c r="I340" s="30">
        <f>IF(COUNTIF(Synonymes!$A:$A,$A340)&gt;0,"ok","")</f>
        <v/>
      </c>
      <c r="J340" s="30">
        <f>COUNTIF(E340:H340,"à faire")</f>
        <v/>
      </c>
    </row>
    <row r="341">
      <c r="A341" s="30" t="inlineStr">
        <is>
          <t>bugle</t>
        </is>
      </c>
      <c r="B341" s="30">
        <f>IFERROR(INDEX(Mots!$B:$B,MATCH($A341,Mots!$A:$A,0)),"introuvable")</f>
        <v/>
      </c>
      <c r="C341" s="30">
        <f>IFERROR(INDEX(Mots!$S:$S,MATCH($A341,Mots!$A:$A,0)),"")</f>
        <v/>
      </c>
      <c r="D341" s="30">
        <f>IFERROR(COUNTA(INDEX(Mots!$J:$J,MATCH($A341,Mots!$A:$A,0)):INDEX(Mots!$P:$P,MATCH($A341,Mots!$A:$A,0))),0)</f>
        <v/>
      </c>
      <c r="E341" s="30">
        <f>IF(COUNTIF(Classement!$A:$A,$A341)&gt;0,"ok","à faire")</f>
        <v/>
      </c>
      <c r="F341" s="30">
        <f>IF(COUNTIF(Tags!$A:$A,$A341)&gt;0,"ok","à faire")</f>
        <v/>
      </c>
      <c r="G341" s="30">
        <f>IF(COUNTIF(Phrases!$A:$A,$A341)&gt;0,"ok","à faire")</f>
        <v/>
      </c>
      <c r="H341" s="30">
        <f>IF(COUNTIFS(Phrases!$A:$A,$A341,Phrases!$I:$I,"&lt;&gt;")&gt;0,"ok","à faire")</f>
        <v/>
      </c>
      <c r="I341" s="30">
        <f>IF(COUNTIF(Synonymes!$A:$A,$A341)&gt;0,"ok","")</f>
        <v/>
      </c>
      <c r="J341" s="30">
        <f>COUNTIF(E341:H341,"à faire")</f>
        <v/>
      </c>
    </row>
    <row r="342">
      <c r="A342" s="30" t="inlineStr">
        <is>
          <t>alto</t>
        </is>
      </c>
      <c r="B342" s="30">
        <f>IFERROR(INDEX(Mots!$B:$B,MATCH($A342,Mots!$A:$A,0)),"introuvable")</f>
        <v/>
      </c>
      <c r="C342" s="30">
        <f>IFERROR(INDEX(Mots!$S:$S,MATCH($A342,Mots!$A:$A,0)),"")</f>
        <v/>
      </c>
      <c r="D342" s="30">
        <f>IFERROR(COUNTA(INDEX(Mots!$J:$J,MATCH($A342,Mots!$A:$A,0)):INDEX(Mots!$P:$P,MATCH($A342,Mots!$A:$A,0))),0)</f>
        <v/>
      </c>
      <c r="E342" s="30">
        <f>IF(COUNTIF(Classement!$A:$A,$A342)&gt;0,"ok","à faire")</f>
        <v/>
      </c>
      <c r="F342" s="30">
        <f>IF(COUNTIF(Tags!$A:$A,$A342)&gt;0,"ok","à faire")</f>
        <v/>
      </c>
      <c r="G342" s="30">
        <f>IF(COUNTIF(Phrases!$A:$A,$A342)&gt;0,"ok","à faire")</f>
        <v/>
      </c>
      <c r="H342" s="30">
        <f>IF(COUNTIFS(Phrases!$A:$A,$A342,Phrases!$I:$I,"&lt;&gt;")&gt;0,"ok","à faire")</f>
        <v/>
      </c>
      <c r="I342" s="30">
        <f>IF(COUNTIF(Synonymes!$A:$A,$A342)&gt;0,"ok","")</f>
        <v/>
      </c>
      <c r="J342" s="30">
        <f>COUNTIF(E342:H342,"à faire")</f>
        <v/>
      </c>
    </row>
    <row r="343">
      <c r="A343" s="30" t="inlineStr">
        <is>
          <t>baryton</t>
        </is>
      </c>
      <c r="B343" s="30">
        <f>IFERROR(INDEX(Mots!$B:$B,MATCH($A343,Mots!$A:$A,0)),"introuvable")</f>
        <v/>
      </c>
      <c r="C343" s="30">
        <f>IFERROR(INDEX(Mots!$S:$S,MATCH($A343,Mots!$A:$A,0)),"")</f>
        <v/>
      </c>
      <c r="D343" s="30">
        <f>IFERROR(COUNTA(INDEX(Mots!$J:$J,MATCH($A343,Mots!$A:$A,0)):INDEX(Mots!$P:$P,MATCH($A343,Mots!$A:$A,0))),0)</f>
        <v/>
      </c>
      <c r="E343" s="30">
        <f>IF(COUNTIF(Classement!$A:$A,$A343)&gt;0,"ok","à faire")</f>
        <v/>
      </c>
      <c r="F343" s="30">
        <f>IF(COUNTIF(Tags!$A:$A,$A343)&gt;0,"ok","à faire")</f>
        <v/>
      </c>
      <c r="G343" s="30">
        <f>IF(COUNTIF(Phrases!$A:$A,$A343)&gt;0,"ok","à faire")</f>
        <v/>
      </c>
      <c r="H343" s="30">
        <f>IF(COUNTIFS(Phrases!$A:$A,$A343,Phrases!$I:$I,"&lt;&gt;")&gt;0,"ok","à faire")</f>
        <v/>
      </c>
      <c r="I343" s="30">
        <f>IF(COUNTIF(Synonymes!$A:$A,$A343)&gt;0,"ok","")</f>
        <v/>
      </c>
      <c r="J343" s="30">
        <f>COUNTIF(E343:H343,"à faire")</f>
        <v/>
      </c>
    </row>
    <row r="344">
      <c r="A344" s="30" t="inlineStr">
        <is>
          <t>euphonium</t>
        </is>
      </c>
      <c r="B344" s="30">
        <f>IFERROR(INDEX(Mots!$B:$B,MATCH($A344,Mots!$A:$A,0)),"introuvable")</f>
        <v/>
      </c>
      <c r="C344" s="30">
        <f>IFERROR(INDEX(Mots!$S:$S,MATCH($A344,Mots!$A:$A,0)),"")</f>
        <v/>
      </c>
      <c r="D344" s="30">
        <f>IFERROR(COUNTA(INDEX(Mots!$J:$J,MATCH($A344,Mots!$A:$A,0)):INDEX(Mots!$P:$P,MATCH($A344,Mots!$A:$A,0))),0)</f>
        <v/>
      </c>
      <c r="E344" s="30">
        <f>IF(COUNTIF(Classement!$A:$A,$A344)&gt;0,"ok","à faire")</f>
        <v/>
      </c>
      <c r="F344" s="30">
        <f>IF(COUNTIF(Tags!$A:$A,$A344)&gt;0,"ok","à faire")</f>
        <v/>
      </c>
      <c r="G344" s="30">
        <f>IF(COUNTIF(Phrases!$A:$A,$A344)&gt;0,"ok","à faire")</f>
        <v/>
      </c>
      <c r="H344" s="30">
        <f>IF(COUNTIFS(Phrases!$A:$A,$A344,Phrases!$I:$I,"&lt;&gt;")&gt;0,"ok","à faire")</f>
        <v/>
      </c>
      <c r="I344" s="30">
        <f>IF(COUNTIF(Synonymes!$A:$A,$A344)&gt;0,"ok","")</f>
        <v/>
      </c>
      <c r="J344" s="30">
        <f>COUNTIF(E344:H344,"à faire")</f>
        <v/>
      </c>
    </row>
    <row r="345">
      <c r="A345" s="30" t="inlineStr">
        <is>
          <t>basse</t>
        </is>
      </c>
      <c r="B345" s="30">
        <f>IFERROR(INDEX(Mots!$B:$B,MATCH($A345,Mots!$A:$A,0)),"introuvable")</f>
        <v/>
      </c>
      <c r="C345" s="30">
        <f>IFERROR(INDEX(Mots!$S:$S,MATCH($A345,Mots!$A:$A,0)),"")</f>
        <v/>
      </c>
      <c r="D345" s="30">
        <f>IFERROR(COUNTA(INDEX(Mots!$J:$J,MATCH($A345,Mots!$A:$A,0)):INDEX(Mots!$P:$P,MATCH($A345,Mots!$A:$A,0))),0)</f>
        <v/>
      </c>
      <c r="E345" s="30">
        <f>IF(COUNTIF(Classement!$A:$A,$A345)&gt;0,"ok","à faire")</f>
        <v/>
      </c>
      <c r="F345" s="30">
        <f>IF(COUNTIF(Tags!$A:$A,$A345)&gt;0,"ok","à faire")</f>
        <v/>
      </c>
      <c r="G345" s="30">
        <f>IF(COUNTIF(Phrases!$A:$A,$A345)&gt;0,"ok","à faire")</f>
        <v/>
      </c>
      <c r="H345" s="30">
        <f>IF(COUNTIFS(Phrases!$A:$A,$A345,Phrases!$I:$I,"&lt;&gt;")&gt;0,"ok","à faire")</f>
        <v/>
      </c>
      <c r="I345" s="30">
        <f>IF(COUNTIF(Synonymes!$A:$A,$A345)&gt;0,"ok","")</f>
        <v/>
      </c>
      <c r="J345" s="30">
        <f>COUNTIF(E345:H345,"à faire")</f>
        <v/>
      </c>
    </row>
    <row r="346">
      <c r="A346" s="30" t="inlineStr">
        <is>
          <t>trombone</t>
        </is>
      </c>
      <c r="B346" s="30">
        <f>IFERROR(INDEX(Mots!$B:$B,MATCH($A346,Mots!$A:$A,0)),"introuvable")</f>
        <v/>
      </c>
      <c r="C346" s="30">
        <f>IFERROR(INDEX(Mots!$S:$S,MATCH($A346,Mots!$A:$A,0)),"")</f>
        <v/>
      </c>
      <c r="D346" s="30">
        <f>IFERROR(COUNTA(INDEX(Mots!$J:$J,MATCH($A346,Mots!$A:$A,0)):INDEX(Mots!$P:$P,MATCH($A346,Mots!$A:$A,0))),0)</f>
        <v/>
      </c>
      <c r="E346" s="30">
        <f>IF(COUNTIF(Classement!$A:$A,$A346)&gt;0,"ok","à faire")</f>
        <v/>
      </c>
      <c r="F346" s="30">
        <f>IF(COUNTIF(Tags!$A:$A,$A346)&gt;0,"ok","à faire")</f>
        <v/>
      </c>
      <c r="G346" s="30">
        <f>IF(COUNTIF(Phrases!$A:$A,$A346)&gt;0,"ok","à faire")</f>
        <v/>
      </c>
      <c r="H346" s="30">
        <f>IF(COUNTIFS(Phrases!$A:$A,$A346,Phrases!$I:$I,"&lt;&gt;")&gt;0,"ok","à faire")</f>
        <v/>
      </c>
      <c r="I346" s="30">
        <f>IF(COUNTIF(Synonymes!$A:$A,$A346)&gt;0,"ok","")</f>
        <v/>
      </c>
      <c r="J346" s="30">
        <f>COUNTIF(E346:H346,"à faire")</f>
        <v/>
      </c>
    </row>
    <row r="347">
      <c r="A347" s="30" t="inlineStr">
        <is>
          <t>legume</t>
        </is>
      </c>
      <c r="B347" s="30">
        <f>IFERROR(INDEX(Mots!$B:$B,MATCH($A347,Mots!$A:$A,0)),"introuvable")</f>
        <v/>
      </c>
      <c r="C347" s="30">
        <f>IFERROR(INDEX(Mots!$S:$S,MATCH($A347,Mots!$A:$A,0)),"")</f>
        <v/>
      </c>
      <c r="D347" s="30">
        <f>IFERROR(COUNTA(INDEX(Mots!$J:$J,MATCH($A347,Mots!$A:$A,0)):INDEX(Mots!$P:$P,MATCH($A347,Mots!$A:$A,0))),0)</f>
        <v/>
      </c>
      <c r="E347" s="30">
        <f>IF(COUNTIF(Classement!$A:$A,$A347)&gt;0,"ok","à faire")</f>
        <v/>
      </c>
      <c r="F347" s="30">
        <f>IF(COUNTIF(Tags!$A:$A,$A347)&gt;0,"ok","à faire")</f>
        <v/>
      </c>
      <c r="G347" s="30">
        <f>IF(COUNTIF(Phrases!$A:$A,$A347)&gt;0,"ok","à faire")</f>
        <v/>
      </c>
      <c r="H347" s="30">
        <f>IF(COUNTIFS(Phrases!$A:$A,$A347,Phrases!$I:$I,"&lt;&gt;")&gt;0,"ok","à faire")</f>
        <v/>
      </c>
      <c r="I347" s="30">
        <f>IF(COUNTIF(Synonymes!$A:$A,$A347)&gt;0,"ok","")</f>
        <v/>
      </c>
      <c r="J347" s="30">
        <f>COUNTIF(E347:H347,"à faire")</f>
        <v/>
      </c>
    </row>
    <row r="348">
      <c r="A348" s="30" t="inlineStr">
        <is>
          <t>pommes_de_terre</t>
        </is>
      </c>
      <c r="B348" s="30">
        <f>IFERROR(INDEX(Mots!$B:$B,MATCH($A348,Mots!$A:$A,0)),"introuvable")</f>
        <v/>
      </c>
      <c r="C348" s="30">
        <f>IFERROR(INDEX(Mots!$S:$S,MATCH($A348,Mots!$A:$A,0)),"")</f>
        <v/>
      </c>
      <c r="D348" s="30">
        <f>IFERROR(COUNTA(INDEX(Mots!$J:$J,MATCH($A348,Mots!$A:$A,0)):INDEX(Mots!$P:$P,MATCH($A348,Mots!$A:$A,0))),0)</f>
        <v/>
      </c>
      <c r="E348" s="30">
        <f>IF(COUNTIF(Classement!$A:$A,$A348)&gt;0,"ok","à faire")</f>
        <v/>
      </c>
      <c r="F348" s="30">
        <f>IF(COUNTIF(Tags!$A:$A,$A348)&gt;0,"ok","à faire")</f>
        <v/>
      </c>
      <c r="G348" s="30">
        <f>IF(COUNTIF(Phrases!$A:$A,$A348)&gt;0,"ok","à faire")</f>
        <v/>
      </c>
      <c r="H348" s="30">
        <f>IF(COUNTIFS(Phrases!$A:$A,$A348,Phrases!$I:$I,"&lt;&gt;")&gt;0,"ok","à faire")</f>
        <v/>
      </c>
      <c r="I348" s="30">
        <f>IF(COUNTIF(Synonymes!$A:$A,$A348)&gt;0,"ok","")</f>
        <v/>
      </c>
      <c r="J348" s="30">
        <f>COUNTIF(E348:H348,"à faire")</f>
        <v/>
      </c>
    </row>
    <row r="349">
      <c r="A349" s="30" t="inlineStr">
        <is>
          <t>carotte</t>
        </is>
      </c>
      <c r="B349" s="30">
        <f>IFERROR(INDEX(Mots!$B:$B,MATCH($A349,Mots!$A:$A,0)),"introuvable")</f>
        <v/>
      </c>
      <c r="C349" s="30">
        <f>IFERROR(INDEX(Mots!$S:$S,MATCH($A349,Mots!$A:$A,0)),"")</f>
        <v/>
      </c>
      <c r="D349" s="30">
        <f>IFERROR(COUNTA(INDEX(Mots!$J:$J,MATCH($A349,Mots!$A:$A,0)):INDEX(Mots!$P:$P,MATCH($A349,Mots!$A:$A,0))),0)</f>
        <v/>
      </c>
      <c r="E349" s="30">
        <f>IF(COUNTIF(Classement!$A:$A,$A349)&gt;0,"ok","à faire")</f>
        <v/>
      </c>
      <c r="F349" s="30">
        <f>IF(COUNTIF(Tags!$A:$A,$A349)&gt;0,"ok","à faire")</f>
        <v/>
      </c>
      <c r="G349" s="30">
        <f>IF(COUNTIF(Phrases!$A:$A,$A349)&gt;0,"ok","à faire")</f>
        <v/>
      </c>
      <c r="H349" s="30">
        <f>IF(COUNTIFS(Phrases!$A:$A,$A349,Phrases!$I:$I,"&lt;&gt;")&gt;0,"ok","à faire")</f>
        <v/>
      </c>
      <c r="I349" s="30">
        <f>IF(COUNTIF(Synonymes!$A:$A,$A349)&gt;0,"ok","")</f>
        <v/>
      </c>
      <c r="J349" s="30">
        <f>COUNTIF(E349:H349,"à faire")</f>
        <v/>
      </c>
    </row>
    <row r="350">
      <c r="A350" s="30" t="inlineStr">
        <is>
          <t>tomate</t>
        </is>
      </c>
      <c r="B350" s="30">
        <f>IFERROR(INDEX(Mots!$B:$B,MATCH($A350,Mots!$A:$A,0)),"introuvable")</f>
        <v/>
      </c>
      <c r="C350" s="30">
        <f>IFERROR(INDEX(Mots!$S:$S,MATCH($A350,Mots!$A:$A,0)),"")</f>
        <v/>
      </c>
      <c r="D350" s="30">
        <f>IFERROR(COUNTA(INDEX(Mots!$J:$J,MATCH($A350,Mots!$A:$A,0)):INDEX(Mots!$P:$P,MATCH($A350,Mots!$A:$A,0))),0)</f>
        <v/>
      </c>
      <c r="E350" s="30">
        <f>IF(COUNTIF(Classement!$A:$A,$A350)&gt;0,"ok","à faire")</f>
        <v/>
      </c>
      <c r="F350" s="30">
        <f>IF(COUNTIF(Tags!$A:$A,$A350)&gt;0,"ok","à faire")</f>
        <v/>
      </c>
      <c r="G350" s="30">
        <f>IF(COUNTIF(Phrases!$A:$A,$A350)&gt;0,"ok","à faire")</f>
        <v/>
      </c>
      <c r="H350" s="30">
        <f>IF(COUNTIFS(Phrases!$A:$A,$A350,Phrases!$I:$I,"&lt;&gt;")&gt;0,"ok","à faire")</f>
        <v/>
      </c>
      <c r="I350" s="30">
        <f>IF(COUNTIF(Synonymes!$A:$A,$A350)&gt;0,"ok","")</f>
        <v/>
      </c>
      <c r="J350" s="30">
        <f>COUNTIF(E350:H350,"à faire")</f>
        <v/>
      </c>
    </row>
    <row r="351">
      <c r="A351" s="30" t="inlineStr">
        <is>
          <t>chou_fleur</t>
        </is>
      </c>
      <c r="B351" s="30">
        <f>IFERROR(INDEX(Mots!$B:$B,MATCH($A351,Mots!$A:$A,0)),"introuvable")</f>
        <v/>
      </c>
      <c r="C351" s="30">
        <f>IFERROR(INDEX(Mots!$S:$S,MATCH($A351,Mots!$A:$A,0)),"")</f>
        <v/>
      </c>
      <c r="D351" s="30">
        <f>IFERROR(COUNTA(INDEX(Mots!$J:$J,MATCH($A351,Mots!$A:$A,0)):INDEX(Mots!$P:$P,MATCH($A351,Mots!$A:$A,0))),0)</f>
        <v/>
      </c>
      <c r="E351" s="30">
        <f>IF(COUNTIF(Classement!$A:$A,$A351)&gt;0,"ok","à faire")</f>
        <v/>
      </c>
      <c r="F351" s="30">
        <f>IF(COUNTIF(Tags!$A:$A,$A351)&gt;0,"ok","à faire")</f>
        <v/>
      </c>
      <c r="G351" s="30">
        <f>IF(COUNTIF(Phrases!$A:$A,$A351)&gt;0,"ok","à faire")</f>
        <v/>
      </c>
      <c r="H351" s="30">
        <f>IF(COUNTIFS(Phrases!$A:$A,$A351,Phrases!$I:$I,"&lt;&gt;")&gt;0,"ok","à faire")</f>
        <v/>
      </c>
      <c r="I351" s="30">
        <f>IF(COUNTIF(Synonymes!$A:$A,$A351)&gt;0,"ok","")</f>
        <v/>
      </c>
      <c r="J351" s="30">
        <f>COUNTIF(E351:H351,"à faire")</f>
        <v/>
      </c>
    </row>
    <row r="352">
      <c r="A352" s="30" t="inlineStr">
        <is>
          <t>poireau</t>
        </is>
      </c>
      <c r="B352" s="30">
        <f>IFERROR(INDEX(Mots!$B:$B,MATCH($A352,Mots!$A:$A,0)),"introuvable")</f>
        <v/>
      </c>
      <c r="C352" s="30">
        <f>IFERROR(INDEX(Mots!$S:$S,MATCH($A352,Mots!$A:$A,0)),"")</f>
        <v/>
      </c>
      <c r="D352" s="30">
        <f>IFERROR(COUNTA(INDEX(Mots!$J:$J,MATCH($A352,Mots!$A:$A,0)):INDEX(Mots!$P:$P,MATCH($A352,Mots!$A:$A,0))),0)</f>
        <v/>
      </c>
      <c r="E352" s="30">
        <f>IF(COUNTIF(Classement!$A:$A,$A352)&gt;0,"ok","à faire")</f>
        <v/>
      </c>
      <c r="F352" s="30">
        <f>IF(COUNTIF(Tags!$A:$A,$A352)&gt;0,"ok","à faire")</f>
        <v/>
      </c>
      <c r="G352" s="30">
        <f>IF(COUNTIF(Phrases!$A:$A,$A352)&gt;0,"ok","à faire")</f>
        <v/>
      </c>
      <c r="H352" s="30">
        <f>IF(COUNTIFS(Phrases!$A:$A,$A352,Phrases!$I:$I,"&lt;&gt;")&gt;0,"ok","à faire")</f>
        <v/>
      </c>
      <c r="I352" s="30">
        <f>IF(COUNTIF(Synonymes!$A:$A,$A352)&gt;0,"ok","")</f>
        <v/>
      </c>
      <c r="J352" s="30">
        <f>COUNTIF(E352:H352,"à faire")</f>
        <v/>
      </c>
    </row>
    <row r="353">
      <c r="A353" s="30" t="inlineStr">
        <is>
          <t>brocoli</t>
        </is>
      </c>
      <c r="B353" s="30">
        <f>IFERROR(INDEX(Mots!$B:$B,MATCH($A353,Mots!$A:$A,0)),"introuvable")</f>
        <v/>
      </c>
      <c r="C353" s="30">
        <f>IFERROR(INDEX(Mots!$S:$S,MATCH($A353,Mots!$A:$A,0)),"")</f>
        <v/>
      </c>
      <c r="D353" s="30">
        <f>IFERROR(COUNTA(INDEX(Mots!$J:$J,MATCH($A353,Mots!$A:$A,0)):INDEX(Mots!$P:$P,MATCH($A353,Mots!$A:$A,0))),0)</f>
        <v/>
      </c>
      <c r="E353" s="30">
        <f>IF(COUNTIF(Classement!$A:$A,$A353)&gt;0,"ok","à faire")</f>
        <v/>
      </c>
      <c r="F353" s="30">
        <f>IF(COUNTIF(Tags!$A:$A,$A353)&gt;0,"ok","à faire")</f>
        <v/>
      </c>
      <c r="G353" s="30">
        <f>IF(COUNTIF(Phrases!$A:$A,$A353)&gt;0,"ok","à faire")</f>
        <v/>
      </c>
      <c r="H353" s="30">
        <f>IF(COUNTIFS(Phrases!$A:$A,$A353,Phrases!$I:$I,"&lt;&gt;")&gt;0,"ok","à faire")</f>
        <v/>
      </c>
      <c r="I353" s="30">
        <f>IF(COUNTIF(Synonymes!$A:$A,$A353)&gt;0,"ok","")</f>
        <v/>
      </c>
      <c r="J353" s="30">
        <f>COUNTIF(E353:H353,"à faire")</f>
        <v/>
      </c>
    </row>
    <row r="354">
      <c r="A354" s="30" t="inlineStr">
        <is>
          <t>asperge</t>
        </is>
      </c>
      <c r="B354" s="30">
        <f>IFERROR(INDEX(Mots!$B:$B,MATCH($A354,Mots!$A:$A,0)),"introuvable")</f>
        <v/>
      </c>
      <c r="C354" s="30">
        <f>IFERROR(INDEX(Mots!$S:$S,MATCH($A354,Mots!$A:$A,0)),"")</f>
        <v/>
      </c>
      <c r="D354" s="30">
        <f>IFERROR(COUNTA(INDEX(Mots!$J:$J,MATCH($A354,Mots!$A:$A,0)):INDEX(Mots!$P:$P,MATCH($A354,Mots!$A:$A,0))),0)</f>
        <v/>
      </c>
      <c r="E354" s="30">
        <f>IF(COUNTIF(Classement!$A:$A,$A354)&gt;0,"ok","à faire")</f>
        <v/>
      </c>
      <c r="F354" s="30">
        <f>IF(COUNTIF(Tags!$A:$A,$A354)&gt;0,"ok","à faire")</f>
        <v/>
      </c>
      <c r="G354" s="30">
        <f>IF(COUNTIF(Phrases!$A:$A,$A354)&gt;0,"ok","à faire")</f>
        <v/>
      </c>
      <c r="H354" s="30">
        <f>IF(COUNTIFS(Phrases!$A:$A,$A354,Phrases!$I:$I,"&lt;&gt;")&gt;0,"ok","à faire")</f>
        <v/>
      </c>
      <c r="I354" s="30">
        <f>IF(COUNTIF(Synonymes!$A:$A,$A354)&gt;0,"ok","")</f>
        <v/>
      </c>
      <c r="J354" s="30">
        <f>COUNTIF(E354:H354,"à faire")</f>
        <v/>
      </c>
    </row>
    <row r="355">
      <c r="A355" s="30" t="inlineStr">
        <is>
          <t>courgette</t>
        </is>
      </c>
      <c r="B355" s="30">
        <f>IFERROR(INDEX(Mots!$B:$B,MATCH($A355,Mots!$A:$A,0)),"introuvable")</f>
        <v/>
      </c>
      <c r="C355" s="30">
        <f>IFERROR(INDEX(Mots!$S:$S,MATCH($A355,Mots!$A:$A,0)),"")</f>
        <v/>
      </c>
      <c r="D355" s="30">
        <f>IFERROR(COUNTA(INDEX(Mots!$J:$J,MATCH($A355,Mots!$A:$A,0)):INDEX(Mots!$P:$P,MATCH($A355,Mots!$A:$A,0))),0)</f>
        <v/>
      </c>
      <c r="E355" s="30">
        <f>IF(COUNTIF(Classement!$A:$A,$A355)&gt;0,"ok","à faire")</f>
        <v/>
      </c>
      <c r="F355" s="30">
        <f>IF(COUNTIF(Tags!$A:$A,$A355)&gt;0,"ok","à faire")</f>
        <v/>
      </c>
      <c r="G355" s="30">
        <f>IF(COUNTIF(Phrases!$A:$A,$A355)&gt;0,"ok","à faire")</f>
        <v/>
      </c>
      <c r="H355" s="30">
        <f>IF(COUNTIFS(Phrases!$A:$A,$A355,Phrases!$I:$I,"&lt;&gt;")&gt;0,"ok","à faire")</f>
        <v/>
      </c>
      <c r="I355" s="30">
        <f>IF(COUNTIF(Synonymes!$A:$A,$A355)&gt;0,"ok","")</f>
        <v/>
      </c>
      <c r="J355" s="30">
        <f>COUNTIF(E355:H355,"à faire")</f>
        <v/>
      </c>
    </row>
    <row r="356">
      <c r="A356" s="30" t="inlineStr">
        <is>
          <t>salade_laitue</t>
        </is>
      </c>
      <c r="B356" s="30">
        <f>IFERROR(INDEX(Mots!$B:$B,MATCH($A356,Mots!$A:$A,0)),"introuvable")</f>
        <v/>
      </c>
      <c r="C356" s="30">
        <f>IFERROR(INDEX(Mots!$S:$S,MATCH($A356,Mots!$A:$A,0)),"")</f>
        <v/>
      </c>
      <c r="D356" s="30">
        <f>IFERROR(COUNTA(INDEX(Mots!$J:$J,MATCH($A356,Mots!$A:$A,0)):INDEX(Mots!$P:$P,MATCH($A356,Mots!$A:$A,0))),0)</f>
        <v/>
      </c>
      <c r="E356" s="30">
        <f>IF(COUNTIF(Classement!$A:$A,$A356)&gt;0,"ok","à faire")</f>
        <v/>
      </c>
      <c r="F356" s="30">
        <f>IF(COUNTIF(Tags!$A:$A,$A356)&gt;0,"ok","à faire")</f>
        <v/>
      </c>
      <c r="G356" s="30">
        <f>IF(COUNTIF(Phrases!$A:$A,$A356)&gt;0,"ok","à faire")</f>
        <v/>
      </c>
      <c r="H356" s="30">
        <f>IF(COUNTIFS(Phrases!$A:$A,$A356,Phrases!$I:$I,"&lt;&gt;")&gt;0,"ok","à faire")</f>
        <v/>
      </c>
      <c r="I356" s="30">
        <f>IF(COUNTIF(Synonymes!$A:$A,$A356)&gt;0,"ok","")</f>
        <v/>
      </c>
      <c r="J356" s="30">
        <f>COUNTIF(E356:H356,"à faire")</f>
        <v/>
      </c>
    </row>
    <row r="357">
      <c r="A357" s="30" t="inlineStr">
        <is>
          <t>betterave</t>
        </is>
      </c>
      <c r="B357" s="30">
        <f>IFERROR(INDEX(Mots!$B:$B,MATCH($A357,Mots!$A:$A,0)),"introuvable")</f>
        <v/>
      </c>
      <c r="C357" s="30">
        <f>IFERROR(INDEX(Mots!$S:$S,MATCH($A357,Mots!$A:$A,0)),"")</f>
        <v/>
      </c>
      <c r="D357" s="30">
        <f>IFERROR(COUNTA(INDEX(Mots!$J:$J,MATCH($A357,Mots!$A:$A,0)):INDEX(Mots!$P:$P,MATCH($A357,Mots!$A:$A,0))),0)</f>
        <v/>
      </c>
      <c r="E357" s="30">
        <f>IF(COUNTIF(Classement!$A:$A,$A357)&gt;0,"ok","à faire")</f>
        <v/>
      </c>
      <c r="F357" s="30">
        <f>IF(COUNTIF(Tags!$A:$A,$A357)&gt;0,"ok","à faire")</f>
        <v/>
      </c>
      <c r="G357" s="30">
        <f>IF(COUNTIF(Phrases!$A:$A,$A357)&gt;0,"ok","à faire")</f>
        <v/>
      </c>
      <c r="H357" s="30">
        <f>IF(COUNTIFS(Phrases!$A:$A,$A357,Phrases!$I:$I,"&lt;&gt;")&gt;0,"ok","à faire")</f>
        <v/>
      </c>
      <c r="I357" s="30">
        <f>IF(COUNTIF(Synonymes!$A:$A,$A357)&gt;0,"ok","")</f>
        <v/>
      </c>
      <c r="J357" s="30">
        <f>COUNTIF(E357:H357,"à faire")</f>
        <v/>
      </c>
    </row>
    <row r="358">
      <c r="A358" s="30" t="inlineStr">
        <is>
          <t>haricot</t>
        </is>
      </c>
      <c r="B358" s="30">
        <f>IFERROR(INDEX(Mots!$B:$B,MATCH($A358,Mots!$A:$A,0)),"introuvable")</f>
        <v/>
      </c>
      <c r="C358" s="30">
        <f>IFERROR(INDEX(Mots!$S:$S,MATCH($A358,Mots!$A:$A,0)),"")</f>
        <v/>
      </c>
      <c r="D358" s="30">
        <f>IFERROR(COUNTA(INDEX(Mots!$J:$J,MATCH($A358,Mots!$A:$A,0)):INDEX(Mots!$P:$P,MATCH($A358,Mots!$A:$A,0))),0)</f>
        <v/>
      </c>
      <c r="E358" s="30">
        <f>IF(COUNTIF(Classement!$A:$A,$A358)&gt;0,"ok","à faire")</f>
        <v/>
      </c>
      <c r="F358" s="30">
        <f>IF(COUNTIF(Tags!$A:$A,$A358)&gt;0,"ok","à faire")</f>
        <v/>
      </c>
      <c r="G358" s="30">
        <f>IF(COUNTIF(Phrases!$A:$A,$A358)&gt;0,"ok","à faire")</f>
        <v/>
      </c>
      <c r="H358" s="30">
        <f>IF(COUNTIFS(Phrases!$A:$A,$A358,Phrases!$I:$I,"&lt;&gt;")&gt;0,"ok","à faire")</f>
        <v/>
      </c>
      <c r="I358" s="30">
        <f>IF(COUNTIF(Synonymes!$A:$A,$A358)&gt;0,"ok","")</f>
        <v/>
      </c>
      <c r="J358" s="30">
        <f>COUNTIF(E358:H358,"à faire")</f>
        <v/>
      </c>
    </row>
    <row r="359">
      <c r="A359" s="30" t="inlineStr">
        <is>
          <t>oignon</t>
        </is>
      </c>
      <c r="B359" s="30">
        <f>IFERROR(INDEX(Mots!$B:$B,MATCH($A359,Mots!$A:$A,0)),"introuvable")</f>
        <v/>
      </c>
      <c r="C359" s="30">
        <f>IFERROR(INDEX(Mots!$S:$S,MATCH($A359,Mots!$A:$A,0)),"")</f>
        <v/>
      </c>
      <c r="D359" s="30">
        <f>IFERROR(COUNTA(INDEX(Mots!$J:$J,MATCH($A359,Mots!$A:$A,0)):INDEX(Mots!$P:$P,MATCH($A359,Mots!$A:$A,0))),0)</f>
        <v/>
      </c>
      <c r="E359" s="30">
        <f>IF(COUNTIF(Classement!$A:$A,$A359)&gt;0,"ok","à faire")</f>
        <v/>
      </c>
      <c r="F359" s="30">
        <f>IF(COUNTIF(Tags!$A:$A,$A359)&gt;0,"ok","à faire")</f>
        <v/>
      </c>
      <c r="G359" s="30">
        <f>IF(COUNTIF(Phrases!$A:$A,$A359)&gt;0,"ok","à faire")</f>
        <v/>
      </c>
      <c r="H359" s="30">
        <f>IF(COUNTIFS(Phrases!$A:$A,$A359,Phrases!$I:$I,"&lt;&gt;")&gt;0,"ok","à faire")</f>
        <v/>
      </c>
      <c r="I359" s="30">
        <f>IF(COUNTIF(Synonymes!$A:$A,$A359)&gt;0,"ok","")</f>
        <v/>
      </c>
      <c r="J359" s="30">
        <f>COUNTIF(E359:H359,"à faire")</f>
        <v/>
      </c>
    </row>
    <row r="360">
      <c r="A360" s="30" t="inlineStr">
        <is>
          <t>sion</t>
        </is>
      </c>
      <c r="B360" s="30">
        <f>IFERROR(INDEX(Mots!$B:$B,MATCH($A360,Mots!$A:$A,0)),"introuvable")</f>
        <v/>
      </c>
      <c r="C360" s="30">
        <f>IFERROR(INDEX(Mots!$S:$S,MATCH($A360,Mots!$A:$A,0)),"")</f>
        <v/>
      </c>
      <c r="D360" s="30">
        <f>IFERROR(COUNTA(INDEX(Mots!$J:$J,MATCH($A360,Mots!$A:$A,0)):INDEX(Mots!$P:$P,MATCH($A360,Mots!$A:$A,0))),0)</f>
        <v/>
      </c>
      <c r="E360" s="30">
        <f>IF(COUNTIF(Classement!$A:$A,$A360)&gt;0,"ok","à faire")</f>
        <v/>
      </c>
      <c r="F360" s="30">
        <f>IF(COUNTIF(Tags!$A:$A,$A360)&gt;0,"ok","à faire")</f>
        <v/>
      </c>
      <c r="G360" s="30">
        <f>IF(COUNTIF(Phrases!$A:$A,$A360)&gt;0,"ok","à faire")</f>
        <v/>
      </c>
      <c r="H360" s="30">
        <f>IF(COUNTIFS(Phrases!$A:$A,$A360,Phrases!$I:$I,"&lt;&gt;")&gt;0,"ok","à faire")</f>
        <v/>
      </c>
      <c r="I360" s="30">
        <f>IF(COUNTIF(Synonymes!$A:$A,$A360)&gt;0,"ok","")</f>
        <v/>
      </c>
      <c r="J360" s="30">
        <f>COUNTIF(E360:H360,"à faire")</f>
        <v/>
      </c>
    </row>
    <row r="361">
      <c r="A361" s="30" t="inlineStr">
        <is>
          <t>vetroz</t>
        </is>
      </c>
      <c r="B361" s="30">
        <f>IFERROR(INDEX(Mots!$B:$B,MATCH($A361,Mots!$A:$A,0)),"introuvable")</f>
        <v/>
      </c>
      <c r="C361" s="30">
        <f>IFERROR(INDEX(Mots!$S:$S,MATCH($A361,Mots!$A:$A,0)),"")</f>
        <v/>
      </c>
      <c r="D361" s="30">
        <f>IFERROR(COUNTA(INDEX(Mots!$J:$J,MATCH($A361,Mots!$A:$A,0)):INDEX(Mots!$P:$P,MATCH($A361,Mots!$A:$A,0))),0)</f>
        <v/>
      </c>
      <c r="E361" s="30">
        <f>IF(COUNTIF(Classement!$A:$A,$A361)&gt;0,"ok","à faire")</f>
        <v/>
      </c>
      <c r="F361" s="30">
        <f>IF(COUNTIF(Tags!$A:$A,$A361)&gt;0,"ok","à faire")</f>
        <v/>
      </c>
      <c r="G361" s="30">
        <f>IF(COUNTIF(Phrases!$A:$A,$A361)&gt;0,"ok","à faire")</f>
        <v/>
      </c>
      <c r="H361" s="30">
        <f>IF(COUNTIFS(Phrases!$A:$A,$A361,Phrases!$I:$I,"&lt;&gt;")&gt;0,"ok","à faire")</f>
        <v/>
      </c>
      <c r="I361" s="30">
        <f>IF(COUNTIF(Synonymes!$A:$A,$A361)&gt;0,"ok","")</f>
        <v/>
      </c>
      <c r="J361" s="30">
        <f>COUNTIF(E361:H361,"à faire")</f>
        <v/>
      </c>
    </row>
    <row r="362">
      <c r="A362" s="30" t="inlineStr">
        <is>
          <t>ville</t>
        </is>
      </c>
      <c r="B362" s="30">
        <f>IFERROR(INDEX(Mots!$B:$B,MATCH($A362,Mots!$A:$A,0)),"introuvable")</f>
        <v/>
      </c>
      <c r="C362" s="30">
        <f>IFERROR(INDEX(Mots!$S:$S,MATCH($A362,Mots!$A:$A,0)),"")</f>
        <v/>
      </c>
      <c r="D362" s="30">
        <f>IFERROR(COUNTA(INDEX(Mots!$J:$J,MATCH($A362,Mots!$A:$A,0)):INDEX(Mots!$P:$P,MATCH($A362,Mots!$A:$A,0))),0)</f>
        <v/>
      </c>
      <c r="E362" s="30">
        <f>IF(COUNTIF(Classement!$A:$A,$A362)&gt;0,"ok","à faire")</f>
        <v/>
      </c>
      <c r="F362" s="30">
        <f>IF(COUNTIF(Tags!$A:$A,$A362)&gt;0,"ok","à faire")</f>
        <v/>
      </c>
      <c r="G362" s="30">
        <f>IF(COUNTIF(Phrases!$A:$A,$A362)&gt;0,"ok","à faire")</f>
        <v/>
      </c>
      <c r="H362" s="30">
        <f>IF(COUNTIFS(Phrases!$A:$A,$A362,Phrases!$I:$I,"&lt;&gt;")&gt;0,"ok","à faire")</f>
        <v/>
      </c>
      <c r="I362" s="30">
        <f>IF(COUNTIF(Synonymes!$A:$A,$A362)&gt;0,"ok","")</f>
        <v/>
      </c>
      <c r="J362" s="30">
        <f>COUNTIF(E362:H362,"à faire")</f>
        <v/>
      </c>
    </row>
    <row r="363">
      <c r="A363" s="30" t="inlineStr">
        <is>
          <t>rue</t>
        </is>
      </c>
      <c r="B363" s="30">
        <f>IFERROR(INDEX(Mots!$B:$B,MATCH($A363,Mots!$A:$A,0)),"introuvable")</f>
        <v/>
      </c>
      <c r="C363" s="30">
        <f>IFERROR(INDEX(Mots!$S:$S,MATCH($A363,Mots!$A:$A,0)),"")</f>
        <v/>
      </c>
      <c r="D363" s="30">
        <f>IFERROR(COUNTA(INDEX(Mots!$J:$J,MATCH($A363,Mots!$A:$A,0)):INDEX(Mots!$P:$P,MATCH($A363,Mots!$A:$A,0))),0)</f>
        <v/>
      </c>
      <c r="E363" s="30">
        <f>IF(COUNTIF(Classement!$A:$A,$A363)&gt;0,"ok","à faire")</f>
        <v/>
      </c>
      <c r="F363" s="30">
        <f>IF(COUNTIF(Tags!$A:$A,$A363)&gt;0,"ok","à faire")</f>
        <v/>
      </c>
      <c r="G363" s="30">
        <f>IF(COUNTIF(Phrases!$A:$A,$A363)&gt;0,"ok","à faire")</f>
        <v/>
      </c>
      <c r="H363" s="30">
        <f>IF(COUNTIFS(Phrases!$A:$A,$A363,Phrases!$I:$I,"&lt;&gt;")&gt;0,"ok","à faire")</f>
        <v/>
      </c>
      <c r="I363" s="30">
        <f>IF(COUNTIF(Synonymes!$A:$A,$A363)&gt;0,"ok","")</f>
        <v/>
      </c>
      <c r="J363" s="30">
        <f>COUNTIF(E363:H363,"à faire")</f>
        <v/>
      </c>
    </row>
    <row r="364">
      <c r="A364" s="30" t="inlineStr">
        <is>
          <t>pont</t>
        </is>
      </c>
      <c r="B364" s="30">
        <f>IFERROR(INDEX(Mots!$B:$B,MATCH($A364,Mots!$A:$A,0)),"introuvable")</f>
        <v/>
      </c>
      <c r="C364" s="30">
        <f>IFERROR(INDEX(Mots!$S:$S,MATCH($A364,Mots!$A:$A,0)),"")</f>
        <v/>
      </c>
      <c r="D364" s="30">
        <f>IFERROR(COUNTA(INDEX(Mots!$J:$J,MATCH($A364,Mots!$A:$A,0)):INDEX(Mots!$P:$P,MATCH($A364,Mots!$A:$A,0))),0)</f>
        <v/>
      </c>
      <c r="E364" s="30">
        <f>IF(COUNTIF(Classement!$A:$A,$A364)&gt;0,"ok","à faire")</f>
        <v/>
      </c>
      <c r="F364" s="30">
        <f>IF(COUNTIF(Tags!$A:$A,$A364)&gt;0,"ok","à faire")</f>
        <v/>
      </c>
      <c r="G364" s="30">
        <f>IF(COUNTIF(Phrases!$A:$A,$A364)&gt;0,"ok","à faire")</f>
        <v/>
      </c>
      <c r="H364" s="30">
        <f>IF(COUNTIFS(Phrases!$A:$A,$A364,Phrases!$I:$I,"&lt;&gt;")&gt;0,"ok","à faire")</f>
        <v/>
      </c>
      <c r="I364" s="30">
        <f>IF(COUNTIF(Synonymes!$A:$A,$A364)&gt;0,"ok","")</f>
        <v/>
      </c>
      <c r="J364" s="30">
        <f>COUNTIF(E364:H364,"à faire")</f>
        <v/>
      </c>
    </row>
    <row r="365">
      <c r="A365" s="30" t="inlineStr">
        <is>
          <t>tunnel</t>
        </is>
      </c>
      <c r="B365" s="30">
        <f>IFERROR(INDEX(Mots!$B:$B,MATCH($A365,Mots!$A:$A,0)),"introuvable")</f>
        <v/>
      </c>
      <c r="C365" s="30">
        <f>IFERROR(INDEX(Mots!$S:$S,MATCH($A365,Mots!$A:$A,0)),"")</f>
        <v/>
      </c>
      <c r="D365" s="30">
        <f>IFERROR(COUNTA(INDEX(Mots!$J:$J,MATCH($A365,Mots!$A:$A,0)):INDEX(Mots!$P:$P,MATCH($A365,Mots!$A:$A,0))),0)</f>
        <v/>
      </c>
      <c r="E365" s="30">
        <f>IF(COUNTIF(Classement!$A:$A,$A365)&gt;0,"ok","à faire")</f>
        <v/>
      </c>
      <c r="F365" s="30">
        <f>IF(COUNTIF(Tags!$A:$A,$A365)&gt;0,"ok","à faire")</f>
        <v/>
      </c>
      <c r="G365" s="30">
        <f>IF(COUNTIF(Phrases!$A:$A,$A365)&gt;0,"ok","à faire")</f>
        <v/>
      </c>
      <c r="H365" s="30">
        <f>IF(COUNTIFS(Phrases!$A:$A,$A365,Phrases!$I:$I,"&lt;&gt;")&gt;0,"ok","à faire")</f>
        <v/>
      </c>
      <c r="I365" s="30">
        <f>IF(COUNTIF(Synonymes!$A:$A,$A365)&gt;0,"ok","")</f>
        <v/>
      </c>
      <c r="J365" s="30">
        <f>COUNTIF(E365:H365,"à faire")</f>
        <v/>
      </c>
    </row>
    <row r="366">
      <c r="A366" s="30" t="inlineStr">
        <is>
          <t>parc</t>
        </is>
      </c>
      <c r="B366" s="30">
        <f>IFERROR(INDEX(Mots!$B:$B,MATCH($A366,Mots!$A:$A,0)),"introuvable")</f>
        <v/>
      </c>
      <c r="C366" s="30">
        <f>IFERROR(INDEX(Mots!$S:$S,MATCH($A366,Mots!$A:$A,0)),"")</f>
        <v/>
      </c>
      <c r="D366" s="30">
        <f>IFERROR(COUNTA(INDEX(Mots!$J:$J,MATCH($A366,Mots!$A:$A,0)):INDEX(Mots!$P:$P,MATCH($A366,Mots!$A:$A,0))),0)</f>
        <v/>
      </c>
      <c r="E366" s="30">
        <f>IF(COUNTIF(Classement!$A:$A,$A366)&gt;0,"ok","à faire")</f>
        <v/>
      </c>
      <c r="F366" s="30">
        <f>IF(COUNTIF(Tags!$A:$A,$A366)&gt;0,"ok","à faire")</f>
        <v/>
      </c>
      <c r="G366" s="30">
        <f>IF(COUNTIF(Phrases!$A:$A,$A366)&gt;0,"ok","à faire")</f>
        <v/>
      </c>
      <c r="H366" s="30">
        <f>IF(COUNTIFS(Phrases!$A:$A,$A366,Phrases!$I:$I,"&lt;&gt;")&gt;0,"ok","à faire")</f>
        <v/>
      </c>
      <c r="I366" s="30">
        <f>IF(COUNTIF(Synonymes!$A:$A,$A366)&gt;0,"ok","")</f>
        <v/>
      </c>
      <c r="J366" s="30">
        <f>COUNTIF(E366:H366,"à faire")</f>
        <v/>
      </c>
    </row>
    <row r="367">
      <c r="A367" s="30" t="inlineStr">
        <is>
          <t>bureau_metier</t>
        </is>
      </c>
      <c r="B367" s="30">
        <f>IFERROR(INDEX(Mots!$B:$B,MATCH($A367,Mots!$A:$A,0)),"introuvable")</f>
        <v/>
      </c>
      <c r="C367" s="30">
        <f>IFERROR(INDEX(Mots!$S:$S,MATCH($A367,Mots!$A:$A,0)),"")</f>
        <v/>
      </c>
      <c r="D367" s="30">
        <f>IFERROR(COUNTA(INDEX(Mots!$J:$J,MATCH($A367,Mots!$A:$A,0)):INDEX(Mots!$P:$P,MATCH($A367,Mots!$A:$A,0))),0)</f>
        <v/>
      </c>
      <c r="E367" s="30">
        <f>IF(COUNTIF(Classement!$A:$A,$A367)&gt;0,"ok","à faire")</f>
        <v/>
      </c>
      <c r="F367" s="30">
        <f>IF(COUNTIF(Tags!$A:$A,$A367)&gt;0,"ok","à faire")</f>
        <v/>
      </c>
      <c r="G367" s="30">
        <f>IF(COUNTIF(Phrases!$A:$A,$A367)&gt;0,"ok","à faire")</f>
        <v/>
      </c>
      <c r="H367" s="30">
        <f>IF(COUNTIFS(Phrases!$A:$A,$A367,Phrases!$I:$I,"&lt;&gt;")&gt;0,"ok","à faire")</f>
        <v/>
      </c>
      <c r="I367" s="30">
        <f>IF(COUNTIF(Synonymes!$A:$A,$A367)&gt;0,"ok","")</f>
        <v/>
      </c>
      <c r="J367" s="30">
        <f>COUNTIF(E367:H367,"à faire")</f>
        <v/>
      </c>
    </row>
    <row r="368">
      <c r="A368" s="30" t="inlineStr">
        <is>
          <t>police_ge</t>
        </is>
      </c>
      <c r="B368" s="30">
        <f>IFERROR(INDEX(Mots!$B:$B,MATCH($A368,Mots!$A:$A,0)),"introuvable")</f>
        <v/>
      </c>
      <c r="C368" s="30">
        <f>IFERROR(INDEX(Mots!$S:$S,MATCH($A368,Mots!$A:$A,0)),"")</f>
        <v/>
      </c>
      <c r="D368" s="30">
        <f>IFERROR(COUNTA(INDEX(Mots!$J:$J,MATCH($A368,Mots!$A:$A,0)):INDEX(Mots!$P:$P,MATCH($A368,Mots!$A:$A,0))),0)</f>
        <v/>
      </c>
      <c r="E368" s="30">
        <f>IF(COUNTIF(Classement!$A:$A,$A368)&gt;0,"ok","à faire")</f>
        <v/>
      </c>
      <c r="F368" s="30">
        <f>IF(COUNTIF(Tags!$A:$A,$A368)&gt;0,"ok","à faire")</f>
        <v/>
      </c>
      <c r="G368" s="30">
        <f>IF(COUNTIF(Phrases!$A:$A,$A368)&gt;0,"ok","à faire")</f>
        <v/>
      </c>
      <c r="H368" s="30">
        <f>IF(COUNTIFS(Phrases!$A:$A,$A368,Phrases!$I:$I,"&lt;&gt;")&gt;0,"ok","à faire")</f>
        <v/>
      </c>
      <c r="I368" s="30">
        <f>IF(COUNTIF(Synonymes!$A:$A,$A368)&gt;0,"ok","")</f>
        <v/>
      </c>
      <c r="J368" s="30">
        <f>COUNTIF(E368:H368,"à faire")</f>
        <v/>
      </c>
    </row>
    <row r="369">
      <c r="A369" s="30" t="inlineStr">
        <is>
          <t>chuv</t>
        </is>
      </c>
      <c r="B369" s="30">
        <f>IFERROR(INDEX(Mots!$B:$B,MATCH($A369,Mots!$A:$A,0)),"introuvable")</f>
        <v/>
      </c>
      <c r="C369" s="30">
        <f>IFERROR(INDEX(Mots!$S:$S,MATCH($A369,Mots!$A:$A,0)),"")</f>
        <v/>
      </c>
      <c r="D369" s="30">
        <f>IFERROR(COUNTA(INDEX(Mots!$J:$J,MATCH($A369,Mots!$A:$A,0)):INDEX(Mots!$P:$P,MATCH($A369,Mots!$A:$A,0))),0)</f>
        <v/>
      </c>
      <c r="E369" s="30">
        <f>IF(COUNTIF(Classement!$A:$A,$A369)&gt;0,"ok","à faire")</f>
        <v/>
      </c>
      <c r="F369" s="30">
        <f>IF(COUNTIF(Tags!$A:$A,$A369)&gt;0,"ok","à faire")</f>
        <v/>
      </c>
      <c r="G369" s="30">
        <f>IF(COUNTIF(Phrases!$A:$A,$A369)&gt;0,"ok","à faire")</f>
        <v/>
      </c>
      <c r="H369" s="30">
        <f>IF(COUNTIFS(Phrases!$A:$A,$A369,Phrases!$I:$I,"&lt;&gt;")&gt;0,"ok","à faire")</f>
        <v/>
      </c>
      <c r="I369" s="30">
        <f>IF(COUNTIF(Synonymes!$A:$A,$A369)&gt;0,"ok","")</f>
        <v/>
      </c>
      <c r="J369" s="30">
        <f>COUNTIF(E369:H369,"à faire")</f>
        <v/>
      </c>
    </row>
    <row r="370">
      <c r="A370" s="30" t="inlineStr">
        <is>
          <t>doigt</t>
        </is>
      </c>
      <c r="B370" s="30">
        <f>IFERROR(INDEX(Mots!$B:$B,MATCH($A370,Mots!$A:$A,0)),"introuvable")</f>
        <v/>
      </c>
      <c r="C370" s="30">
        <f>IFERROR(INDEX(Mots!$S:$S,MATCH($A370,Mots!$A:$A,0)),"")</f>
        <v/>
      </c>
      <c r="D370" s="30">
        <f>IFERROR(COUNTA(INDEX(Mots!$J:$J,MATCH($A370,Mots!$A:$A,0)):INDEX(Mots!$P:$P,MATCH($A370,Mots!$A:$A,0))),0)</f>
        <v/>
      </c>
      <c r="E370" s="30">
        <f>IF(COUNTIF(Classement!$A:$A,$A370)&gt;0,"ok","à faire")</f>
        <v/>
      </c>
      <c r="F370" s="30">
        <f>IF(COUNTIF(Tags!$A:$A,$A370)&gt;0,"ok","à faire")</f>
        <v/>
      </c>
      <c r="G370" s="30">
        <f>IF(COUNTIF(Phrases!$A:$A,$A370)&gt;0,"ok","à faire")</f>
        <v/>
      </c>
      <c r="H370" s="30">
        <f>IF(COUNTIFS(Phrases!$A:$A,$A370,Phrases!$I:$I,"&lt;&gt;")&gt;0,"ok","à faire")</f>
        <v/>
      </c>
      <c r="I370" s="30">
        <f>IF(COUNTIF(Synonymes!$A:$A,$A370)&gt;0,"ok","")</f>
        <v/>
      </c>
      <c r="J370" s="30">
        <f>COUNTIF(E370:H370,"à faire")</f>
        <v/>
      </c>
    </row>
    <row r="371">
      <c r="A371" s="30" t="inlineStr">
        <is>
          <t>main</t>
        </is>
      </c>
      <c r="B371" s="30">
        <f>IFERROR(INDEX(Mots!$B:$B,MATCH($A371,Mots!$A:$A,0)),"introuvable")</f>
        <v/>
      </c>
      <c r="C371" s="30">
        <f>IFERROR(INDEX(Mots!$S:$S,MATCH($A371,Mots!$A:$A,0)),"")</f>
        <v/>
      </c>
      <c r="D371" s="30">
        <f>IFERROR(COUNTA(INDEX(Mots!$J:$J,MATCH($A371,Mots!$A:$A,0)):INDEX(Mots!$P:$P,MATCH($A371,Mots!$A:$A,0))),0)</f>
        <v/>
      </c>
      <c r="E371" s="30">
        <f>IF(COUNTIF(Classement!$A:$A,$A371)&gt;0,"ok","à faire")</f>
        <v/>
      </c>
      <c r="F371" s="30">
        <f>IF(COUNTIF(Tags!$A:$A,$A371)&gt;0,"ok","à faire")</f>
        <v/>
      </c>
      <c r="G371" s="30">
        <f>IF(COUNTIF(Phrases!$A:$A,$A371)&gt;0,"ok","à faire")</f>
        <v/>
      </c>
      <c r="H371" s="30">
        <f>IF(COUNTIFS(Phrases!$A:$A,$A371,Phrases!$I:$I,"&lt;&gt;")&gt;0,"ok","à faire")</f>
        <v/>
      </c>
      <c r="I371" s="30">
        <f>IF(COUNTIF(Synonymes!$A:$A,$A371)&gt;0,"ok","")</f>
        <v/>
      </c>
      <c r="J371" s="30">
        <f>COUNTIF(E371:H371,"à faire")</f>
        <v/>
      </c>
    </row>
    <row r="372">
      <c r="A372" s="30" t="inlineStr">
        <is>
          <t>bras</t>
        </is>
      </c>
      <c r="B372" s="30">
        <f>IFERROR(INDEX(Mots!$B:$B,MATCH($A372,Mots!$A:$A,0)),"introuvable")</f>
        <v/>
      </c>
      <c r="C372" s="30">
        <f>IFERROR(INDEX(Mots!$S:$S,MATCH($A372,Mots!$A:$A,0)),"")</f>
        <v/>
      </c>
      <c r="D372" s="30">
        <f>IFERROR(COUNTA(INDEX(Mots!$J:$J,MATCH($A372,Mots!$A:$A,0)):INDEX(Mots!$P:$P,MATCH($A372,Mots!$A:$A,0))),0)</f>
        <v/>
      </c>
      <c r="E372" s="30">
        <f>IF(COUNTIF(Classement!$A:$A,$A372)&gt;0,"ok","à faire")</f>
        <v/>
      </c>
      <c r="F372" s="30">
        <f>IF(COUNTIF(Tags!$A:$A,$A372)&gt;0,"ok","à faire")</f>
        <v/>
      </c>
      <c r="G372" s="30">
        <f>IF(COUNTIF(Phrases!$A:$A,$A372)&gt;0,"ok","à faire")</f>
        <v/>
      </c>
      <c r="H372" s="30">
        <f>IF(COUNTIFS(Phrases!$A:$A,$A372,Phrases!$I:$I,"&lt;&gt;")&gt;0,"ok","à faire")</f>
        <v/>
      </c>
      <c r="I372" s="30">
        <f>IF(COUNTIF(Synonymes!$A:$A,$A372)&gt;0,"ok","")</f>
        <v/>
      </c>
      <c r="J372" s="30">
        <f>COUNTIF(E372:H372,"à faire")</f>
        <v/>
      </c>
    </row>
    <row r="373">
      <c r="A373" s="30" t="inlineStr">
        <is>
          <t>jambe</t>
        </is>
      </c>
      <c r="B373" s="30">
        <f>IFERROR(INDEX(Mots!$B:$B,MATCH($A373,Mots!$A:$A,0)),"introuvable")</f>
        <v/>
      </c>
      <c r="C373" s="30">
        <f>IFERROR(INDEX(Mots!$S:$S,MATCH($A373,Mots!$A:$A,0)),"")</f>
        <v/>
      </c>
      <c r="D373" s="30">
        <f>IFERROR(COUNTA(INDEX(Mots!$J:$J,MATCH($A373,Mots!$A:$A,0)):INDEX(Mots!$P:$P,MATCH($A373,Mots!$A:$A,0))),0)</f>
        <v/>
      </c>
      <c r="E373" s="30">
        <f>IF(COUNTIF(Classement!$A:$A,$A373)&gt;0,"ok","à faire")</f>
        <v/>
      </c>
      <c r="F373" s="30">
        <f>IF(COUNTIF(Tags!$A:$A,$A373)&gt;0,"ok","à faire")</f>
        <v/>
      </c>
      <c r="G373" s="30">
        <f>IF(COUNTIF(Phrases!$A:$A,$A373)&gt;0,"ok","à faire")</f>
        <v/>
      </c>
      <c r="H373" s="30">
        <f>IF(COUNTIFS(Phrases!$A:$A,$A373,Phrases!$I:$I,"&lt;&gt;")&gt;0,"ok","à faire")</f>
        <v/>
      </c>
      <c r="I373" s="30">
        <f>IF(COUNTIF(Synonymes!$A:$A,$A373)&gt;0,"ok","")</f>
        <v/>
      </c>
      <c r="J373" s="30">
        <f>COUNTIF(E373:H373,"à faire")</f>
        <v/>
      </c>
    </row>
    <row r="374">
      <c r="A374" s="30" t="inlineStr">
        <is>
          <t>cuisse</t>
        </is>
      </c>
      <c r="B374" s="30">
        <f>IFERROR(INDEX(Mots!$B:$B,MATCH($A374,Mots!$A:$A,0)),"introuvable")</f>
        <v/>
      </c>
      <c r="C374" s="30">
        <f>IFERROR(INDEX(Mots!$S:$S,MATCH($A374,Mots!$A:$A,0)),"")</f>
        <v/>
      </c>
      <c r="D374" s="30">
        <f>IFERROR(COUNTA(INDEX(Mots!$J:$J,MATCH($A374,Mots!$A:$A,0)):INDEX(Mots!$P:$P,MATCH($A374,Mots!$A:$A,0))),0)</f>
        <v/>
      </c>
      <c r="E374" s="30">
        <f>IF(COUNTIF(Classement!$A:$A,$A374)&gt;0,"ok","à faire")</f>
        <v/>
      </c>
      <c r="F374" s="30">
        <f>IF(COUNTIF(Tags!$A:$A,$A374)&gt;0,"ok","à faire")</f>
        <v/>
      </c>
      <c r="G374" s="30">
        <f>IF(COUNTIF(Phrases!$A:$A,$A374)&gt;0,"ok","à faire")</f>
        <v/>
      </c>
      <c r="H374" s="30">
        <f>IF(COUNTIFS(Phrases!$A:$A,$A374,Phrases!$I:$I,"&lt;&gt;")&gt;0,"ok","à faire")</f>
        <v/>
      </c>
      <c r="I374" s="30">
        <f>IF(COUNTIF(Synonymes!$A:$A,$A374)&gt;0,"ok","")</f>
        <v/>
      </c>
      <c r="J374" s="30">
        <f>COUNTIF(E374:H374,"à faire")</f>
        <v/>
      </c>
    </row>
    <row r="375">
      <c r="A375" s="30" t="inlineStr">
        <is>
          <t>pied</t>
        </is>
      </c>
      <c r="B375" s="30">
        <f>IFERROR(INDEX(Mots!$B:$B,MATCH($A375,Mots!$A:$A,0)),"introuvable")</f>
        <v/>
      </c>
      <c r="C375" s="30">
        <f>IFERROR(INDEX(Mots!$S:$S,MATCH($A375,Mots!$A:$A,0)),"")</f>
        <v/>
      </c>
      <c r="D375" s="30">
        <f>IFERROR(COUNTA(INDEX(Mots!$J:$J,MATCH($A375,Mots!$A:$A,0)):INDEX(Mots!$P:$P,MATCH($A375,Mots!$A:$A,0))),0)</f>
        <v/>
      </c>
      <c r="E375" s="30">
        <f>IF(COUNTIF(Classement!$A:$A,$A375)&gt;0,"ok","à faire")</f>
        <v/>
      </c>
      <c r="F375" s="30">
        <f>IF(COUNTIF(Tags!$A:$A,$A375)&gt;0,"ok","à faire")</f>
        <v/>
      </c>
      <c r="G375" s="30">
        <f>IF(COUNTIF(Phrases!$A:$A,$A375)&gt;0,"ok","à faire")</f>
        <v/>
      </c>
      <c r="H375" s="30">
        <f>IF(COUNTIFS(Phrases!$A:$A,$A375,Phrases!$I:$I,"&lt;&gt;")&gt;0,"ok","à faire")</f>
        <v/>
      </c>
      <c r="I375" s="30">
        <f>IF(COUNTIF(Synonymes!$A:$A,$A375)&gt;0,"ok","")</f>
        <v/>
      </c>
      <c r="J375" s="30">
        <f>COUNTIF(E375:H375,"à faire")</f>
        <v/>
      </c>
    </row>
    <row r="376">
      <c r="A376" s="30" t="inlineStr">
        <is>
          <t>coude</t>
        </is>
      </c>
      <c r="B376" s="30">
        <f>IFERROR(INDEX(Mots!$B:$B,MATCH($A376,Mots!$A:$A,0)),"introuvable")</f>
        <v/>
      </c>
      <c r="C376" s="30">
        <f>IFERROR(INDEX(Mots!$S:$S,MATCH($A376,Mots!$A:$A,0)),"")</f>
        <v/>
      </c>
      <c r="D376" s="30">
        <f>IFERROR(COUNTA(INDEX(Mots!$J:$J,MATCH($A376,Mots!$A:$A,0)):INDEX(Mots!$P:$P,MATCH($A376,Mots!$A:$A,0))),0)</f>
        <v/>
      </c>
      <c r="E376" s="30">
        <f>IF(COUNTIF(Classement!$A:$A,$A376)&gt;0,"ok","à faire")</f>
        <v/>
      </c>
      <c r="F376" s="30">
        <f>IF(COUNTIF(Tags!$A:$A,$A376)&gt;0,"ok","à faire")</f>
        <v/>
      </c>
      <c r="G376" s="30">
        <f>IF(COUNTIF(Phrases!$A:$A,$A376)&gt;0,"ok","à faire")</f>
        <v/>
      </c>
      <c r="H376" s="30">
        <f>IF(COUNTIFS(Phrases!$A:$A,$A376,Phrases!$I:$I,"&lt;&gt;")&gt;0,"ok","à faire")</f>
        <v/>
      </c>
      <c r="I376" s="30">
        <f>IF(COUNTIF(Synonymes!$A:$A,$A376)&gt;0,"ok","")</f>
        <v/>
      </c>
      <c r="J376" s="30">
        <f>COUNTIF(E376:H376,"à faire")</f>
        <v/>
      </c>
    </row>
    <row r="377">
      <c r="A377" s="30" t="inlineStr">
        <is>
          <t>genou</t>
        </is>
      </c>
      <c r="B377" s="30">
        <f>IFERROR(INDEX(Mots!$B:$B,MATCH($A377,Mots!$A:$A,0)),"introuvable")</f>
        <v/>
      </c>
      <c r="C377" s="30">
        <f>IFERROR(INDEX(Mots!$S:$S,MATCH($A377,Mots!$A:$A,0)),"")</f>
        <v/>
      </c>
      <c r="D377" s="30">
        <f>IFERROR(COUNTA(INDEX(Mots!$J:$J,MATCH($A377,Mots!$A:$A,0)):INDEX(Mots!$P:$P,MATCH($A377,Mots!$A:$A,0))),0)</f>
        <v/>
      </c>
      <c r="E377" s="30">
        <f>IF(COUNTIF(Classement!$A:$A,$A377)&gt;0,"ok","à faire")</f>
        <v/>
      </c>
      <c r="F377" s="30">
        <f>IF(COUNTIF(Tags!$A:$A,$A377)&gt;0,"ok","à faire")</f>
        <v/>
      </c>
      <c r="G377" s="30">
        <f>IF(COUNTIF(Phrases!$A:$A,$A377)&gt;0,"ok","à faire")</f>
        <v/>
      </c>
      <c r="H377" s="30">
        <f>IF(COUNTIFS(Phrases!$A:$A,$A377,Phrases!$I:$I,"&lt;&gt;")&gt;0,"ok","à faire")</f>
        <v/>
      </c>
      <c r="I377" s="30">
        <f>IF(COUNTIF(Synonymes!$A:$A,$A377)&gt;0,"ok","")</f>
        <v/>
      </c>
      <c r="J377" s="30">
        <f>COUNTIF(E377:H377,"à faire")</f>
        <v/>
      </c>
    </row>
    <row r="378">
      <c r="A378" s="30" t="inlineStr">
        <is>
          <t>medecin</t>
        </is>
      </c>
      <c r="B378" s="30">
        <f>IFERROR(INDEX(Mots!$B:$B,MATCH($A378,Mots!$A:$A,0)),"introuvable")</f>
        <v/>
      </c>
      <c r="C378" s="30">
        <f>IFERROR(INDEX(Mots!$S:$S,MATCH($A378,Mots!$A:$A,0)),"")</f>
        <v/>
      </c>
      <c r="D378" s="30">
        <f>IFERROR(COUNTA(INDEX(Mots!$J:$J,MATCH($A378,Mots!$A:$A,0)):INDEX(Mots!$P:$P,MATCH($A378,Mots!$A:$A,0))),0)</f>
        <v/>
      </c>
      <c r="E378" s="30">
        <f>IF(COUNTIF(Classement!$A:$A,$A378)&gt;0,"ok","à faire")</f>
        <v/>
      </c>
      <c r="F378" s="30">
        <f>IF(COUNTIF(Tags!$A:$A,$A378)&gt;0,"ok","à faire")</f>
        <v/>
      </c>
      <c r="G378" s="30">
        <f>IF(COUNTIF(Phrases!$A:$A,$A378)&gt;0,"ok","à faire")</f>
        <v/>
      </c>
      <c r="H378" s="30">
        <f>IF(COUNTIFS(Phrases!$A:$A,$A378,Phrases!$I:$I,"&lt;&gt;")&gt;0,"ok","à faire")</f>
        <v/>
      </c>
      <c r="I378" s="30">
        <f>IF(COUNTIF(Synonymes!$A:$A,$A378)&gt;0,"ok","")</f>
        <v/>
      </c>
      <c r="J378" s="30">
        <f>COUNTIF(E378:H378,"à faire")</f>
        <v/>
      </c>
    </row>
    <row r="379">
      <c r="A379" s="30" t="inlineStr">
        <is>
          <t>doctoresse</t>
        </is>
      </c>
      <c r="B379" s="30">
        <f>IFERROR(INDEX(Mots!$B:$B,MATCH($A379,Mots!$A:$A,0)),"introuvable")</f>
        <v/>
      </c>
      <c r="C379" s="30">
        <f>IFERROR(INDEX(Mots!$S:$S,MATCH($A379,Mots!$A:$A,0)),"")</f>
        <v/>
      </c>
      <c r="D379" s="30">
        <f>IFERROR(COUNTA(INDEX(Mots!$J:$J,MATCH($A379,Mots!$A:$A,0)):INDEX(Mots!$P:$P,MATCH($A379,Mots!$A:$A,0))),0)</f>
        <v/>
      </c>
      <c r="E379" s="30">
        <f>IF(COUNTIF(Classement!$A:$A,$A379)&gt;0,"ok","à faire")</f>
        <v/>
      </c>
      <c r="F379" s="30">
        <f>IF(COUNTIF(Tags!$A:$A,$A379)&gt;0,"ok","à faire")</f>
        <v/>
      </c>
      <c r="G379" s="30">
        <f>IF(COUNTIF(Phrases!$A:$A,$A379)&gt;0,"ok","à faire")</f>
        <v/>
      </c>
      <c r="H379" s="30">
        <f>IF(COUNTIFS(Phrases!$A:$A,$A379,Phrases!$I:$I,"&lt;&gt;")&gt;0,"ok","à faire")</f>
        <v/>
      </c>
      <c r="I379" s="30">
        <f>IF(COUNTIF(Synonymes!$A:$A,$A379)&gt;0,"ok","")</f>
        <v/>
      </c>
      <c r="J379" s="30">
        <f>COUNTIF(E379:H379,"à faire")</f>
        <v/>
      </c>
    </row>
    <row r="380">
      <c r="A380" s="30" t="inlineStr">
        <is>
          <t>policier</t>
        </is>
      </c>
      <c r="B380" s="30">
        <f>IFERROR(INDEX(Mots!$B:$B,MATCH($A380,Mots!$A:$A,0)),"introuvable")</f>
        <v/>
      </c>
      <c r="C380" s="30">
        <f>IFERROR(INDEX(Mots!$S:$S,MATCH($A380,Mots!$A:$A,0)),"")</f>
        <v/>
      </c>
      <c r="D380" s="30">
        <f>IFERROR(COUNTA(INDEX(Mots!$J:$J,MATCH($A380,Mots!$A:$A,0)):INDEX(Mots!$P:$P,MATCH($A380,Mots!$A:$A,0))),0)</f>
        <v/>
      </c>
      <c r="E380" s="30">
        <f>IF(COUNTIF(Classement!$A:$A,$A380)&gt;0,"ok","à faire")</f>
        <v/>
      </c>
      <c r="F380" s="30">
        <f>IF(COUNTIF(Tags!$A:$A,$A380)&gt;0,"ok","à faire")</f>
        <v/>
      </c>
      <c r="G380" s="30">
        <f>IF(COUNTIF(Phrases!$A:$A,$A380)&gt;0,"ok","à faire")</f>
        <v/>
      </c>
      <c r="H380" s="30">
        <f>IF(COUNTIFS(Phrases!$A:$A,$A380,Phrases!$I:$I,"&lt;&gt;")&gt;0,"ok","à faire")</f>
        <v/>
      </c>
      <c r="I380" s="30">
        <f>IF(COUNTIF(Synonymes!$A:$A,$A380)&gt;0,"ok","")</f>
        <v/>
      </c>
      <c r="J380" s="30">
        <f>COUNTIF(E380:H380,"à faire")</f>
        <v/>
      </c>
    </row>
    <row r="381">
      <c r="A381" s="30" t="inlineStr">
        <is>
          <t>charpentier</t>
        </is>
      </c>
      <c r="B381" s="30">
        <f>IFERROR(INDEX(Mots!$B:$B,MATCH($A381,Mots!$A:$A,0)),"introuvable")</f>
        <v/>
      </c>
      <c r="C381" s="30">
        <f>IFERROR(INDEX(Mots!$S:$S,MATCH($A381,Mots!$A:$A,0)),"")</f>
        <v/>
      </c>
      <c r="D381" s="30">
        <f>IFERROR(COUNTA(INDEX(Mots!$J:$J,MATCH($A381,Mots!$A:$A,0)):INDEX(Mots!$P:$P,MATCH($A381,Mots!$A:$A,0))),0)</f>
        <v/>
      </c>
      <c r="E381" s="30">
        <f>IF(COUNTIF(Classement!$A:$A,$A381)&gt;0,"ok","à faire")</f>
        <v/>
      </c>
      <c r="F381" s="30">
        <f>IF(COUNTIF(Tags!$A:$A,$A381)&gt;0,"ok","à faire")</f>
        <v/>
      </c>
      <c r="G381" s="30">
        <f>IF(COUNTIF(Phrases!$A:$A,$A381)&gt;0,"ok","à faire")</f>
        <v/>
      </c>
      <c r="H381" s="30">
        <f>IF(COUNTIFS(Phrases!$A:$A,$A381,Phrases!$I:$I,"&lt;&gt;")&gt;0,"ok","à faire")</f>
        <v/>
      </c>
      <c r="I381" s="30">
        <f>IF(COUNTIF(Synonymes!$A:$A,$A381)&gt;0,"ok","")</f>
        <v/>
      </c>
      <c r="J381" s="30">
        <f>COUNTIF(E381:H381,"à faire")</f>
        <v/>
      </c>
    </row>
    <row r="382">
      <c r="A382" s="30" t="inlineStr">
        <is>
          <t>macon</t>
        </is>
      </c>
      <c r="B382" s="30">
        <f>IFERROR(INDEX(Mots!$B:$B,MATCH($A382,Mots!$A:$A,0)),"introuvable")</f>
        <v/>
      </c>
      <c r="C382" s="30">
        <f>IFERROR(INDEX(Mots!$S:$S,MATCH($A382,Mots!$A:$A,0)),"")</f>
        <v/>
      </c>
      <c r="D382" s="30">
        <f>IFERROR(COUNTA(INDEX(Mots!$J:$J,MATCH($A382,Mots!$A:$A,0)):INDEX(Mots!$P:$P,MATCH($A382,Mots!$A:$A,0))),0)</f>
        <v/>
      </c>
      <c r="E382" s="30">
        <f>IF(COUNTIF(Classement!$A:$A,$A382)&gt;0,"ok","à faire")</f>
        <v/>
      </c>
      <c r="F382" s="30">
        <f>IF(COUNTIF(Tags!$A:$A,$A382)&gt;0,"ok","à faire")</f>
        <v/>
      </c>
      <c r="G382" s="30">
        <f>IF(COUNTIF(Phrases!$A:$A,$A382)&gt;0,"ok","à faire")</f>
        <v/>
      </c>
      <c r="H382" s="30">
        <f>IF(COUNTIFS(Phrases!$A:$A,$A382,Phrases!$I:$I,"&lt;&gt;")&gt;0,"ok","à faire")</f>
        <v/>
      </c>
      <c r="I382" s="30">
        <f>IF(COUNTIF(Synonymes!$A:$A,$A382)&gt;0,"ok","")</f>
        <v/>
      </c>
      <c r="J382" s="30">
        <f>COUNTIF(E382:H382,"à faire")</f>
        <v/>
      </c>
    </row>
    <row r="383">
      <c r="A383" s="30" t="inlineStr">
        <is>
          <t>installateur_sanitaire</t>
        </is>
      </c>
      <c r="B383" s="30">
        <f>IFERROR(INDEX(Mots!$B:$B,MATCH($A383,Mots!$A:$A,0)),"introuvable")</f>
        <v/>
      </c>
      <c r="C383" s="30">
        <f>IFERROR(INDEX(Mots!$S:$S,MATCH($A383,Mots!$A:$A,0)),"")</f>
        <v/>
      </c>
      <c r="D383" s="30">
        <f>IFERROR(COUNTA(INDEX(Mots!$J:$J,MATCH($A383,Mots!$A:$A,0)):INDEX(Mots!$P:$P,MATCH($A383,Mots!$A:$A,0))),0)</f>
        <v/>
      </c>
      <c r="E383" s="30">
        <f>IF(COUNTIF(Classement!$A:$A,$A383)&gt;0,"ok","à faire")</f>
        <v/>
      </c>
      <c r="F383" s="30">
        <f>IF(COUNTIF(Tags!$A:$A,$A383)&gt;0,"ok","à faire")</f>
        <v/>
      </c>
      <c r="G383" s="30">
        <f>IF(COUNTIF(Phrases!$A:$A,$A383)&gt;0,"ok","à faire")</f>
        <v/>
      </c>
      <c r="H383" s="30">
        <f>IF(COUNTIFS(Phrases!$A:$A,$A383,Phrases!$I:$I,"&lt;&gt;")&gt;0,"ok","à faire")</f>
        <v/>
      </c>
      <c r="I383" s="30">
        <f>IF(COUNTIF(Synonymes!$A:$A,$A383)&gt;0,"ok","")</f>
        <v/>
      </c>
      <c r="J383" s="30">
        <f>COUNTIF(E383:H383,"à faire")</f>
        <v/>
      </c>
    </row>
    <row r="384">
      <c r="A384" s="30" t="inlineStr">
        <is>
          <t>ferblantier</t>
        </is>
      </c>
      <c r="B384" s="30">
        <f>IFERROR(INDEX(Mots!$B:$B,MATCH($A384,Mots!$A:$A,0)),"introuvable")</f>
        <v/>
      </c>
      <c r="C384" s="30">
        <f>IFERROR(INDEX(Mots!$S:$S,MATCH($A384,Mots!$A:$A,0)),"")</f>
        <v/>
      </c>
      <c r="D384" s="30">
        <f>IFERROR(COUNTA(INDEX(Mots!$J:$J,MATCH($A384,Mots!$A:$A,0)):INDEX(Mots!$P:$P,MATCH($A384,Mots!$A:$A,0))),0)</f>
        <v/>
      </c>
      <c r="E384" s="30">
        <f>IF(COUNTIF(Classement!$A:$A,$A384)&gt;0,"ok","à faire")</f>
        <v/>
      </c>
      <c r="F384" s="30">
        <f>IF(COUNTIF(Tags!$A:$A,$A384)&gt;0,"ok","à faire")</f>
        <v/>
      </c>
      <c r="G384" s="30">
        <f>IF(COUNTIF(Phrases!$A:$A,$A384)&gt;0,"ok","à faire")</f>
        <v/>
      </c>
      <c r="H384" s="30">
        <f>IF(COUNTIFS(Phrases!$A:$A,$A384,Phrases!$I:$I,"&lt;&gt;")&gt;0,"ok","à faire")</f>
        <v/>
      </c>
      <c r="I384" s="30">
        <f>IF(COUNTIF(Synonymes!$A:$A,$A384)&gt;0,"ok","")</f>
        <v/>
      </c>
      <c r="J384" s="30">
        <f>COUNTIF(E384:H384,"à faire")</f>
        <v/>
      </c>
    </row>
    <row r="385">
      <c r="A385" s="30" t="inlineStr">
        <is>
          <t>menuisier</t>
        </is>
      </c>
      <c r="B385" s="30">
        <f>IFERROR(INDEX(Mots!$B:$B,MATCH($A385,Mots!$A:$A,0)),"introuvable")</f>
        <v/>
      </c>
      <c r="C385" s="30">
        <f>IFERROR(INDEX(Mots!$S:$S,MATCH($A385,Mots!$A:$A,0)),"")</f>
        <v/>
      </c>
      <c r="D385" s="30">
        <f>IFERROR(COUNTA(INDEX(Mots!$J:$J,MATCH($A385,Mots!$A:$A,0)):INDEX(Mots!$P:$P,MATCH($A385,Mots!$A:$A,0))),0)</f>
        <v/>
      </c>
      <c r="E385" s="30">
        <f>IF(COUNTIF(Classement!$A:$A,$A385)&gt;0,"ok","à faire")</f>
        <v/>
      </c>
      <c r="F385" s="30">
        <f>IF(COUNTIF(Tags!$A:$A,$A385)&gt;0,"ok","à faire")</f>
        <v/>
      </c>
      <c r="G385" s="30">
        <f>IF(COUNTIF(Phrases!$A:$A,$A385)&gt;0,"ok","à faire")</f>
        <v/>
      </c>
      <c r="H385" s="30">
        <f>IF(COUNTIFS(Phrases!$A:$A,$A385,Phrases!$I:$I,"&lt;&gt;")&gt;0,"ok","à faire")</f>
        <v/>
      </c>
      <c r="I385" s="30">
        <f>IF(COUNTIF(Synonymes!$A:$A,$A385)&gt;0,"ok","")</f>
        <v/>
      </c>
      <c r="J385" s="30">
        <f>COUNTIF(E385:H385,"à faire")</f>
        <v/>
      </c>
    </row>
    <row r="386">
      <c r="A386" s="30" t="inlineStr">
        <is>
          <t>poseur_cuisine</t>
        </is>
      </c>
      <c r="B386" s="30">
        <f>IFERROR(INDEX(Mots!$B:$B,MATCH($A386,Mots!$A:$A,0)),"introuvable")</f>
        <v/>
      </c>
      <c r="C386" s="30">
        <f>IFERROR(INDEX(Mots!$S:$S,MATCH($A386,Mots!$A:$A,0)),"")</f>
        <v/>
      </c>
      <c r="D386" s="30">
        <f>IFERROR(COUNTA(INDEX(Mots!$J:$J,MATCH($A386,Mots!$A:$A,0)):INDEX(Mots!$P:$P,MATCH($A386,Mots!$A:$A,0))),0)</f>
        <v/>
      </c>
      <c r="E386" s="30">
        <f>IF(COUNTIF(Classement!$A:$A,$A386)&gt;0,"ok","à faire")</f>
        <v/>
      </c>
      <c r="F386" s="30">
        <f>IF(COUNTIF(Tags!$A:$A,$A386)&gt;0,"ok","à faire")</f>
        <v/>
      </c>
      <c r="G386" s="30">
        <f>IF(COUNTIF(Phrases!$A:$A,$A386)&gt;0,"ok","à faire")</f>
        <v/>
      </c>
      <c r="H386" s="30">
        <f>IF(COUNTIFS(Phrases!$A:$A,$A386,Phrases!$I:$I,"&lt;&gt;")&gt;0,"ok","à faire")</f>
        <v/>
      </c>
      <c r="I386" s="30">
        <f>IF(COUNTIF(Synonymes!$A:$A,$A386)&gt;0,"ok","")</f>
        <v/>
      </c>
      <c r="J386" s="30">
        <f>COUNTIF(E386:H386,"à faire")</f>
        <v/>
      </c>
    </row>
    <row r="387">
      <c r="A387" s="30" t="inlineStr">
        <is>
          <t>mécanicien</t>
        </is>
      </c>
      <c r="B387" s="30">
        <f>IFERROR(INDEX(Mots!$B:$B,MATCH($A387,Mots!$A:$A,0)),"introuvable")</f>
        <v/>
      </c>
      <c r="C387" s="30">
        <f>IFERROR(INDEX(Mots!$S:$S,MATCH($A387,Mots!$A:$A,0)),"")</f>
        <v/>
      </c>
      <c r="D387" s="30">
        <f>IFERROR(COUNTA(INDEX(Mots!$J:$J,MATCH($A387,Mots!$A:$A,0)):INDEX(Mots!$P:$P,MATCH($A387,Mots!$A:$A,0))),0)</f>
        <v/>
      </c>
      <c r="E387" s="30">
        <f>IF(COUNTIF(Classement!$A:$A,$A387)&gt;0,"ok","à faire")</f>
        <v/>
      </c>
      <c r="F387" s="30">
        <f>IF(COUNTIF(Tags!$A:$A,$A387)&gt;0,"ok","à faire")</f>
        <v/>
      </c>
      <c r="G387" s="30">
        <f>IF(COUNTIF(Phrases!$A:$A,$A387)&gt;0,"ok","à faire")</f>
        <v/>
      </c>
      <c r="H387" s="30">
        <f>IF(COUNTIFS(Phrases!$A:$A,$A387,Phrases!$I:$I,"&lt;&gt;")&gt;0,"ok","à faire")</f>
        <v/>
      </c>
      <c r="I387" s="30">
        <f>IF(COUNTIF(Synonymes!$A:$A,$A387)&gt;0,"ok","")</f>
        <v/>
      </c>
      <c r="J387" s="30">
        <f>COUNTIF(E387:H387,"à faire")</f>
        <v/>
      </c>
    </row>
    <row r="388">
      <c r="A388" s="30" t="inlineStr">
        <is>
          <t>cuisinier</t>
        </is>
      </c>
      <c r="B388" s="30">
        <f>IFERROR(INDEX(Mots!$B:$B,MATCH($A388,Mots!$A:$A,0)),"introuvable")</f>
        <v/>
      </c>
      <c r="C388" s="30">
        <f>IFERROR(INDEX(Mots!$S:$S,MATCH($A388,Mots!$A:$A,0)),"")</f>
        <v/>
      </c>
      <c r="D388" s="30">
        <f>IFERROR(COUNTA(INDEX(Mots!$J:$J,MATCH($A388,Mots!$A:$A,0)):INDEX(Mots!$P:$P,MATCH($A388,Mots!$A:$A,0))),0)</f>
        <v/>
      </c>
      <c r="E388" s="30">
        <f>IF(COUNTIF(Classement!$A:$A,$A388)&gt;0,"ok","à faire")</f>
        <v/>
      </c>
      <c r="F388" s="30">
        <f>IF(COUNTIF(Tags!$A:$A,$A388)&gt;0,"ok","à faire")</f>
        <v/>
      </c>
      <c r="G388" s="30">
        <f>IF(COUNTIF(Phrases!$A:$A,$A388)&gt;0,"ok","à faire")</f>
        <v/>
      </c>
      <c r="H388" s="30">
        <f>IF(COUNTIFS(Phrases!$A:$A,$A388,Phrases!$I:$I,"&lt;&gt;")&gt;0,"ok","à faire")</f>
        <v/>
      </c>
      <c r="I388" s="30">
        <f>IF(COUNTIF(Synonymes!$A:$A,$A388)&gt;0,"ok","")</f>
        <v/>
      </c>
      <c r="J388" s="30">
        <f>COUNTIF(E388:H388,"à faire")</f>
        <v/>
      </c>
    </row>
    <row r="389">
      <c r="A389" s="30" t="inlineStr">
        <is>
          <t>boulanger</t>
        </is>
      </c>
      <c r="B389" s="30">
        <f>IFERROR(INDEX(Mots!$B:$B,MATCH($A389,Mots!$A:$A,0)),"introuvable")</f>
        <v/>
      </c>
      <c r="C389" s="30">
        <f>IFERROR(INDEX(Mots!$S:$S,MATCH($A389,Mots!$A:$A,0)),"")</f>
        <v/>
      </c>
      <c r="D389" s="30">
        <f>IFERROR(COUNTA(INDEX(Mots!$J:$J,MATCH($A389,Mots!$A:$A,0)):INDEX(Mots!$P:$P,MATCH($A389,Mots!$A:$A,0))),0)</f>
        <v/>
      </c>
      <c r="E389" s="30">
        <f>IF(COUNTIF(Classement!$A:$A,$A389)&gt;0,"ok","à faire")</f>
        <v/>
      </c>
      <c r="F389" s="30">
        <f>IF(COUNTIF(Tags!$A:$A,$A389)&gt;0,"ok","à faire")</f>
        <v/>
      </c>
      <c r="G389" s="30">
        <f>IF(COUNTIF(Phrases!$A:$A,$A389)&gt;0,"ok","à faire")</f>
        <v/>
      </c>
      <c r="H389" s="30">
        <f>IF(COUNTIFS(Phrases!$A:$A,$A389,Phrases!$I:$I,"&lt;&gt;")&gt;0,"ok","à faire")</f>
        <v/>
      </c>
      <c r="I389" s="30">
        <f>IF(COUNTIF(Synonymes!$A:$A,$A389)&gt;0,"ok","")</f>
        <v/>
      </c>
      <c r="J389" s="30">
        <f>COUNTIF(E389:H389,"à faire")</f>
        <v/>
      </c>
    </row>
    <row r="390">
      <c r="A390" s="30" t="inlineStr">
        <is>
          <t>chauffeur_car</t>
        </is>
      </c>
      <c r="B390" s="30">
        <f>IFERROR(INDEX(Mots!$B:$B,MATCH($A390,Mots!$A:$A,0)),"introuvable")</f>
        <v/>
      </c>
      <c r="C390" s="30">
        <f>IFERROR(INDEX(Mots!$S:$S,MATCH($A390,Mots!$A:$A,0)),"")</f>
        <v/>
      </c>
      <c r="D390" s="30">
        <f>IFERROR(COUNTA(INDEX(Mots!$J:$J,MATCH($A390,Mots!$A:$A,0)):INDEX(Mots!$P:$P,MATCH($A390,Mots!$A:$A,0))),0)</f>
        <v/>
      </c>
      <c r="E390" s="30">
        <f>IF(COUNTIF(Classement!$A:$A,$A390)&gt;0,"ok","à faire")</f>
        <v/>
      </c>
      <c r="F390" s="30">
        <f>IF(COUNTIF(Tags!$A:$A,$A390)&gt;0,"ok","à faire")</f>
        <v/>
      </c>
      <c r="G390" s="30">
        <f>IF(COUNTIF(Phrases!$A:$A,$A390)&gt;0,"ok","à faire")</f>
        <v/>
      </c>
      <c r="H390" s="30">
        <f>IF(COUNTIFS(Phrases!$A:$A,$A390,Phrases!$I:$I,"&lt;&gt;")&gt;0,"ok","à faire")</f>
        <v/>
      </c>
      <c r="I390" s="30">
        <f>IF(COUNTIF(Synonymes!$A:$A,$A390)&gt;0,"ok","")</f>
        <v/>
      </c>
      <c r="J390" s="30">
        <f>COUNTIF(E390:H390,"à faire")</f>
        <v/>
      </c>
    </row>
    <row r="391">
      <c r="A391" s="30" t="inlineStr">
        <is>
          <t>dessinateur</t>
        </is>
      </c>
      <c r="B391" s="30">
        <f>IFERROR(INDEX(Mots!$B:$B,MATCH($A391,Mots!$A:$A,0)),"introuvable")</f>
        <v/>
      </c>
      <c r="C391" s="30">
        <f>IFERROR(INDEX(Mots!$S:$S,MATCH($A391,Mots!$A:$A,0)),"")</f>
        <v/>
      </c>
      <c r="D391" s="30">
        <f>IFERROR(COUNTA(INDEX(Mots!$J:$J,MATCH($A391,Mots!$A:$A,0)):INDEX(Mots!$P:$P,MATCH($A391,Mots!$A:$A,0))),0)</f>
        <v/>
      </c>
      <c r="E391" s="30">
        <f>IF(COUNTIF(Classement!$A:$A,$A391)&gt;0,"ok","à faire")</f>
        <v/>
      </c>
      <c r="F391" s="30">
        <f>IF(COUNTIF(Tags!$A:$A,$A391)&gt;0,"ok","à faire")</f>
        <v/>
      </c>
      <c r="G391" s="30">
        <f>IF(COUNTIF(Phrases!$A:$A,$A391)&gt;0,"ok","à faire")</f>
        <v/>
      </c>
      <c r="H391" s="30">
        <f>IF(COUNTIFS(Phrases!$A:$A,$A391,Phrases!$I:$I,"&lt;&gt;")&gt;0,"ok","à faire")</f>
        <v/>
      </c>
      <c r="I391" s="30">
        <f>IF(COUNTIF(Synonymes!$A:$A,$A391)&gt;0,"ok","")</f>
        <v/>
      </c>
      <c r="J391" s="30">
        <f>COUNTIF(E391:H391,"à faire")</f>
        <v/>
      </c>
    </row>
    <row r="392">
      <c r="A392" s="30" t="inlineStr">
        <is>
          <t>professeur</t>
        </is>
      </c>
      <c r="B392" s="30">
        <f>IFERROR(INDEX(Mots!$B:$B,MATCH($A392,Mots!$A:$A,0)),"introuvable")</f>
        <v/>
      </c>
      <c r="C392" s="30">
        <f>IFERROR(INDEX(Mots!$S:$S,MATCH($A392,Mots!$A:$A,0)),"")</f>
        <v/>
      </c>
      <c r="D392" s="30">
        <f>IFERROR(COUNTA(INDEX(Mots!$J:$J,MATCH($A392,Mots!$A:$A,0)):INDEX(Mots!$P:$P,MATCH($A392,Mots!$A:$A,0))),0)</f>
        <v/>
      </c>
      <c r="E392" s="30">
        <f>IF(COUNTIF(Classement!$A:$A,$A392)&gt;0,"ok","à faire")</f>
        <v/>
      </c>
      <c r="F392" s="30">
        <f>IF(COUNTIF(Tags!$A:$A,$A392)&gt;0,"ok","à faire")</f>
        <v/>
      </c>
      <c r="G392" s="30">
        <f>IF(COUNTIF(Phrases!$A:$A,$A392)&gt;0,"ok","à faire")</f>
        <v/>
      </c>
      <c r="H392" s="30">
        <f>IF(COUNTIFS(Phrases!$A:$A,$A392,Phrases!$I:$I,"&lt;&gt;")&gt;0,"ok","à faire")</f>
        <v/>
      </c>
      <c r="I392" s="30">
        <f>IF(COUNTIF(Synonymes!$A:$A,$A392)&gt;0,"ok","")</f>
        <v/>
      </c>
      <c r="J392" s="30">
        <f>COUNTIF(E392:H392,"à faire")</f>
        <v/>
      </c>
    </row>
    <row r="393">
      <c r="A393" s="30" t="inlineStr">
        <is>
          <t>acteur</t>
        </is>
      </c>
      <c r="B393" s="30">
        <f>IFERROR(INDEX(Mots!$B:$B,MATCH($A393,Mots!$A:$A,0)),"introuvable")</f>
        <v/>
      </c>
      <c r="C393" s="30">
        <f>IFERROR(INDEX(Mots!$S:$S,MATCH($A393,Mots!$A:$A,0)),"")</f>
        <v/>
      </c>
      <c r="D393" s="30">
        <f>IFERROR(COUNTA(INDEX(Mots!$J:$J,MATCH($A393,Mots!$A:$A,0)):INDEX(Mots!$P:$P,MATCH($A393,Mots!$A:$A,0))),0)</f>
        <v/>
      </c>
      <c r="E393" s="30">
        <f>IF(COUNTIF(Classement!$A:$A,$A393)&gt;0,"ok","à faire")</f>
        <v/>
      </c>
      <c r="F393" s="30">
        <f>IF(COUNTIF(Tags!$A:$A,$A393)&gt;0,"ok","à faire")</f>
        <v/>
      </c>
      <c r="G393" s="30">
        <f>IF(COUNTIF(Phrases!$A:$A,$A393)&gt;0,"ok","à faire")</f>
        <v/>
      </c>
      <c r="H393" s="30">
        <f>IF(COUNTIFS(Phrases!$A:$A,$A393,Phrases!$I:$I,"&lt;&gt;")&gt;0,"ok","à faire")</f>
        <v/>
      </c>
      <c r="I393" s="30">
        <f>IF(COUNTIF(Synonymes!$A:$A,$A393)&gt;0,"ok","")</f>
        <v/>
      </c>
      <c r="J393" s="30">
        <f>COUNTIF(E393:H393,"à faire")</f>
        <v/>
      </c>
    </row>
    <row r="394">
      <c r="A394" s="30" t="inlineStr">
        <is>
          <t>agriculteur</t>
        </is>
      </c>
      <c r="B394" s="30">
        <f>IFERROR(INDEX(Mots!$B:$B,MATCH($A394,Mots!$A:$A,0)),"introuvable")</f>
        <v/>
      </c>
      <c r="C394" s="30">
        <f>IFERROR(INDEX(Mots!$S:$S,MATCH($A394,Mots!$A:$A,0)),"")</f>
        <v/>
      </c>
      <c r="D394" s="30">
        <f>IFERROR(COUNTA(INDEX(Mots!$J:$J,MATCH($A394,Mots!$A:$A,0)):INDEX(Mots!$P:$P,MATCH($A394,Mots!$A:$A,0))),0)</f>
        <v/>
      </c>
      <c r="E394" s="30">
        <f>IF(COUNTIF(Classement!$A:$A,$A394)&gt;0,"ok","à faire")</f>
        <v/>
      </c>
      <c r="F394" s="30">
        <f>IF(COUNTIF(Tags!$A:$A,$A394)&gt;0,"ok","à faire")</f>
        <v/>
      </c>
      <c r="G394" s="30">
        <f>IF(COUNTIF(Phrases!$A:$A,$A394)&gt;0,"ok","à faire")</f>
        <v/>
      </c>
      <c r="H394" s="30">
        <f>IF(COUNTIFS(Phrases!$A:$A,$A394,Phrases!$I:$I,"&lt;&gt;")&gt;0,"ok","à faire")</f>
        <v/>
      </c>
      <c r="I394" s="30">
        <f>IF(COUNTIF(Synonymes!$A:$A,$A394)&gt;0,"ok","")</f>
        <v/>
      </c>
      <c r="J394" s="30">
        <f>COUNTIF(E394:H394,"à faire")</f>
        <v/>
      </c>
    </row>
    <row r="395">
      <c r="A395" s="30" t="inlineStr">
        <is>
          <t>banquier</t>
        </is>
      </c>
      <c r="B395" s="30">
        <f>IFERROR(INDEX(Mots!$B:$B,MATCH($A395,Mots!$A:$A,0)),"introuvable")</f>
        <v/>
      </c>
      <c r="C395" s="30">
        <f>IFERROR(INDEX(Mots!$S:$S,MATCH($A395,Mots!$A:$A,0)),"")</f>
        <v/>
      </c>
      <c r="D395" s="30">
        <f>IFERROR(COUNTA(INDEX(Mots!$J:$J,MATCH($A395,Mots!$A:$A,0)):INDEX(Mots!$P:$P,MATCH($A395,Mots!$A:$A,0))),0)</f>
        <v/>
      </c>
      <c r="E395" s="30">
        <f>IF(COUNTIF(Classement!$A:$A,$A395)&gt;0,"ok","à faire")</f>
        <v/>
      </c>
      <c r="F395" s="30">
        <f>IF(COUNTIF(Tags!$A:$A,$A395)&gt;0,"ok","à faire")</f>
        <v/>
      </c>
      <c r="G395" s="30">
        <f>IF(COUNTIF(Phrases!$A:$A,$A395)&gt;0,"ok","à faire")</f>
        <v/>
      </c>
      <c r="H395" s="30">
        <f>IF(COUNTIFS(Phrases!$A:$A,$A395,Phrases!$I:$I,"&lt;&gt;")&gt;0,"ok","à faire")</f>
        <v/>
      </c>
      <c r="I395" s="30">
        <f>IF(COUNTIF(Synonymes!$A:$A,$A395)&gt;0,"ok","")</f>
        <v/>
      </c>
      <c r="J395" s="30">
        <f>COUNTIF(E395:H395,"à faire")</f>
        <v/>
      </c>
    </row>
    <row r="396">
      <c r="A396" s="30" t="inlineStr">
        <is>
          <t>chanteur</t>
        </is>
      </c>
      <c r="B396" s="30">
        <f>IFERROR(INDEX(Mots!$B:$B,MATCH($A396,Mots!$A:$A,0)),"introuvable")</f>
        <v/>
      </c>
      <c r="C396" s="30">
        <f>IFERROR(INDEX(Mots!$S:$S,MATCH($A396,Mots!$A:$A,0)),"")</f>
        <v/>
      </c>
      <c r="D396" s="30">
        <f>IFERROR(COUNTA(INDEX(Mots!$J:$J,MATCH($A396,Mots!$A:$A,0)):INDEX(Mots!$P:$P,MATCH($A396,Mots!$A:$A,0))),0)</f>
        <v/>
      </c>
      <c r="E396" s="30">
        <f>IF(COUNTIF(Classement!$A:$A,$A396)&gt;0,"ok","à faire")</f>
        <v/>
      </c>
      <c r="F396" s="30">
        <f>IF(COUNTIF(Tags!$A:$A,$A396)&gt;0,"ok","à faire")</f>
        <v/>
      </c>
      <c r="G396" s="30">
        <f>IF(COUNTIF(Phrases!$A:$A,$A396)&gt;0,"ok","à faire")</f>
        <v/>
      </c>
      <c r="H396" s="30">
        <f>IF(COUNTIFS(Phrases!$A:$A,$A396,Phrases!$I:$I,"&lt;&gt;")&gt;0,"ok","à faire")</f>
        <v/>
      </c>
      <c r="I396" s="30">
        <f>IF(COUNTIF(Synonymes!$A:$A,$A396)&gt;0,"ok","")</f>
        <v/>
      </c>
      <c r="J396" s="30">
        <f>COUNTIF(E396:H396,"à faire")</f>
        <v/>
      </c>
    </row>
    <row r="397">
      <c r="A397" s="30" t="inlineStr">
        <is>
          <t>facteur</t>
        </is>
      </c>
      <c r="B397" s="30">
        <f>IFERROR(INDEX(Mots!$B:$B,MATCH($A397,Mots!$A:$A,0)),"introuvable")</f>
        <v/>
      </c>
      <c r="C397" s="30">
        <f>IFERROR(INDEX(Mots!$S:$S,MATCH($A397,Mots!$A:$A,0)),"")</f>
        <v/>
      </c>
      <c r="D397" s="30">
        <f>IFERROR(COUNTA(INDEX(Mots!$J:$J,MATCH($A397,Mots!$A:$A,0)):INDEX(Mots!$P:$P,MATCH($A397,Mots!$A:$A,0))),0)</f>
        <v/>
      </c>
      <c r="E397" s="30">
        <f>IF(COUNTIF(Classement!$A:$A,$A397)&gt;0,"ok","à faire")</f>
        <v/>
      </c>
      <c r="F397" s="30">
        <f>IF(COUNTIF(Tags!$A:$A,$A397)&gt;0,"ok","à faire")</f>
        <v/>
      </c>
      <c r="G397" s="30">
        <f>IF(COUNTIF(Phrases!$A:$A,$A397)&gt;0,"ok","à faire")</f>
        <v/>
      </c>
      <c r="H397" s="30">
        <f>IF(COUNTIFS(Phrases!$A:$A,$A397,Phrases!$I:$I,"&lt;&gt;")&gt;0,"ok","à faire")</f>
        <v/>
      </c>
      <c r="I397" s="30">
        <f>IF(COUNTIF(Synonymes!$A:$A,$A397)&gt;0,"ok","")</f>
        <v/>
      </c>
      <c r="J397" s="30">
        <f>COUNTIF(E397:H397,"à faire")</f>
        <v/>
      </c>
    </row>
    <row r="398">
      <c r="A398" s="30" t="inlineStr">
        <is>
          <t>peintre</t>
        </is>
      </c>
      <c r="B398" s="30">
        <f>IFERROR(INDEX(Mots!$B:$B,MATCH($A398,Mots!$A:$A,0)),"introuvable")</f>
        <v/>
      </c>
      <c r="C398" s="30">
        <f>IFERROR(INDEX(Mots!$S:$S,MATCH($A398,Mots!$A:$A,0)),"")</f>
        <v/>
      </c>
      <c r="D398" s="30">
        <f>IFERROR(COUNTA(INDEX(Mots!$J:$J,MATCH($A398,Mots!$A:$A,0)):INDEX(Mots!$P:$P,MATCH($A398,Mots!$A:$A,0))),0)</f>
        <v/>
      </c>
      <c r="E398" s="30">
        <f>IF(COUNTIF(Classement!$A:$A,$A398)&gt;0,"ok","à faire")</f>
        <v/>
      </c>
      <c r="F398" s="30">
        <f>IF(COUNTIF(Tags!$A:$A,$A398)&gt;0,"ok","à faire")</f>
        <v/>
      </c>
      <c r="G398" s="30">
        <f>IF(COUNTIF(Phrases!$A:$A,$A398)&gt;0,"ok","à faire")</f>
        <v/>
      </c>
      <c r="H398" s="30">
        <f>IF(COUNTIFS(Phrases!$A:$A,$A398,Phrases!$I:$I,"&lt;&gt;")&gt;0,"ok","à faire")</f>
        <v/>
      </c>
      <c r="I398" s="30">
        <f>IF(COUNTIF(Synonymes!$A:$A,$A398)&gt;0,"ok","")</f>
        <v/>
      </c>
      <c r="J398" s="30">
        <f>COUNTIF(E398:H398,"à faire")</f>
        <v/>
      </c>
    </row>
    <row r="399">
      <c r="A399" s="30" t="inlineStr">
        <is>
          <t>pompier</t>
        </is>
      </c>
      <c r="B399" s="30">
        <f>IFERROR(INDEX(Mots!$B:$B,MATCH($A399,Mots!$A:$A,0)),"introuvable")</f>
        <v/>
      </c>
      <c r="C399" s="30">
        <f>IFERROR(INDEX(Mots!$S:$S,MATCH($A399,Mots!$A:$A,0)),"")</f>
        <v/>
      </c>
      <c r="D399" s="30">
        <f>IFERROR(COUNTA(INDEX(Mots!$J:$J,MATCH($A399,Mots!$A:$A,0)):INDEX(Mots!$P:$P,MATCH($A399,Mots!$A:$A,0))),0)</f>
        <v/>
      </c>
      <c r="E399" s="30">
        <f>IF(COUNTIF(Classement!$A:$A,$A399)&gt;0,"ok","à faire")</f>
        <v/>
      </c>
      <c r="F399" s="30">
        <f>IF(COUNTIF(Tags!$A:$A,$A399)&gt;0,"ok","à faire")</f>
        <v/>
      </c>
      <c r="G399" s="30">
        <f>IF(COUNTIF(Phrases!$A:$A,$A399)&gt;0,"ok","à faire")</f>
        <v/>
      </c>
      <c r="H399" s="30">
        <f>IF(COUNTIFS(Phrases!$A:$A,$A399,Phrases!$I:$I,"&lt;&gt;")&gt;0,"ok","à faire")</f>
        <v/>
      </c>
      <c r="I399" s="30">
        <f>IF(COUNTIF(Synonymes!$A:$A,$A399)&gt;0,"ok","")</f>
        <v/>
      </c>
      <c r="J399" s="30">
        <f>COUNTIF(E399:H399,"à faire")</f>
        <v/>
      </c>
    </row>
    <row r="400">
      <c r="A400" s="30" t="inlineStr">
        <is>
          <t>vendeur</t>
        </is>
      </c>
      <c r="B400" s="30">
        <f>IFERROR(INDEX(Mots!$B:$B,MATCH($A400,Mots!$A:$A,0)),"introuvable")</f>
        <v/>
      </c>
      <c r="C400" s="30">
        <f>IFERROR(INDEX(Mots!$S:$S,MATCH($A400,Mots!$A:$A,0)),"")</f>
        <v/>
      </c>
      <c r="D400" s="30">
        <f>IFERROR(COUNTA(INDEX(Mots!$J:$J,MATCH($A400,Mots!$A:$A,0)):INDEX(Mots!$P:$P,MATCH($A400,Mots!$A:$A,0))),0)</f>
        <v/>
      </c>
      <c r="E400" s="30">
        <f>IF(COUNTIF(Classement!$A:$A,$A400)&gt;0,"ok","à faire")</f>
        <v/>
      </c>
      <c r="F400" s="30">
        <f>IF(COUNTIF(Tags!$A:$A,$A400)&gt;0,"ok","à faire")</f>
        <v/>
      </c>
      <c r="G400" s="30">
        <f>IF(COUNTIF(Phrases!$A:$A,$A400)&gt;0,"ok","à faire")</f>
        <v/>
      </c>
      <c r="H400" s="30">
        <f>IF(COUNTIFS(Phrases!$A:$A,$A400,Phrases!$I:$I,"&lt;&gt;")&gt;0,"ok","à faire")</f>
        <v/>
      </c>
      <c r="I400" s="30">
        <f>IF(COUNTIF(Synonymes!$A:$A,$A400)&gt;0,"ok","")</f>
        <v/>
      </c>
      <c r="J400" s="30">
        <f>COUNTIF(E400:H400,"à faire")</f>
        <v/>
      </c>
    </row>
    <row r="401">
      <c r="A401" s="30" t="inlineStr">
        <is>
          <t>ecrivain</t>
        </is>
      </c>
      <c r="B401" s="30">
        <f>IFERROR(INDEX(Mots!$B:$B,MATCH($A401,Mots!$A:$A,0)),"introuvable")</f>
        <v/>
      </c>
      <c r="C401" s="30">
        <f>IFERROR(INDEX(Mots!$S:$S,MATCH($A401,Mots!$A:$A,0)),"")</f>
        <v/>
      </c>
      <c r="D401" s="30">
        <f>IFERROR(COUNTA(INDEX(Mots!$J:$J,MATCH($A401,Mots!$A:$A,0)):INDEX(Mots!$P:$P,MATCH($A401,Mots!$A:$A,0))),0)</f>
        <v/>
      </c>
      <c r="E401" s="30">
        <f>IF(COUNTIF(Classement!$A:$A,$A401)&gt;0,"ok","à faire")</f>
        <v/>
      </c>
      <c r="F401" s="30">
        <f>IF(COUNTIF(Tags!$A:$A,$A401)&gt;0,"ok","à faire")</f>
        <v/>
      </c>
      <c r="G401" s="30">
        <f>IF(COUNTIF(Phrases!$A:$A,$A401)&gt;0,"ok","à faire")</f>
        <v/>
      </c>
      <c r="H401" s="30">
        <f>IF(COUNTIFS(Phrases!$A:$A,$A401,Phrases!$I:$I,"&lt;&gt;")&gt;0,"ok","à faire")</f>
        <v/>
      </c>
      <c r="I401" s="30">
        <f>IF(COUNTIF(Synonymes!$A:$A,$A401)&gt;0,"ok","")</f>
        <v/>
      </c>
      <c r="J401" s="30">
        <f>COUNTIF(E401:H401,"à faire")</f>
        <v/>
      </c>
    </row>
    <row r="402">
      <c r="A402" s="30" t="inlineStr">
        <is>
          <t>infirmier</t>
        </is>
      </c>
      <c r="B402" s="30">
        <f>IFERROR(INDEX(Mots!$B:$B,MATCH($A402,Mots!$A:$A,0)),"introuvable")</f>
        <v/>
      </c>
      <c r="C402" s="30">
        <f>IFERROR(INDEX(Mots!$S:$S,MATCH($A402,Mots!$A:$A,0)),"")</f>
        <v/>
      </c>
      <c r="D402" s="30">
        <f>IFERROR(COUNTA(INDEX(Mots!$J:$J,MATCH($A402,Mots!$A:$A,0)):INDEX(Mots!$P:$P,MATCH($A402,Mots!$A:$A,0))),0)</f>
        <v/>
      </c>
      <c r="E402" s="30">
        <f>IF(COUNTIF(Classement!$A:$A,$A402)&gt;0,"ok","à faire")</f>
        <v/>
      </c>
      <c r="F402" s="30">
        <f>IF(COUNTIF(Tags!$A:$A,$A402)&gt;0,"ok","à faire")</f>
        <v/>
      </c>
      <c r="G402" s="30">
        <f>IF(COUNTIF(Phrases!$A:$A,$A402)&gt;0,"ok","à faire")</f>
        <v/>
      </c>
      <c r="H402" s="30">
        <f>IF(COUNTIFS(Phrases!$A:$A,$A402,Phrases!$I:$I,"&lt;&gt;")&gt;0,"ok","à faire")</f>
        <v/>
      </c>
      <c r="I402" s="30">
        <f>IF(COUNTIF(Synonymes!$A:$A,$A402)&gt;0,"ok","")</f>
        <v/>
      </c>
      <c r="J402" s="30">
        <f>COUNTIF(E402:H402,"à faire")</f>
        <v/>
      </c>
    </row>
    <row r="403">
      <c r="A403" s="30" t="inlineStr">
        <is>
          <t>c_blanc</t>
        </is>
      </c>
      <c r="B403" s="30">
        <f>IFERROR(INDEX(Mots!$B:$B,MATCH($A403,Mots!$A:$A,0)),"introuvable")</f>
        <v/>
      </c>
      <c r="C403" s="30">
        <f>IFERROR(INDEX(Mots!$S:$S,MATCH($A403,Mots!$A:$A,0)),"")</f>
        <v/>
      </c>
      <c r="D403" s="30">
        <f>IFERROR(COUNTA(INDEX(Mots!$J:$J,MATCH($A403,Mots!$A:$A,0)):INDEX(Mots!$P:$P,MATCH($A403,Mots!$A:$A,0))),0)</f>
        <v/>
      </c>
      <c r="E403" s="30">
        <f>IF(COUNTIF(Classement!$A:$A,$A403)&gt;0,"ok","à faire")</f>
        <v/>
      </c>
      <c r="F403" s="30">
        <f>IF(COUNTIF(Tags!$A:$A,$A403)&gt;0,"ok","à faire")</f>
        <v/>
      </c>
      <c r="G403" s="30">
        <f>IF(COUNTIF(Phrases!$A:$A,$A403)&gt;0,"ok","à faire")</f>
        <v/>
      </c>
      <c r="H403" s="30">
        <f>IF(COUNTIFS(Phrases!$A:$A,$A403,Phrases!$I:$I,"&lt;&gt;")&gt;0,"ok","à faire")</f>
        <v/>
      </c>
      <c r="I403" s="30">
        <f>IF(COUNTIF(Synonymes!$A:$A,$A403)&gt;0,"ok","")</f>
        <v/>
      </c>
      <c r="J403" s="30">
        <f>COUNTIF(E403:H403,"à faire")</f>
        <v/>
      </c>
    </row>
    <row r="404">
      <c r="A404" s="30" t="inlineStr">
        <is>
          <t>c_bleu</t>
        </is>
      </c>
      <c r="B404" s="30">
        <f>IFERROR(INDEX(Mots!$B:$B,MATCH($A404,Mots!$A:$A,0)),"introuvable")</f>
        <v/>
      </c>
      <c r="C404" s="30">
        <f>IFERROR(INDEX(Mots!$S:$S,MATCH($A404,Mots!$A:$A,0)),"")</f>
        <v/>
      </c>
      <c r="D404" s="30">
        <f>IFERROR(COUNTA(INDEX(Mots!$J:$J,MATCH($A404,Mots!$A:$A,0)):INDEX(Mots!$P:$P,MATCH($A404,Mots!$A:$A,0))),0)</f>
        <v/>
      </c>
      <c r="E404" s="30">
        <f>IF(COUNTIF(Classement!$A:$A,$A404)&gt;0,"ok","à faire")</f>
        <v/>
      </c>
      <c r="F404" s="30">
        <f>IF(COUNTIF(Tags!$A:$A,$A404)&gt;0,"ok","à faire")</f>
        <v/>
      </c>
      <c r="G404" s="30">
        <f>IF(COUNTIF(Phrases!$A:$A,$A404)&gt;0,"ok","à faire")</f>
        <v/>
      </c>
      <c r="H404" s="30">
        <f>IF(COUNTIFS(Phrases!$A:$A,$A404,Phrases!$I:$I,"&lt;&gt;")&gt;0,"ok","à faire")</f>
        <v/>
      </c>
      <c r="I404" s="30">
        <f>IF(COUNTIF(Synonymes!$A:$A,$A404)&gt;0,"ok","")</f>
        <v/>
      </c>
      <c r="J404" s="30">
        <f>COUNTIF(E404:H404,"à faire")</f>
        <v/>
      </c>
    </row>
    <row r="405">
      <c r="A405" s="30" t="inlineStr">
        <is>
          <t>c_gris</t>
        </is>
      </c>
      <c r="B405" s="30">
        <f>IFERROR(INDEX(Mots!$B:$B,MATCH($A405,Mots!$A:$A,0)),"introuvable")</f>
        <v/>
      </c>
      <c r="C405" s="30">
        <f>IFERROR(INDEX(Mots!$S:$S,MATCH($A405,Mots!$A:$A,0)),"")</f>
        <v/>
      </c>
      <c r="D405" s="30">
        <f>IFERROR(COUNTA(INDEX(Mots!$J:$J,MATCH($A405,Mots!$A:$A,0)):INDEX(Mots!$P:$P,MATCH($A405,Mots!$A:$A,0))),0)</f>
        <v/>
      </c>
      <c r="E405" s="30">
        <f>IF(COUNTIF(Classement!$A:$A,$A405)&gt;0,"ok","à faire")</f>
        <v/>
      </c>
      <c r="F405" s="30">
        <f>IF(COUNTIF(Tags!$A:$A,$A405)&gt;0,"ok","à faire")</f>
        <v/>
      </c>
      <c r="G405" s="30">
        <f>IF(COUNTIF(Phrases!$A:$A,$A405)&gt;0,"ok","à faire")</f>
        <v/>
      </c>
      <c r="H405" s="30">
        <f>IF(COUNTIFS(Phrases!$A:$A,$A405,Phrases!$I:$I,"&lt;&gt;")&gt;0,"ok","à faire")</f>
        <v/>
      </c>
      <c r="I405" s="30">
        <f>IF(COUNTIF(Synonymes!$A:$A,$A405)&gt;0,"ok","")</f>
        <v/>
      </c>
      <c r="J405" s="30">
        <f>COUNTIF(E405:H405,"à faire")</f>
        <v/>
      </c>
    </row>
    <row r="406">
      <c r="A406" s="30" t="inlineStr">
        <is>
          <t>c_jaune</t>
        </is>
      </c>
      <c r="B406" s="30">
        <f>IFERROR(INDEX(Mots!$B:$B,MATCH($A406,Mots!$A:$A,0)),"introuvable")</f>
        <v/>
      </c>
      <c r="C406" s="30">
        <f>IFERROR(INDEX(Mots!$S:$S,MATCH($A406,Mots!$A:$A,0)),"")</f>
        <v/>
      </c>
      <c r="D406" s="30">
        <f>IFERROR(COUNTA(INDEX(Mots!$J:$J,MATCH($A406,Mots!$A:$A,0)):INDEX(Mots!$P:$P,MATCH($A406,Mots!$A:$A,0))),0)</f>
        <v/>
      </c>
      <c r="E406" s="30">
        <f>IF(COUNTIF(Classement!$A:$A,$A406)&gt;0,"ok","à faire")</f>
        <v/>
      </c>
      <c r="F406" s="30">
        <f>IF(COUNTIF(Tags!$A:$A,$A406)&gt;0,"ok","à faire")</f>
        <v/>
      </c>
      <c r="G406" s="30">
        <f>IF(COUNTIF(Phrases!$A:$A,$A406)&gt;0,"ok","à faire")</f>
        <v/>
      </c>
      <c r="H406" s="30">
        <f>IF(COUNTIFS(Phrases!$A:$A,$A406,Phrases!$I:$I,"&lt;&gt;")&gt;0,"ok","à faire")</f>
        <v/>
      </c>
      <c r="I406" s="30">
        <f>IF(COUNTIF(Synonymes!$A:$A,$A406)&gt;0,"ok","")</f>
        <v/>
      </c>
      <c r="J406" s="30">
        <f>COUNTIF(E406:H406,"à faire")</f>
        <v/>
      </c>
    </row>
    <row r="407">
      <c r="A407" s="30" t="inlineStr">
        <is>
          <t>cle</t>
        </is>
      </c>
      <c r="B407" s="30">
        <f>IFERROR(INDEX(Mots!$B:$B,MATCH($A407,Mots!$A:$A,0)),"introuvable")</f>
        <v/>
      </c>
      <c r="C407" s="30">
        <f>IFERROR(INDEX(Mots!$S:$S,MATCH($A407,Mots!$A:$A,0)),"")</f>
        <v/>
      </c>
      <c r="D407" s="30">
        <f>IFERROR(COUNTA(INDEX(Mots!$J:$J,MATCH($A407,Mots!$A:$A,0)):INDEX(Mots!$P:$P,MATCH($A407,Mots!$A:$A,0))),0)</f>
        <v/>
      </c>
      <c r="E407" s="30">
        <f>IF(COUNTIF(Classement!$A:$A,$A407)&gt;0,"ok","à faire")</f>
        <v/>
      </c>
      <c r="F407" s="30">
        <f>IF(COUNTIF(Tags!$A:$A,$A407)&gt;0,"ok","à faire")</f>
        <v/>
      </c>
      <c r="G407" s="30">
        <f>IF(COUNTIF(Phrases!$A:$A,$A407)&gt;0,"ok","à faire")</f>
        <v/>
      </c>
      <c r="H407" s="30">
        <f>IF(COUNTIFS(Phrases!$A:$A,$A407,Phrases!$I:$I,"&lt;&gt;")&gt;0,"ok","à faire")</f>
        <v/>
      </c>
      <c r="I407" s="30">
        <f>IF(COUNTIF(Synonymes!$A:$A,$A407)&gt;0,"ok","")</f>
        <v/>
      </c>
      <c r="J407" s="30">
        <f>COUNTIF(E407:H407,"à faire")</f>
        <v/>
      </c>
    </row>
    <row r="408">
      <c r="A408" s="30" t="inlineStr">
        <is>
          <t>couleur</t>
        </is>
      </c>
      <c r="B408" s="30">
        <f>IFERROR(INDEX(Mots!$B:$B,MATCH($A408,Mots!$A:$A,0)),"introuvable")</f>
        <v/>
      </c>
      <c r="C408" s="30">
        <f>IFERROR(INDEX(Mots!$S:$S,MATCH($A408,Mots!$A:$A,0)),"")</f>
        <v/>
      </c>
      <c r="D408" s="30">
        <f>IFERROR(COUNTA(INDEX(Mots!$J:$J,MATCH($A408,Mots!$A:$A,0)):INDEX(Mots!$P:$P,MATCH($A408,Mots!$A:$A,0))),0)</f>
        <v/>
      </c>
      <c r="E408" s="30">
        <f>IF(COUNTIF(Classement!$A:$A,$A408)&gt;0,"ok","à faire")</f>
        <v/>
      </c>
      <c r="F408" s="30">
        <f>IF(COUNTIF(Tags!$A:$A,$A408)&gt;0,"ok","à faire")</f>
        <v/>
      </c>
      <c r="G408" s="30">
        <f>IF(COUNTIF(Phrases!$A:$A,$A408)&gt;0,"ok","à faire")</f>
        <v/>
      </c>
      <c r="H408" s="30">
        <f>IF(COUNTIFS(Phrases!$A:$A,$A408,Phrases!$I:$I,"&lt;&gt;")&gt;0,"ok","à faire")</f>
        <v/>
      </c>
      <c r="I408" s="30">
        <f>IF(COUNTIF(Synonymes!$A:$A,$A408)&gt;0,"ok","")</f>
        <v/>
      </c>
      <c r="J408" s="30">
        <f>COUNTIF(E408:H408,"à faire")</f>
        <v/>
      </c>
    </row>
    <row r="409">
      <c r="A409" s="30" t="inlineStr">
        <is>
          <t>chargeur_phone</t>
        </is>
      </c>
      <c r="B409" s="30">
        <f>IFERROR(INDEX(Mots!$B:$B,MATCH($A409,Mots!$A:$A,0)),"introuvable")</f>
        <v/>
      </c>
      <c r="C409" s="30">
        <f>IFERROR(INDEX(Mots!$S:$S,MATCH($A409,Mots!$A:$A,0)),"")</f>
        <v/>
      </c>
      <c r="D409" s="30">
        <f>IFERROR(COUNTA(INDEX(Mots!$J:$J,MATCH($A409,Mots!$A:$A,0)):INDEX(Mots!$P:$P,MATCH($A409,Mots!$A:$A,0))),0)</f>
        <v/>
      </c>
      <c r="E409" s="30">
        <f>IF(COUNTIF(Classement!$A:$A,$A409)&gt;0,"ok","à faire")</f>
        <v/>
      </c>
      <c r="F409" s="30">
        <f>IF(COUNTIF(Tags!$A:$A,$A409)&gt;0,"ok","à faire")</f>
        <v/>
      </c>
      <c r="G409" s="30">
        <f>IF(COUNTIF(Phrases!$A:$A,$A409)&gt;0,"ok","à faire")</f>
        <v/>
      </c>
      <c r="H409" s="30">
        <f>IF(COUNTIFS(Phrases!$A:$A,$A409,Phrases!$I:$I,"&lt;&gt;")&gt;0,"ok","à faire")</f>
        <v/>
      </c>
      <c r="I409" s="30">
        <f>IF(COUNTIF(Synonymes!$A:$A,$A409)&gt;0,"ok","")</f>
        <v/>
      </c>
      <c r="J409" s="30">
        <f>COUNTIF(E409:H409,"à faire")</f>
        <v/>
      </c>
    </row>
    <row r="410">
      <c r="A410" s="30" t="inlineStr">
        <is>
          <t>porte_monnaie</t>
        </is>
      </c>
      <c r="B410" s="30">
        <f>IFERROR(INDEX(Mots!$B:$B,MATCH($A410,Mots!$A:$A,0)),"introuvable")</f>
        <v/>
      </c>
      <c r="C410" s="30">
        <f>IFERROR(INDEX(Mots!$S:$S,MATCH($A410,Mots!$A:$A,0)),"")</f>
        <v/>
      </c>
      <c r="D410" s="30">
        <f>IFERROR(COUNTA(INDEX(Mots!$J:$J,MATCH($A410,Mots!$A:$A,0)):INDEX(Mots!$P:$P,MATCH($A410,Mots!$A:$A,0))),0)</f>
        <v/>
      </c>
      <c r="E410" s="30">
        <f>IF(COUNTIF(Classement!$A:$A,$A410)&gt;0,"ok","à faire")</f>
        <v/>
      </c>
      <c r="F410" s="30">
        <f>IF(COUNTIF(Tags!$A:$A,$A410)&gt;0,"ok","à faire")</f>
        <v/>
      </c>
      <c r="G410" s="30">
        <f>IF(COUNTIF(Phrases!$A:$A,$A410)&gt;0,"ok","à faire")</f>
        <v/>
      </c>
      <c r="H410" s="30">
        <f>IF(COUNTIFS(Phrases!$A:$A,$A410,Phrases!$I:$I,"&lt;&gt;")&gt;0,"ok","à faire")</f>
        <v/>
      </c>
      <c r="I410" s="30">
        <f>IF(COUNTIF(Synonymes!$A:$A,$A410)&gt;0,"ok","")</f>
        <v/>
      </c>
      <c r="J410" s="30">
        <f>COUNTIF(E410:H410,"à faire")</f>
        <v/>
      </c>
    </row>
    <row r="411">
      <c r="A411" s="30" t="inlineStr">
        <is>
          <t>smartphone</t>
        </is>
      </c>
      <c r="B411" s="30">
        <f>IFERROR(INDEX(Mots!$B:$B,MATCH($A411,Mots!$A:$A,0)),"introuvable")</f>
        <v/>
      </c>
      <c r="C411" s="30">
        <f>IFERROR(INDEX(Mots!$S:$S,MATCH($A411,Mots!$A:$A,0)),"")</f>
        <v/>
      </c>
      <c r="D411" s="30">
        <f>IFERROR(COUNTA(INDEX(Mots!$J:$J,MATCH($A411,Mots!$A:$A,0)):INDEX(Mots!$P:$P,MATCH($A411,Mots!$A:$A,0))),0)</f>
        <v/>
      </c>
      <c r="E411" s="30">
        <f>IF(COUNTIF(Classement!$A:$A,$A411)&gt;0,"ok","à faire")</f>
        <v/>
      </c>
      <c r="F411" s="30">
        <f>IF(COUNTIF(Tags!$A:$A,$A411)&gt;0,"ok","à faire")</f>
        <v/>
      </c>
      <c r="G411" s="30">
        <f>IF(COUNTIF(Phrases!$A:$A,$A411)&gt;0,"ok","à faire")</f>
        <v/>
      </c>
      <c r="H411" s="30">
        <f>IF(COUNTIFS(Phrases!$A:$A,$A411,Phrases!$I:$I,"&lt;&gt;")&gt;0,"ok","à faire")</f>
        <v/>
      </c>
      <c r="I411" s="30">
        <f>IF(COUNTIF(Synonymes!$A:$A,$A411)&gt;0,"ok","")</f>
        <v/>
      </c>
      <c r="J411" s="30">
        <f>COUNTIF(E411:H411,"à faire")</f>
        <v/>
      </c>
    </row>
    <row r="412">
      <c r="A412" s="30" t="inlineStr">
        <is>
          <t>tablette_ipad</t>
        </is>
      </c>
      <c r="B412" s="30">
        <f>IFERROR(INDEX(Mots!$B:$B,MATCH($A412,Mots!$A:$A,0)),"introuvable")</f>
        <v/>
      </c>
      <c r="C412" s="30">
        <f>IFERROR(INDEX(Mots!$S:$S,MATCH($A412,Mots!$A:$A,0)),"")</f>
        <v/>
      </c>
      <c r="D412" s="30">
        <f>IFERROR(COUNTA(INDEX(Mots!$J:$J,MATCH($A412,Mots!$A:$A,0)):INDEX(Mots!$P:$P,MATCH($A412,Mots!$A:$A,0))),0)</f>
        <v/>
      </c>
      <c r="E412" s="30">
        <f>IF(COUNTIF(Classement!$A:$A,$A412)&gt;0,"ok","à faire")</f>
        <v/>
      </c>
      <c r="F412" s="30">
        <f>IF(COUNTIF(Tags!$A:$A,$A412)&gt;0,"ok","à faire")</f>
        <v/>
      </c>
      <c r="G412" s="30">
        <f>IF(COUNTIF(Phrases!$A:$A,$A412)&gt;0,"ok","à faire")</f>
        <v/>
      </c>
      <c r="H412" s="30">
        <f>IF(COUNTIFS(Phrases!$A:$A,$A412,Phrases!$I:$I,"&lt;&gt;")&gt;0,"ok","à faire")</f>
        <v/>
      </c>
      <c r="I412" s="30">
        <f>IF(COUNTIF(Synonymes!$A:$A,$A412)&gt;0,"ok","")</f>
        <v/>
      </c>
      <c r="J412" s="30">
        <f>COUNTIF(E412:H412,"à faire")</f>
        <v/>
      </c>
    </row>
    <row r="413">
      <c r="A413" s="30" t="inlineStr">
        <is>
          <t>c_marron</t>
        </is>
      </c>
      <c r="B413" s="30">
        <f>IFERROR(INDEX(Mots!$B:$B,MATCH($A413,Mots!$A:$A,0)),"introuvable")</f>
        <v/>
      </c>
      <c r="C413" s="30">
        <f>IFERROR(INDEX(Mots!$S:$S,MATCH($A413,Mots!$A:$A,0)),"")</f>
        <v/>
      </c>
      <c r="D413" s="30">
        <f>IFERROR(COUNTA(INDEX(Mots!$J:$J,MATCH($A413,Mots!$A:$A,0)):INDEX(Mots!$P:$P,MATCH($A413,Mots!$A:$A,0))),0)</f>
        <v/>
      </c>
      <c r="E413" s="30">
        <f>IF(COUNTIF(Classement!$A:$A,$A413)&gt;0,"ok","à faire")</f>
        <v/>
      </c>
      <c r="F413" s="30">
        <f>IF(COUNTIF(Tags!$A:$A,$A413)&gt;0,"ok","à faire")</f>
        <v/>
      </c>
      <c r="G413" s="30">
        <f>IF(COUNTIF(Phrases!$A:$A,$A413)&gt;0,"ok","à faire")</f>
        <v/>
      </c>
      <c r="H413" s="30">
        <f>IF(COUNTIFS(Phrases!$A:$A,$A413,Phrases!$I:$I,"&lt;&gt;")&gt;0,"ok","à faire")</f>
        <v/>
      </c>
      <c r="I413" s="30">
        <f>IF(COUNTIF(Synonymes!$A:$A,$A413)&gt;0,"ok","")</f>
        <v/>
      </c>
      <c r="J413" s="30">
        <f>COUNTIF(E413:H413,"à faire")</f>
        <v/>
      </c>
    </row>
    <row r="414">
      <c r="A414" s="30" t="inlineStr">
        <is>
          <t>c_noir</t>
        </is>
      </c>
      <c r="B414" s="30">
        <f>IFERROR(INDEX(Mots!$B:$B,MATCH($A414,Mots!$A:$A,0)),"introuvable")</f>
        <v/>
      </c>
      <c r="C414" s="30">
        <f>IFERROR(INDEX(Mots!$S:$S,MATCH($A414,Mots!$A:$A,0)),"")</f>
        <v/>
      </c>
      <c r="D414" s="30">
        <f>IFERROR(COUNTA(INDEX(Mots!$J:$J,MATCH($A414,Mots!$A:$A,0)):INDEX(Mots!$P:$P,MATCH($A414,Mots!$A:$A,0))),0)</f>
        <v/>
      </c>
      <c r="E414" s="30">
        <f>IF(COUNTIF(Classement!$A:$A,$A414)&gt;0,"ok","à faire")</f>
        <v/>
      </c>
      <c r="F414" s="30">
        <f>IF(COUNTIF(Tags!$A:$A,$A414)&gt;0,"ok","à faire")</f>
        <v/>
      </c>
      <c r="G414" s="30">
        <f>IF(COUNTIF(Phrases!$A:$A,$A414)&gt;0,"ok","à faire")</f>
        <v/>
      </c>
      <c r="H414" s="30">
        <f>IF(COUNTIFS(Phrases!$A:$A,$A414,Phrases!$I:$I,"&lt;&gt;")&gt;0,"ok","à faire")</f>
        <v/>
      </c>
      <c r="I414" s="30">
        <f>IF(COUNTIF(Synonymes!$A:$A,$A414)&gt;0,"ok","")</f>
        <v/>
      </c>
      <c r="J414" s="30">
        <f>COUNTIF(E414:H414,"à faire")</f>
        <v/>
      </c>
    </row>
    <row r="415">
      <c r="A415" s="30" t="inlineStr">
        <is>
          <t>c_orange</t>
        </is>
      </c>
      <c r="B415" s="30">
        <f>IFERROR(INDEX(Mots!$B:$B,MATCH($A415,Mots!$A:$A,0)),"introuvable")</f>
        <v/>
      </c>
      <c r="C415" s="30">
        <f>IFERROR(INDEX(Mots!$S:$S,MATCH($A415,Mots!$A:$A,0)),"")</f>
        <v/>
      </c>
      <c r="D415" s="30">
        <f>IFERROR(COUNTA(INDEX(Mots!$J:$J,MATCH($A415,Mots!$A:$A,0)):INDEX(Mots!$P:$P,MATCH($A415,Mots!$A:$A,0))),0)</f>
        <v/>
      </c>
      <c r="E415" s="30">
        <f>IF(COUNTIF(Classement!$A:$A,$A415)&gt;0,"ok","à faire")</f>
        <v/>
      </c>
      <c r="F415" s="30">
        <f>IF(COUNTIF(Tags!$A:$A,$A415)&gt;0,"ok","à faire")</f>
        <v/>
      </c>
      <c r="G415" s="30">
        <f>IF(COUNTIF(Phrases!$A:$A,$A415)&gt;0,"ok","à faire")</f>
        <v/>
      </c>
      <c r="H415" s="30">
        <f>IF(COUNTIFS(Phrases!$A:$A,$A415,Phrases!$I:$I,"&lt;&gt;")&gt;0,"ok","à faire")</f>
        <v/>
      </c>
      <c r="I415" s="30">
        <f>IF(COUNTIF(Synonymes!$A:$A,$A415)&gt;0,"ok","")</f>
        <v/>
      </c>
      <c r="J415" s="30">
        <f>COUNTIF(E415:H415,"à faire")</f>
        <v/>
      </c>
    </row>
    <row r="416">
      <c r="A416" s="30" t="inlineStr">
        <is>
          <t>c_rose</t>
        </is>
      </c>
      <c r="B416" s="30">
        <f>IFERROR(INDEX(Mots!$B:$B,MATCH($A416,Mots!$A:$A,0)),"introuvable")</f>
        <v/>
      </c>
      <c r="C416" s="30">
        <f>IFERROR(INDEX(Mots!$S:$S,MATCH($A416,Mots!$A:$A,0)),"")</f>
        <v/>
      </c>
      <c r="D416" s="30">
        <f>IFERROR(COUNTA(INDEX(Mots!$J:$J,MATCH($A416,Mots!$A:$A,0)):INDEX(Mots!$P:$P,MATCH($A416,Mots!$A:$A,0))),0)</f>
        <v/>
      </c>
      <c r="E416" s="30">
        <f>IF(COUNTIF(Classement!$A:$A,$A416)&gt;0,"ok","à faire")</f>
        <v/>
      </c>
      <c r="F416" s="30">
        <f>IF(COUNTIF(Tags!$A:$A,$A416)&gt;0,"ok","à faire")</f>
        <v/>
      </c>
      <c r="G416" s="30">
        <f>IF(COUNTIF(Phrases!$A:$A,$A416)&gt;0,"ok","à faire")</f>
        <v/>
      </c>
      <c r="H416" s="30">
        <f>IF(COUNTIFS(Phrases!$A:$A,$A416,Phrases!$I:$I,"&lt;&gt;")&gt;0,"ok","à faire")</f>
        <v/>
      </c>
      <c r="I416" s="30">
        <f>IF(COUNTIF(Synonymes!$A:$A,$A416)&gt;0,"ok","")</f>
        <v/>
      </c>
      <c r="J416" s="30">
        <f>COUNTIF(E416:H416,"à faire")</f>
        <v/>
      </c>
    </row>
    <row r="417">
      <c r="A417" s="30" t="inlineStr">
        <is>
          <t>c_rouge</t>
        </is>
      </c>
      <c r="B417" s="30">
        <f>IFERROR(INDEX(Mots!$B:$B,MATCH($A417,Mots!$A:$A,0)),"introuvable")</f>
        <v/>
      </c>
      <c r="C417" s="30">
        <f>IFERROR(INDEX(Mots!$S:$S,MATCH($A417,Mots!$A:$A,0)),"")</f>
        <v/>
      </c>
      <c r="D417" s="30">
        <f>IFERROR(COUNTA(INDEX(Mots!$J:$J,MATCH($A417,Mots!$A:$A,0)):INDEX(Mots!$P:$P,MATCH($A417,Mots!$A:$A,0))),0)</f>
        <v/>
      </c>
      <c r="E417" s="30">
        <f>IF(COUNTIF(Classement!$A:$A,$A417)&gt;0,"ok","à faire")</f>
        <v/>
      </c>
      <c r="F417" s="30">
        <f>IF(COUNTIF(Tags!$A:$A,$A417)&gt;0,"ok","à faire")</f>
        <v/>
      </c>
      <c r="G417" s="30">
        <f>IF(COUNTIF(Phrases!$A:$A,$A417)&gt;0,"ok","à faire")</f>
        <v/>
      </c>
      <c r="H417" s="30">
        <f>IF(COUNTIFS(Phrases!$A:$A,$A417,Phrases!$I:$I,"&lt;&gt;")&gt;0,"ok","à faire")</f>
        <v/>
      </c>
      <c r="I417" s="30">
        <f>IF(COUNTIF(Synonymes!$A:$A,$A417)&gt;0,"ok","")</f>
        <v/>
      </c>
      <c r="J417" s="30">
        <f>COUNTIF(E417:H417,"à faire")</f>
        <v/>
      </c>
    </row>
    <row r="418">
      <c r="A418" s="30" t="inlineStr">
        <is>
          <t>c_vert</t>
        </is>
      </c>
      <c r="B418" s="30">
        <f>IFERROR(INDEX(Mots!$B:$B,MATCH($A418,Mots!$A:$A,0)),"introuvable")</f>
        <v/>
      </c>
      <c r="C418" s="30">
        <f>IFERROR(INDEX(Mots!$S:$S,MATCH($A418,Mots!$A:$A,0)),"")</f>
        <v/>
      </c>
      <c r="D418" s="30">
        <f>IFERROR(COUNTA(INDEX(Mots!$J:$J,MATCH($A418,Mots!$A:$A,0)):INDEX(Mots!$P:$P,MATCH($A418,Mots!$A:$A,0))),0)</f>
        <v/>
      </c>
      <c r="E418" s="30">
        <f>IF(COUNTIF(Classement!$A:$A,$A418)&gt;0,"ok","à faire")</f>
        <v/>
      </c>
      <c r="F418" s="30">
        <f>IF(COUNTIF(Tags!$A:$A,$A418)&gt;0,"ok","à faire")</f>
        <v/>
      </c>
      <c r="G418" s="30">
        <f>IF(COUNTIF(Phrases!$A:$A,$A418)&gt;0,"ok","à faire")</f>
        <v/>
      </c>
      <c r="H418" s="30">
        <f>IF(COUNTIFS(Phrases!$A:$A,$A418,Phrases!$I:$I,"&lt;&gt;")&gt;0,"ok","à faire")</f>
        <v/>
      </c>
      <c r="I418" s="30">
        <f>IF(COUNTIF(Synonymes!$A:$A,$A418)&gt;0,"ok","")</f>
        <v/>
      </c>
      <c r="J418" s="30">
        <f>COUNTIF(E418:H418,"à faire")</f>
        <v/>
      </c>
    </row>
    <row r="419">
      <c r="A419" s="30" t="inlineStr">
        <is>
          <t>a_amer_acide</t>
        </is>
      </c>
      <c r="B419" s="30">
        <f>IFERROR(INDEX(Mots!$B:$B,MATCH($A419,Mots!$A:$A,0)),"introuvable")</f>
        <v/>
      </c>
      <c r="C419" s="30">
        <f>IFERROR(INDEX(Mots!$S:$S,MATCH($A419,Mots!$A:$A,0)),"")</f>
        <v/>
      </c>
      <c r="D419" s="30">
        <f>IFERROR(COUNTA(INDEX(Mots!$J:$J,MATCH($A419,Mots!$A:$A,0)):INDEX(Mots!$P:$P,MATCH($A419,Mots!$A:$A,0))),0)</f>
        <v/>
      </c>
      <c r="E419" s="30">
        <f>IF(COUNTIF(Classement!$A:$A,$A419)&gt;0,"ok","à faire")</f>
        <v/>
      </c>
      <c r="F419" s="30">
        <f>IF(COUNTIF(Tags!$A:$A,$A419)&gt;0,"ok","à faire")</f>
        <v/>
      </c>
      <c r="G419" s="30">
        <f>IF(COUNTIF(Phrases!$A:$A,$A419)&gt;0,"ok","à faire")</f>
        <v/>
      </c>
      <c r="H419" s="30">
        <f>IF(COUNTIFS(Phrases!$A:$A,$A419,Phrases!$I:$I,"&lt;&gt;")&gt;0,"ok","à faire")</f>
        <v/>
      </c>
      <c r="I419" s="30">
        <f>IF(COUNTIF(Synonymes!$A:$A,$A419)&gt;0,"ok","")</f>
        <v/>
      </c>
      <c r="J419" s="30">
        <f>COUNTIF(E419:H419,"à faire")</f>
        <v/>
      </c>
    </row>
    <row r="420">
      <c r="A420" s="30" t="inlineStr">
        <is>
          <t>a_beau_laid</t>
        </is>
      </c>
      <c r="B420" s="30">
        <f>IFERROR(INDEX(Mots!$B:$B,MATCH($A420,Mots!$A:$A,0)),"introuvable")</f>
        <v/>
      </c>
      <c r="C420" s="30">
        <f>IFERROR(INDEX(Mots!$S:$S,MATCH($A420,Mots!$A:$A,0)),"")</f>
        <v/>
      </c>
      <c r="D420" s="30">
        <f>IFERROR(COUNTA(INDEX(Mots!$J:$J,MATCH($A420,Mots!$A:$A,0)):INDEX(Mots!$P:$P,MATCH($A420,Mots!$A:$A,0))),0)</f>
        <v/>
      </c>
      <c r="E420" s="30">
        <f>IF(COUNTIF(Classement!$A:$A,$A420)&gt;0,"ok","à faire")</f>
        <v/>
      </c>
      <c r="F420" s="30">
        <f>IF(COUNTIF(Tags!$A:$A,$A420)&gt;0,"ok","à faire")</f>
        <v/>
      </c>
      <c r="G420" s="30">
        <f>IF(COUNTIF(Phrases!$A:$A,$A420)&gt;0,"ok","à faire")</f>
        <v/>
      </c>
      <c r="H420" s="30">
        <f>IF(COUNTIFS(Phrases!$A:$A,$A420,Phrases!$I:$I,"&lt;&gt;")&gt;0,"ok","à faire")</f>
        <v/>
      </c>
      <c r="I420" s="30">
        <f>IF(COUNTIF(Synonymes!$A:$A,$A420)&gt;0,"ok","")</f>
        <v/>
      </c>
      <c r="J420" s="30">
        <f>COUNTIF(E420:H420,"à faire")</f>
        <v/>
      </c>
    </row>
    <row r="421">
      <c r="A421" s="30" t="inlineStr">
        <is>
          <t>a_bon_mauvais</t>
        </is>
      </c>
      <c r="B421" s="30">
        <f>IFERROR(INDEX(Mots!$B:$B,MATCH($A421,Mots!$A:$A,0)),"introuvable")</f>
        <v/>
      </c>
      <c r="C421" s="30">
        <f>IFERROR(INDEX(Mots!$S:$S,MATCH($A421,Mots!$A:$A,0)),"")</f>
        <v/>
      </c>
      <c r="D421" s="30">
        <f>IFERROR(COUNTA(INDEX(Mots!$J:$J,MATCH($A421,Mots!$A:$A,0)):INDEX(Mots!$P:$P,MATCH($A421,Mots!$A:$A,0))),0)</f>
        <v/>
      </c>
      <c r="E421" s="30">
        <f>IF(COUNTIF(Classement!$A:$A,$A421)&gt;0,"ok","à faire")</f>
        <v/>
      </c>
      <c r="F421" s="30">
        <f>IF(COUNTIF(Tags!$A:$A,$A421)&gt;0,"ok","à faire")</f>
        <v/>
      </c>
      <c r="G421" s="30">
        <f>IF(COUNTIF(Phrases!$A:$A,$A421)&gt;0,"ok","à faire")</f>
        <v/>
      </c>
      <c r="H421" s="30">
        <f>IF(COUNTIFS(Phrases!$A:$A,$A421,Phrases!$I:$I,"&lt;&gt;")&gt;0,"ok","à faire")</f>
        <v/>
      </c>
      <c r="I421" s="30">
        <f>IF(COUNTIF(Synonymes!$A:$A,$A421)&gt;0,"ok","")</f>
        <v/>
      </c>
      <c r="J421" s="30">
        <f>COUNTIF(E421:H421,"à faire")</f>
        <v/>
      </c>
    </row>
    <row r="422">
      <c r="A422" s="30" t="inlineStr">
        <is>
          <t>a_brillant_terne</t>
        </is>
      </c>
      <c r="B422" s="30">
        <f>IFERROR(INDEX(Mots!$B:$B,MATCH($A422,Mots!$A:$A,0)),"introuvable")</f>
        <v/>
      </c>
      <c r="C422" s="30">
        <f>IFERROR(INDEX(Mots!$S:$S,MATCH($A422,Mots!$A:$A,0)),"")</f>
        <v/>
      </c>
      <c r="D422" s="30">
        <f>IFERROR(COUNTA(INDEX(Mots!$J:$J,MATCH($A422,Mots!$A:$A,0)):INDEX(Mots!$P:$P,MATCH($A422,Mots!$A:$A,0))),0)</f>
        <v/>
      </c>
      <c r="E422" s="30">
        <f>IF(COUNTIF(Classement!$A:$A,$A422)&gt;0,"ok","à faire")</f>
        <v/>
      </c>
      <c r="F422" s="30">
        <f>IF(COUNTIF(Tags!$A:$A,$A422)&gt;0,"ok","à faire")</f>
        <v/>
      </c>
      <c r="G422" s="30">
        <f>IF(COUNTIF(Phrases!$A:$A,$A422)&gt;0,"ok","à faire")</f>
        <v/>
      </c>
      <c r="H422" s="30">
        <f>IF(COUNTIFS(Phrases!$A:$A,$A422,Phrases!$I:$I,"&lt;&gt;")&gt;0,"ok","à faire")</f>
        <v/>
      </c>
      <c r="I422" s="30">
        <f>IF(COUNTIF(Synonymes!$A:$A,$A422)&gt;0,"ok","")</f>
        <v/>
      </c>
      <c r="J422" s="30">
        <f>COUNTIF(E422:H422,"à faire")</f>
        <v/>
      </c>
    </row>
    <row r="423">
      <c r="A423" s="30" t="inlineStr">
        <is>
          <t>a_calme_agite</t>
        </is>
      </c>
      <c r="B423" s="30">
        <f>IFERROR(INDEX(Mots!$B:$B,MATCH($A423,Mots!$A:$A,0)),"introuvable")</f>
        <v/>
      </c>
      <c r="C423" s="30">
        <f>IFERROR(INDEX(Mots!$S:$S,MATCH($A423,Mots!$A:$A,0)),"")</f>
        <v/>
      </c>
      <c r="D423" s="30">
        <f>IFERROR(COUNTA(INDEX(Mots!$J:$J,MATCH($A423,Mots!$A:$A,0)):INDEX(Mots!$P:$P,MATCH($A423,Mots!$A:$A,0))),0)</f>
        <v/>
      </c>
      <c r="E423" s="30">
        <f>IF(COUNTIF(Classement!$A:$A,$A423)&gt;0,"ok","à faire")</f>
        <v/>
      </c>
      <c r="F423" s="30">
        <f>IF(COUNTIF(Tags!$A:$A,$A423)&gt;0,"ok","à faire")</f>
        <v/>
      </c>
      <c r="G423" s="30">
        <f>IF(COUNTIF(Phrases!$A:$A,$A423)&gt;0,"ok","à faire")</f>
        <v/>
      </c>
      <c r="H423" s="30">
        <f>IF(COUNTIFS(Phrases!$A:$A,$A423,Phrases!$I:$I,"&lt;&gt;")&gt;0,"ok","à faire")</f>
        <v/>
      </c>
      <c r="I423" s="30">
        <f>IF(COUNTIF(Synonymes!$A:$A,$A423)&gt;0,"ok","")</f>
        <v/>
      </c>
      <c r="J423" s="30">
        <f>COUNTIF(E423:H423,"à faire")</f>
        <v/>
      </c>
    </row>
    <row r="424">
      <c r="A424" s="30" t="inlineStr">
        <is>
          <t>a_chaud_froid</t>
        </is>
      </c>
      <c r="B424" s="30">
        <f>IFERROR(INDEX(Mots!$B:$B,MATCH($A424,Mots!$A:$A,0)),"introuvable")</f>
        <v/>
      </c>
      <c r="C424" s="30">
        <f>IFERROR(INDEX(Mots!$S:$S,MATCH($A424,Mots!$A:$A,0)),"")</f>
        <v/>
      </c>
      <c r="D424" s="30">
        <f>IFERROR(COUNTA(INDEX(Mots!$J:$J,MATCH($A424,Mots!$A:$A,0)):INDEX(Mots!$P:$P,MATCH($A424,Mots!$A:$A,0))),0)</f>
        <v/>
      </c>
      <c r="E424" s="30">
        <f>IF(COUNTIF(Classement!$A:$A,$A424)&gt;0,"ok","à faire")</f>
        <v/>
      </c>
      <c r="F424" s="30">
        <f>IF(COUNTIF(Tags!$A:$A,$A424)&gt;0,"ok","à faire")</f>
        <v/>
      </c>
      <c r="G424" s="30">
        <f>IF(COUNTIF(Phrases!$A:$A,$A424)&gt;0,"ok","à faire")</f>
        <v/>
      </c>
      <c r="H424" s="30">
        <f>IF(COUNTIFS(Phrases!$A:$A,$A424,Phrases!$I:$I,"&lt;&gt;")&gt;0,"ok","à faire")</f>
        <v/>
      </c>
      <c r="I424" s="30">
        <f>IF(COUNTIF(Synonymes!$A:$A,$A424)&gt;0,"ok","")</f>
        <v/>
      </c>
      <c r="J424" s="30">
        <f>COUNTIF(E424:H424,"à faire")</f>
        <v/>
      </c>
    </row>
    <row r="425">
      <c r="A425" s="30" t="inlineStr">
        <is>
          <t>a_cher_bon_marche</t>
        </is>
      </c>
      <c r="B425" s="30">
        <f>IFERROR(INDEX(Mots!$B:$B,MATCH($A425,Mots!$A:$A,0)),"introuvable")</f>
        <v/>
      </c>
      <c r="C425" s="30">
        <f>IFERROR(INDEX(Mots!$S:$S,MATCH($A425,Mots!$A:$A,0)),"")</f>
        <v/>
      </c>
      <c r="D425" s="30">
        <f>IFERROR(COUNTA(INDEX(Mots!$J:$J,MATCH($A425,Mots!$A:$A,0)):INDEX(Mots!$P:$P,MATCH($A425,Mots!$A:$A,0))),0)</f>
        <v/>
      </c>
      <c r="E425" s="30">
        <f>IF(COUNTIF(Classement!$A:$A,$A425)&gt;0,"ok","à faire")</f>
        <v/>
      </c>
      <c r="F425" s="30">
        <f>IF(COUNTIF(Tags!$A:$A,$A425)&gt;0,"ok","à faire")</f>
        <v/>
      </c>
      <c r="G425" s="30">
        <f>IF(COUNTIF(Phrases!$A:$A,$A425)&gt;0,"ok","à faire")</f>
        <v/>
      </c>
      <c r="H425" s="30">
        <f>IF(COUNTIFS(Phrases!$A:$A,$A425,Phrases!$I:$I,"&lt;&gt;")&gt;0,"ok","à faire")</f>
        <v/>
      </c>
      <c r="I425" s="30">
        <f>IF(COUNTIF(Synonymes!$A:$A,$A425)&gt;0,"ok","")</f>
        <v/>
      </c>
      <c r="J425" s="30">
        <f>COUNTIF(E425:H425,"à faire")</f>
        <v/>
      </c>
    </row>
    <row r="426">
      <c r="A426" s="30" t="inlineStr">
        <is>
          <t>a_clair_sombre</t>
        </is>
      </c>
      <c r="B426" s="30">
        <f>IFERROR(INDEX(Mots!$B:$B,MATCH($A426,Mots!$A:$A,0)),"introuvable")</f>
        <v/>
      </c>
      <c r="C426" s="30">
        <f>IFERROR(INDEX(Mots!$S:$S,MATCH($A426,Mots!$A:$A,0)),"")</f>
        <v/>
      </c>
      <c r="D426" s="30">
        <f>IFERROR(COUNTA(INDEX(Mots!$J:$J,MATCH($A426,Mots!$A:$A,0)):INDEX(Mots!$P:$P,MATCH($A426,Mots!$A:$A,0))),0)</f>
        <v/>
      </c>
      <c r="E426" s="30">
        <f>IF(COUNTIF(Classement!$A:$A,$A426)&gt;0,"ok","à faire")</f>
        <v/>
      </c>
      <c r="F426" s="30">
        <f>IF(COUNTIF(Tags!$A:$A,$A426)&gt;0,"ok","à faire")</f>
        <v/>
      </c>
      <c r="G426" s="30">
        <f>IF(COUNTIF(Phrases!$A:$A,$A426)&gt;0,"ok","à faire")</f>
        <v/>
      </c>
      <c r="H426" s="30">
        <f>IF(COUNTIFS(Phrases!$A:$A,$A426,Phrases!$I:$I,"&lt;&gt;")&gt;0,"ok","à faire")</f>
        <v/>
      </c>
      <c r="I426" s="30">
        <f>IF(COUNTIF(Synonymes!$A:$A,$A426)&gt;0,"ok","")</f>
        <v/>
      </c>
      <c r="J426" s="30">
        <f>COUNTIF(E426:H426,"à faire")</f>
        <v/>
      </c>
    </row>
    <row r="427">
      <c r="A427" s="30" t="inlineStr">
        <is>
          <t>a_content_triste</t>
        </is>
      </c>
      <c r="B427" s="30">
        <f>IFERROR(INDEX(Mots!$B:$B,MATCH($A427,Mots!$A:$A,0)),"introuvable")</f>
        <v/>
      </c>
      <c r="C427" s="30">
        <f>IFERROR(INDEX(Mots!$S:$S,MATCH($A427,Mots!$A:$A,0)),"")</f>
        <v/>
      </c>
      <c r="D427" s="30">
        <f>IFERROR(COUNTA(INDEX(Mots!$J:$J,MATCH($A427,Mots!$A:$A,0)):INDEX(Mots!$P:$P,MATCH($A427,Mots!$A:$A,0))),0)</f>
        <v/>
      </c>
      <c r="E427" s="30">
        <f>IF(COUNTIF(Classement!$A:$A,$A427)&gt;0,"ok","à faire")</f>
        <v/>
      </c>
      <c r="F427" s="30">
        <f>IF(COUNTIF(Tags!$A:$A,$A427)&gt;0,"ok","à faire")</f>
        <v/>
      </c>
      <c r="G427" s="30">
        <f>IF(COUNTIF(Phrases!$A:$A,$A427)&gt;0,"ok","à faire")</f>
        <v/>
      </c>
      <c r="H427" s="30">
        <f>IF(COUNTIFS(Phrases!$A:$A,$A427,Phrases!$I:$I,"&lt;&gt;")&gt;0,"ok","à faire")</f>
        <v/>
      </c>
      <c r="I427" s="30">
        <f>IF(COUNTIF(Synonymes!$A:$A,$A427)&gt;0,"ok","")</f>
        <v/>
      </c>
      <c r="J427" s="30">
        <f>COUNTIF(E427:H427,"à faire")</f>
        <v/>
      </c>
    </row>
    <row r="428">
      <c r="A428" s="30" t="inlineStr">
        <is>
          <t>a_courageux_peureux</t>
        </is>
      </c>
      <c r="B428" s="30">
        <f>IFERROR(INDEX(Mots!$B:$B,MATCH($A428,Mots!$A:$A,0)),"introuvable")</f>
        <v/>
      </c>
      <c r="C428" s="30">
        <f>IFERROR(INDEX(Mots!$S:$S,MATCH($A428,Mots!$A:$A,0)),"")</f>
        <v/>
      </c>
      <c r="D428" s="30">
        <f>IFERROR(COUNTA(INDEX(Mots!$J:$J,MATCH($A428,Mots!$A:$A,0)):INDEX(Mots!$P:$P,MATCH($A428,Mots!$A:$A,0))),0)</f>
        <v/>
      </c>
      <c r="E428" s="30">
        <f>IF(COUNTIF(Classement!$A:$A,$A428)&gt;0,"ok","à faire")</f>
        <v/>
      </c>
      <c r="F428" s="30">
        <f>IF(COUNTIF(Tags!$A:$A,$A428)&gt;0,"ok","à faire")</f>
        <v/>
      </c>
      <c r="G428" s="30">
        <f>IF(COUNTIF(Phrases!$A:$A,$A428)&gt;0,"ok","à faire")</f>
        <v/>
      </c>
      <c r="H428" s="30">
        <f>IF(COUNTIFS(Phrases!$A:$A,$A428,Phrases!$I:$I,"&lt;&gt;")&gt;0,"ok","à faire")</f>
        <v/>
      </c>
      <c r="I428" s="30">
        <f>IF(COUNTIF(Synonymes!$A:$A,$A428)&gt;0,"ok","")</f>
        <v/>
      </c>
      <c r="J428" s="30">
        <f>COUNTIF(E428:H428,"à faire")</f>
        <v/>
      </c>
    </row>
    <row r="429">
      <c r="A429" s="30" t="inlineStr">
        <is>
          <t>a_dessus_dessous</t>
        </is>
      </c>
      <c r="B429" s="30">
        <f>IFERROR(INDEX(Mots!$B:$B,MATCH($A429,Mots!$A:$A,0)),"introuvable")</f>
        <v/>
      </c>
      <c r="C429" s="30">
        <f>IFERROR(INDEX(Mots!$S:$S,MATCH($A429,Mots!$A:$A,0)),"")</f>
        <v/>
      </c>
      <c r="D429" s="30">
        <f>IFERROR(COUNTA(INDEX(Mots!$J:$J,MATCH($A429,Mots!$A:$A,0)):INDEX(Mots!$P:$P,MATCH($A429,Mots!$A:$A,0))),0)</f>
        <v/>
      </c>
      <c r="E429" s="30">
        <f>IF(COUNTIF(Classement!$A:$A,$A429)&gt;0,"ok","à faire")</f>
        <v/>
      </c>
      <c r="F429" s="30">
        <f>IF(COUNTIF(Tags!$A:$A,$A429)&gt;0,"ok","à faire")</f>
        <v/>
      </c>
      <c r="G429" s="30">
        <f>IF(COUNTIF(Phrases!$A:$A,$A429)&gt;0,"ok","à faire")</f>
        <v/>
      </c>
      <c r="H429" s="30">
        <f>IF(COUNTIFS(Phrases!$A:$A,$A429,Phrases!$I:$I,"&lt;&gt;")&gt;0,"ok","à faire")</f>
        <v/>
      </c>
      <c r="I429" s="30">
        <f>IF(COUNTIF(Synonymes!$A:$A,$A429)&gt;0,"ok","")</f>
        <v/>
      </c>
      <c r="J429" s="30">
        <f>COUNTIF(E429:H429,"à faire")</f>
        <v/>
      </c>
    </row>
    <row r="430">
      <c r="A430" s="30" t="inlineStr">
        <is>
          <t>a_devant_derriere</t>
        </is>
      </c>
      <c r="B430" s="30">
        <f>IFERROR(INDEX(Mots!$B:$B,MATCH($A430,Mots!$A:$A,0)),"introuvable")</f>
        <v/>
      </c>
      <c r="C430" s="30">
        <f>IFERROR(INDEX(Mots!$S:$S,MATCH($A430,Mots!$A:$A,0)),"")</f>
        <v/>
      </c>
      <c r="D430" s="30">
        <f>IFERROR(COUNTA(INDEX(Mots!$J:$J,MATCH($A430,Mots!$A:$A,0)):INDEX(Mots!$P:$P,MATCH($A430,Mots!$A:$A,0))),0)</f>
        <v/>
      </c>
      <c r="E430" s="30">
        <f>IF(COUNTIF(Classement!$A:$A,$A430)&gt;0,"ok","à faire")</f>
        <v/>
      </c>
      <c r="F430" s="30">
        <f>IF(COUNTIF(Tags!$A:$A,$A430)&gt;0,"ok","à faire")</f>
        <v/>
      </c>
      <c r="G430" s="30">
        <f>IF(COUNTIF(Phrases!$A:$A,$A430)&gt;0,"ok","à faire")</f>
        <v/>
      </c>
      <c r="H430" s="30">
        <f>IF(COUNTIFS(Phrases!$A:$A,$A430,Phrases!$I:$I,"&lt;&gt;")&gt;0,"ok","à faire")</f>
        <v/>
      </c>
      <c r="I430" s="30">
        <f>IF(COUNTIF(Synonymes!$A:$A,$A430)&gt;0,"ok","")</f>
        <v/>
      </c>
      <c r="J430" s="30">
        <f>COUNTIF(E430:H430,"à faire")</f>
        <v/>
      </c>
    </row>
    <row r="431">
      <c r="A431" s="30" t="inlineStr">
        <is>
          <t>a_drole_serieux</t>
        </is>
      </c>
      <c r="B431" s="30">
        <f>IFERROR(INDEX(Mots!$B:$B,MATCH($A431,Mots!$A:$A,0)),"introuvable")</f>
        <v/>
      </c>
      <c r="C431" s="30">
        <f>IFERROR(INDEX(Mots!$S:$S,MATCH($A431,Mots!$A:$A,0)),"")</f>
        <v/>
      </c>
      <c r="D431" s="30">
        <f>IFERROR(COUNTA(INDEX(Mots!$J:$J,MATCH($A431,Mots!$A:$A,0)):INDEX(Mots!$P:$P,MATCH($A431,Mots!$A:$A,0))),0)</f>
        <v/>
      </c>
      <c r="E431" s="30">
        <f>IF(COUNTIF(Classement!$A:$A,$A431)&gt;0,"ok","à faire")</f>
        <v/>
      </c>
      <c r="F431" s="30">
        <f>IF(COUNTIF(Tags!$A:$A,$A431)&gt;0,"ok","à faire")</f>
        <v/>
      </c>
      <c r="G431" s="30">
        <f>IF(COUNTIF(Phrases!$A:$A,$A431)&gt;0,"ok","à faire")</f>
        <v/>
      </c>
      <c r="H431" s="30">
        <f>IF(COUNTIFS(Phrases!$A:$A,$A431,Phrases!$I:$I,"&lt;&gt;")&gt;0,"ok","à faire")</f>
        <v/>
      </c>
      <c r="I431" s="30">
        <f>IF(COUNTIF(Synonymes!$A:$A,$A431)&gt;0,"ok","")</f>
        <v/>
      </c>
      <c r="J431" s="30">
        <f>COUNTIF(E431:H431,"à faire")</f>
        <v/>
      </c>
    </row>
    <row r="432">
      <c r="A432" s="30" t="inlineStr">
        <is>
          <t>a_dur_mou</t>
        </is>
      </c>
      <c r="B432" s="30">
        <f>IFERROR(INDEX(Mots!$B:$B,MATCH($A432,Mots!$A:$A,0)),"introuvable")</f>
        <v/>
      </c>
      <c r="C432" s="30">
        <f>IFERROR(INDEX(Mots!$S:$S,MATCH($A432,Mots!$A:$A,0)),"")</f>
        <v/>
      </c>
      <c r="D432" s="30">
        <f>IFERROR(COUNTA(INDEX(Mots!$J:$J,MATCH($A432,Mots!$A:$A,0)):INDEX(Mots!$P:$P,MATCH($A432,Mots!$A:$A,0))),0)</f>
        <v/>
      </c>
      <c r="E432" s="30">
        <f>IF(COUNTIF(Classement!$A:$A,$A432)&gt;0,"ok","à faire")</f>
        <v/>
      </c>
      <c r="F432" s="30">
        <f>IF(COUNTIF(Tags!$A:$A,$A432)&gt;0,"ok","à faire")</f>
        <v/>
      </c>
      <c r="G432" s="30">
        <f>IF(COUNTIF(Phrases!$A:$A,$A432)&gt;0,"ok","à faire")</f>
        <v/>
      </c>
      <c r="H432" s="30">
        <f>IF(COUNTIFS(Phrases!$A:$A,$A432,Phrases!$I:$I,"&lt;&gt;")&gt;0,"ok","à faire")</f>
        <v/>
      </c>
      <c r="I432" s="30">
        <f>IF(COUNTIF(Synonymes!$A:$A,$A432)&gt;0,"ok","")</f>
        <v/>
      </c>
      <c r="J432" s="30">
        <f>COUNTIF(E432:H432,"à faire")</f>
        <v/>
      </c>
    </row>
    <row r="433">
      <c r="A433" s="30" t="inlineStr">
        <is>
          <t>a_epais_fin</t>
        </is>
      </c>
      <c r="B433" s="30">
        <f>IFERROR(INDEX(Mots!$B:$B,MATCH($A433,Mots!$A:$A,0)),"introuvable")</f>
        <v/>
      </c>
      <c r="C433" s="30">
        <f>IFERROR(INDEX(Mots!$S:$S,MATCH($A433,Mots!$A:$A,0)),"")</f>
        <v/>
      </c>
      <c r="D433" s="30">
        <f>IFERROR(COUNTA(INDEX(Mots!$J:$J,MATCH($A433,Mots!$A:$A,0)):INDEX(Mots!$P:$P,MATCH($A433,Mots!$A:$A,0))),0)</f>
        <v/>
      </c>
      <c r="E433" s="30">
        <f>IF(COUNTIF(Classement!$A:$A,$A433)&gt;0,"ok","à faire")</f>
        <v/>
      </c>
      <c r="F433" s="30">
        <f>IF(COUNTIF(Tags!$A:$A,$A433)&gt;0,"ok","à faire")</f>
        <v/>
      </c>
      <c r="G433" s="30">
        <f>IF(COUNTIF(Phrases!$A:$A,$A433)&gt;0,"ok","à faire")</f>
        <v/>
      </c>
      <c r="H433" s="30">
        <f>IF(COUNTIFS(Phrases!$A:$A,$A433,Phrases!$I:$I,"&lt;&gt;")&gt;0,"ok","à faire")</f>
        <v/>
      </c>
      <c r="I433" s="30">
        <f>IF(COUNTIF(Synonymes!$A:$A,$A433)&gt;0,"ok","")</f>
        <v/>
      </c>
      <c r="J433" s="30">
        <f>COUNTIF(E433:H433,"à faire")</f>
        <v/>
      </c>
    </row>
    <row r="434">
      <c r="A434" s="30" t="inlineStr">
        <is>
          <t>a_facile_difficile</t>
        </is>
      </c>
      <c r="B434" s="30">
        <f>IFERROR(INDEX(Mots!$B:$B,MATCH($A434,Mots!$A:$A,0)),"introuvable")</f>
        <v/>
      </c>
      <c r="C434" s="30">
        <f>IFERROR(INDEX(Mots!$S:$S,MATCH($A434,Mots!$A:$A,0)),"")</f>
        <v/>
      </c>
      <c r="D434" s="30">
        <f>IFERROR(COUNTA(INDEX(Mots!$J:$J,MATCH($A434,Mots!$A:$A,0)):INDEX(Mots!$P:$P,MATCH($A434,Mots!$A:$A,0))),0)</f>
        <v/>
      </c>
      <c r="E434" s="30">
        <f>IF(COUNTIF(Classement!$A:$A,$A434)&gt;0,"ok","à faire")</f>
        <v/>
      </c>
      <c r="F434" s="30">
        <f>IF(COUNTIF(Tags!$A:$A,$A434)&gt;0,"ok","à faire")</f>
        <v/>
      </c>
      <c r="G434" s="30">
        <f>IF(COUNTIF(Phrases!$A:$A,$A434)&gt;0,"ok","à faire")</f>
        <v/>
      </c>
      <c r="H434" s="30">
        <f>IF(COUNTIFS(Phrases!$A:$A,$A434,Phrases!$I:$I,"&lt;&gt;")&gt;0,"ok","à faire")</f>
        <v/>
      </c>
      <c r="I434" s="30">
        <f>IF(COUNTIF(Synonymes!$A:$A,$A434)&gt;0,"ok","")</f>
        <v/>
      </c>
      <c r="J434" s="30">
        <f>COUNTIF(E434:H434,"à faire")</f>
        <v/>
      </c>
    </row>
    <row r="435">
      <c r="A435" s="30" t="inlineStr">
        <is>
          <t>a_ferme_ouvert</t>
        </is>
      </c>
      <c r="B435" s="30">
        <f>IFERROR(INDEX(Mots!$B:$B,MATCH($A435,Mots!$A:$A,0)),"introuvable")</f>
        <v/>
      </c>
      <c r="C435" s="30">
        <f>IFERROR(INDEX(Mots!$S:$S,MATCH($A435,Mots!$A:$A,0)),"")</f>
        <v/>
      </c>
      <c r="D435" s="30">
        <f>IFERROR(COUNTA(INDEX(Mots!$J:$J,MATCH($A435,Mots!$A:$A,0)):INDEX(Mots!$P:$P,MATCH($A435,Mots!$A:$A,0))),0)</f>
        <v/>
      </c>
      <c r="E435" s="30">
        <f>IF(COUNTIF(Classement!$A:$A,$A435)&gt;0,"ok","à faire")</f>
        <v/>
      </c>
      <c r="F435" s="30">
        <f>IF(COUNTIF(Tags!$A:$A,$A435)&gt;0,"ok","à faire")</f>
        <v/>
      </c>
      <c r="G435" s="30">
        <f>IF(COUNTIF(Phrases!$A:$A,$A435)&gt;0,"ok","à faire")</f>
        <v/>
      </c>
      <c r="H435" s="30">
        <f>IF(COUNTIFS(Phrases!$A:$A,$A435,Phrases!$I:$I,"&lt;&gt;")&gt;0,"ok","à faire")</f>
        <v/>
      </c>
      <c r="I435" s="30">
        <f>IF(COUNTIF(Synonymes!$A:$A,$A435)&gt;0,"ok","")</f>
        <v/>
      </c>
      <c r="J435" s="30">
        <f>COUNTIF(E435:H435,"à faire")</f>
        <v/>
      </c>
    </row>
    <row r="436">
      <c r="A436" s="30" t="inlineStr">
        <is>
          <t>a_fort_faible</t>
        </is>
      </c>
      <c r="B436" s="30">
        <f>IFERROR(INDEX(Mots!$B:$B,MATCH($A436,Mots!$A:$A,0)),"introuvable")</f>
        <v/>
      </c>
      <c r="C436" s="30">
        <f>IFERROR(INDEX(Mots!$S:$S,MATCH($A436,Mots!$A:$A,0)),"")</f>
        <v/>
      </c>
      <c r="D436" s="30">
        <f>IFERROR(COUNTA(INDEX(Mots!$J:$J,MATCH($A436,Mots!$A:$A,0)):INDEX(Mots!$P:$P,MATCH($A436,Mots!$A:$A,0))),0)</f>
        <v/>
      </c>
      <c r="E436" s="30">
        <f>IF(COUNTIF(Classement!$A:$A,$A436)&gt;0,"ok","à faire")</f>
        <v/>
      </c>
      <c r="F436" s="30">
        <f>IF(COUNTIF(Tags!$A:$A,$A436)&gt;0,"ok","à faire")</f>
        <v/>
      </c>
      <c r="G436" s="30">
        <f>IF(COUNTIF(Phrases!$A:$A,$A436)&gt;0,"ok","à faire")</f>
        <v/>
      </c>
      <c r="H436" s="30">
        <f>IF(COUNTIFS(Phrases!$A:$A,$A436,Phrases!$I:$I,"&lt;&gt;")&gt;0,"ok","à faire")</f>
        <v/>
      </c>
      <c r="I436" s="30">
        <f>IF(COUNTIF(Synonymes!$A:$A,$A436)&gt;0,"ok","")</f>
        <v/>
      </c>
      <c r="J436" s="30">
        <f>COUNTIF(E436:H436,"à faire")</f>
        <v/>
      </c>
    </row>
    <row r="437">
      <c r="A437" s="30" t="inlineStr">
        <is>
          <t>a_gentil_mechant</t>
        </is>
      </c>
      <c r="B437" s="30">
        <f>IFERROR(INDEX(Mots!$B:$B,MATCH($A437,Mots!$A:$A,0)),"introuvable")</f>
        <v/>
      </c>
      <c r="C437" s="30">
        <f>IFERROR(INDEX(Mots!$S:$S,MATCH($A437,Mots!$A:$A,0)),"")</f>
        <v/>
      </c>
      <c r="D437" s="30">
        <f>IFERROR(COUNTA(INDEX(Mots!$J:$J,MATCH($A437,Mots!$A:$A,0)):INDEX(Mots!$P:$P,MATCH($A437,Mots!$A:$A,0))),0)</f>
        <v/>
      </c>
      <c r="E437" s="30">
        <f>IF(COUNTIF(Classement!$A:$A,$A437)&gt;0,"ok","à faire")</f>
        <v/>
      </c>
      <c r="F437" s="30">
        <f>IF(COUNTIF(Tags!$A:$A,$A437)&gt;0,"ok","à faire")</f>
        <v/>
      </c>
      <c r="G437" s="30">
        <f>IF(COUNTIF(Phrases!$A:$A,$A437)&gt;0,"ok","à faire")</f>
        <v/>
      </c>
      <c r="H437" s="30">
        <f>IF(COUNTIFS(Phrases!$A:$A,$A437,Phrases!$I:$I,"&lt;&gt;")&gt;0,"ok","à faire")</f>
        <v/>
      </c>
      <c r="I437" s="30">
        <f>IF(COUNTIF(Synonymes!$A:$A,$A437)&gt;0,"ok","")</f>
        <v/>
      </c>
      <c r="J437" s="30">
        <f>COUNTIF(E437:H437,"à faire")</f>
        <v/>
      </c>
    </row>
    <row r="438">
      <c r="A438" s="30" t="inlineStr">
        <is>
          <t>a_grand_petit</t>
        </is>
      </c>
      <c r="B438" s="30">
        <f>IFERROR(INDEX(Mots!$B:$B,MATCH($A438,Mots!$A:$A,0)),"introuvable")</f>
        <v/>
      </c>
      <c r="C438" s="30">
        <f>IFERROR(INDEX(Mots!$S:$S,MATCH($A438,Mots!$A:$A,0)),"")</f>
        <v/>
      </c>
      <c r="D438" s="30">
        <f>IFERROR(COUNTA(INDEX(Mots!$J:$J,MATCH($A438,Mots!$A:$A,0)):INDEX(Mots!$P:$P,MATCH($A438,Mots!$A:$A,0))),0)</f>
        <v/>
      </c>
      <c r="E438" s="30">
        <f>IF(COUNTIF(Classement!$A:$A,$A438)&gt;0,"ok","à faire")</f>
        <v/>
      </c>
      <c r="F438" s="30">
        <f>IF(COUNTIF(Tags!$A:$A,$A438)&gt;0,"ok","à faire")</f>
        <v/>
      </c>
      <c r="G438" s="30">
        <f>IF(COUNTIF(Phrases!$A:$A,$A438)&gt;0,"ok","à faire")</f>
        <v/>
      </c>
      <c r="H438" s="30">
        <f>IF(COUNTIFS(Phrases!$A:$A,$A438,Phrases!$I:$I,"&lt;&gt;")&gt;0,"ok","à faire")</f>
        <v/>
      </c>
      <c r="I438" s="30">
        <f>IF(COUNTIF(Synonymes!$A:$A,$A438)&gt;0,"ok","")</f>
        <v/>
      </c>
      <c r="J438" s="30">
        <f>COUNTIF(E438:H438,"à faire")</f>
        <v/>
      </c>
    </row>
    <row r="439">
      <c r="A439" s="30" t="inlineStr">
        <is>
          <t>a_gros_mince</t>
        </is>
      </c>
      <c r="B439" s="30">
        <f>IFERROR(INDEX(Mots!$B:$B,MATCH($A439,Mots!$A:$A,0)),"introuvable")</f>
        <v/>
      </c>
      <c r="C439" s="30">
        <f>IFERROR(INDEX(Mots!$S:$S,MATCH($A439,Mots!$A:$A,0)),"")</f>
        <v/>
      </c>
      <c r="D439" s="30">
        <f>IFERROR(COUNTA(INDEX(Mots!$J:$J,MATCH($A439,Mots!$A:$A,0)):INDEX(Mots!$P:$P,MATCH($A439,Mots!$A:$A,0))),0)</f>
        <v/>
      </c>
      <c r="E439" s="30">
        <f>IF(COUNTIF(Classement!$A:$A,$A439)&gt;0,"ok","à faire")</f>
        <v/>
      </c>
      <c r="F439" s="30">
        <f>IF(COUNTIF(Tags!$A:$A,$A439)&gt;0,"ok","à faire")</f>
        <v/>
      </c>
      <c r="G439" s="30">
        <f>IF(COUNTIF(Phrases!$A:$A,$A439)&gt;0,"ok","à faire")</f>
        <v/>
      </c>
      <c r="H439" s="30">
        <f>IF(COUNTIFS(Phrases!$A:$A,$A439,Phrases!$I:$I,"&lt;&gt;")&gt;0,"ok","à faire")</f>
        <v/>
      </c>
      <c r="I439" s="30">
        <f>IF(COUNTIF(Synonymes!$A:$A,$A439)&gt;0,"ok","")</f>
        <v/>
      </c>
      <c r="J439" s="30">
        <f>COUNTIF(E439:H439,"à faire")</f>
        <v/>
      </c>
    </row>
    <row r="440">
      <c r="A440" s="30" t="inlineStr">
        <is>
          <t>a_haut_bas</t>
        </is>
      </c>
      <c r="B440" s="30">
        <f>IFERROR(INDEX(Mots!$B:$B,MATCH($A440,Mots!$A:$A,0)),"introuvable")</f>
        <v/>
      </c>
      <c r="C440" s="30">
        <f>IFERROR(INDEX(Mots!$S:$S,MATCH($A440,Mots!$A:$A,0)),"")</f>
        <v/>
      </c>
      <c r="D440" s="30">
        <f>IFERROR(COUNTA(INDEX(Mots!$J:$J,MATCH($A440,Mots!$A:$A,0)):INDEX(Mots!$P:$P,MATCH($A440,Mots!$A:$A,0))),0)</f>
        <v/>
      </c>
      <c r="E440" s="30">
        <f>IF(COUNTIF(Classement!$A:$A,$A440)&gt;0,"ok","à faire")</f>
        <v/>
      </c>
      <c r="F440" s="30">
        <f>IF(COUNTIF(Tags!$A:$A,$A440)&gt;0,"ok","à faire")</f>
        <v/>
      </c>
      <c r="G440" s="30">
        <f>IF(COUNTIF(Phrases!$A:$A,$A440)&gt;0,"ok","à faire")</f>
        <v/>
      </c>
      <c r="H440" s="30">
        <f>IF(COUNTIFS(Phrases!$A:$A,$A440,Phrases!$I:$I,"&lt;&gt;")&gt;0,"ok","à faire")</f>
        <v/>
      </c>
      <c r="I440" s="30">
        <f>IF(COUNTIF(Synonymes!$A:$A,$A440)&gt;0,"ok","")</f>
        <v/>
      </c>
      <c r="J440" s="30">
        <f>COUNTIF(E440:H440,"à faire")</f>
        <v/>
      </c>
    </row>
    <row r="441">
      <c r="A441" s="30" t="inlineStr">
        <is>
          <t>a_intelligent_bete</t>
        </is>
      </c>
      <c r="B441" s="30">
        <f>IFERROR(INDEX(Mots!$B:$B,MATCH($A441,Mots!$A:$A,0)),"introuvable")</f>
        <v/>
      </c>
      <c r="C441" s="30">
        <f>IFERROR(INDEX(Mots!$S:$S,MATCH($A441,Mots!$A:$A,0)),"")</f>
        <v/>
      </c>
      <c r="D441" s="30">
        <f>IFERROR(COUNTA(INDEX(Mots!$J:$J,MATCH($A441,Mots!$A:$A,0)):INDEX(Mots!$P:$P,MATCH($A441,Mots!$A:$A,0))),0)</f>
        <v/>
      </c>
      <c r="E441" s="30">
        <f>IF(COUNTIF(Classement!$A:$A,$A441)&gt;0,"ok","à faire")</f>
        <v/>
      </c>
      <c r="F441" s="30">
        <f>IF(COUNTIF(Tags!$A:$A,$A441)&gt;0,"ok","à faire")</f>
        <v/>
      </c>
      <c r="G441" s="30">
        <f>IF(COUNTIF(Phrases!$A:$A,$A441)&gt;0,"ok","à faire")</f>
        <v/>
      </c>
      <c r="H441" s="30">
        <f>IF(COUNTIFS(Phrases!$A:$A,$A441,Phrases!$I:$I,"&lt;&gt;")&gt;0,"ok","à faire")</f>
        <v/>
      </c>
      <c r="I441" s="30">
        <f>IF(COUNTIF(Synonymes!$A:$A,$A441)&gt;0,"ok","")</f>
        <v/>
      </c>
      <c r="J441" s="30">
        <f>COUNTIF(E441:H441,"à faire")</f>
        <v/>
      </c>
    </row>
    <row r="442">
      <c r="A442" s="30" t="inlineStr">
        <is>
          <t>a_jeune_vieux</t>
        </is>
      </c>
      <c r="B442" s="30">
        <f>IFERROR(INDEX(Mots!$B:$B,MATCH($A442,Mots!$A:$A,0)),"introuvable")</f>
        <v/>
      </c>
      <c r="C442" s="30">
        <f>IFERROR(INDEX(Mots!$S:$S,MATCH($A442,Mots!$A:$A,0)),"")</f>
        <v/>
      </c>
      <c r="D442" s="30">
        <f>IFERROR(COUNTA(INDEX(Mots!$J:$J,MATCH($A442,Mots!$A:$A,0)):INDEX(Mots!$P:$P,MATCH($A442,Mots!$A:$A,0))),0)</f>
        <v/>
      </c>
      <c r="E442" s="30">
        <f>IF(COUNTIF(Classement!$A:$A,$A442)&gt;0,"ok","à faire")</f>
        <v/>
      </c>
      <c r="F442" s="30">
        <f>IF(COUNTIF(Tags!$A:$A,$A442)&gt;0,"ok","à faire")</f>
        <v/>
      </c>
      <c r="G442" s="30">
        <f>IF(COUNTIF(Phrases!$A:$A,$A442)&gt;0,"ok","à faire")</f>
        <v/>
      </c>
      <c r="H442" s="30">
        <f>IF(COUNTIFS(Phrases!$A:$A,$A442,Phrases!$I:$I,"&lt;&gt;")&gt;0,"ok","à faire")</f>
        <v/>
      </c>
      <c r="I442" s="30">
        <f>IF(COUNTIF(Synonymes!$A:$A,$A442)&gt;0,"ok","")</f>
        <v/>
      </c>
      <c r="J442" s="30">
        <f>COUNTIF(E442:H442,"à faire")</f>
        <v/>
      </c>
    </row>
    <row r="443">
      <c r="A443" s="30" t="inlineStr">
        <is>
          <t>a_large_etroit</t>
        </is>
      </c>
      <c r="B443" s="30">
        <f>IFERROR(INDEX(Mots!$B:$B,MATCH($A443,Mots!$A:$A,0)),"introuvable")</f>
        <v/>
      </c>
      <c r="C443" s="30">
        <f>IFERROR(INDEX(Mots!$S:$S,MATCH($A443,Mots!$A:$A,0)),"")</f>
        <v/>
      </c>
      <c r="D443" s="30">
        <f>IFERROR(COUNTA(INDEX(Mots!$J:$J,MATCH($A443,Mots!$A:$A,0)):INDEX(Mots!$P:$P,MATCH($A443,Mots!$A:$A,0))),0)</f>
        <v/>
      </c>
      <c r="E443" s="30">
        <f>IF(COUNTIF(Classement!$A:$A,$A443)&gt;0,"ok","à faire")</f>
        <v/>
      </c>
      <c r="F443" s="30">
        <f>IF(COUNTIF(Tags!$A:$A,$A443)&gt;0,"ok","à faire")</f>
        <v/>
      </c>
      <c r="G443" s="30">
        <f>IF(COUNTIF(Phrases!$A:$A,$A443)&gt;0,"ok","à faire")</f>
        <v/>
      </c>
      <c r="H443" s="30">
        <f>IF(COUNTIFS(Phrases!$A:$A,$A443,Phrases!$I:$I,"&lt;&gt;")&gt;0,"ok","à faire")</f>
        <v/>
      </c>
      <c r="I443" s="30">
        <f>IF(COUNTIF(Synonymes!$A:$A,$A443)&gt;0,"ok","")</f>
        <v/>
      </c>
      <c r="J443" s="30">
        <f>COUNTIF(E443:H443,"à faire")</f>
        <v/>
      </c>
    </row>
    <row r="444">
      <c r="A444" s="30" t="inlineStr">
        <is>
          <t>a_libre_occupe</t>
        </is>
      </c>
      <c r="B444" s="30">
        <f>IFERROR(INDEX(Mots!$B:$B,MATCH($A444,Mots!$A:$A,0)),"introuvable")</f>
        <v/>
      </c>
      <c r="C444" s="30">
        <f>IFERROR(INDEX(Mots!$S:$S,MATCH($A444,Mots!$A:$A,0)),"")</f>
        <v/>
      </c>
      <c r="D444" s="30">
        <f>IFERROR(COUNTA(INDEX(Mots!$J:$J,MATCH($A444,Mots!$A:$A,0)):INDEX(Mots!$P:$P,MATCH($A444,Mots!$A:$A,0))),0)</f>
        <v/>
      </c>
      <c r="E444" s="30">
        <f>IF(COUNTIF(Classement!$A:$A,$A444)&gt;0,"ok","à faire")</f>
        <v/>
      </c>
      <c r="F444" s="30">
        <f>IF(COUNTIF(Tags!$A:$A,$A444)&gt;0,"ok","à faire")</f>
        <v/>
      </c>
      <c r="G444" s="30">
        <f>IF(COUNTIF(Phrases!$A:$A,$A444)&gt;0,"ok","à faire")</f>
        <v/>
      </c>
      <c r="H444" s="30">
        <f>IF(COUNTIFS(Phrases!$A:$A,$A444,Phrases!$I:$I,"&lt;&gt;")&gt;0,"ok","à faire")</f>
        <v/>
      </c>
      <c r="I444" s="30">
        <f>IF(COUNTIF(Synonymes!$A:$A,$A444)&gt;0,"ok","")</f>
        <v/>
      </c>
      <c r="J444" s="30">
        <f>COUNTIF(E444:H444,"à faire")</f>
        <v/>
      </c>
    </row>
    <row r="445">
      <c r="A445" s="30" t="inlineStr">
        <is>
          <t>a_long_court</t>
        </is>
      </c>
      <c r="B445" s="30">
        <f>IFERROR(INDEX(Mots!$B:$B,MATCH($A445,Mots!$A:$A,0)),"introuvable")</f>
        <v/>
      </c>
      <c r="C445" s="30">
        <f>IFERROR(INDEX(Mots!$S:$S,MATCH($A445,Mots!$A:$A,0)),"")</f>
        <v/>
      </c>
      <c r="D445" s="30">
        <f>IFERROR(COUNTA(INDEX(Mots!$J:$J,MATCH($A445,Mots!$A:$A,0)):INDEX(Mots!$P:$P,MATCH($A445,Mots!$A:$A,0))),0)</f>
        <v/>
      </c>
      <c r="E445" s="30">
        <f>IF(COUNTIF(Classement!$A:$A,$A445)&gt;0,"ok","à faire")</f>
        <v/>
      </c>
      <c r="F445" s="30">
        <f>IF(COUNTIF(Tags!$A:$A,$A445)&gt;0,"ok","à faire")</f>
        <v/>
      </c>
      <c r="G445" s="30">
        <f>IF(COUNTIF(Phrases!$A:$A,$A445)&gt;0,"ok","à faire")</f>
        <v/>
      </c>
      <c r="H445" s="30">
        <f>IF(COUNTIFS(Phrases!$A:$A,$A445,Phrases!$I:$I,"&lt;&gt;")&gt;0,"ok","à faire")</f>
        <v/>
      </c>
      <c r="I445" s="30">
        <f>IF(COUNTIF(Synonymes!$A:$A,$A445)&gt;0,"ok","")</f>
        <v/>
      </c>
      <c r="J445" s="30">
        <f>COUNTIF(E445:H445,"à faire")</f>
        <v/>
      </c>
    </row>
    <row r="446">
      <c r="A446" s="30" t="inlineStr">
        <is>
          <t>a_lourd_leger</t>
        </is>
      </c>
      <c r="B446" s="30">
        <f>IFERROR(INDEX(Mots!$B:$B,MATCH($A446,Mots!$A:$A,0)),"introuvable")</f>
        <v/>
      </c>
      <c r="C446" s="30">
        <f>IFERROR(INDEX(Mots!$S:$S,MATCH($A446,Mots!$A:$A,0)),"")</f>
        <v/>
      </c>
      <c r="D446" s="30">
        <f>IFERROR(COUNTA(INDEX(Mots!$J:$J,MATCH($A446,Mots!$A:$A,0)):INDEX(Mots!$P:$P,MATCH($A446,Mots!$A:$A,0))),0)</f>
        <v/>
      </c>
      <c r="E446" s="30">
        <f>IF(COUNTIF(Classement!$A:$A,$A446)&gt;0,"ok","à faire")</f>
        <v/>
      </c>
      <c r="F446" s="30">
        <f>IF(COUNTIF(Tags!$A:$A,$A446)&gt;0,"ok","à faire")</f>
        <v/>
      </c>
      <c r="G446" s="30">
        <f>IF(COUNTIF(Phrases!$A:$A,$A446)&gt;0,"ok","à faire")</f>
        <v/>
      </c>
      <c r="H446" s="30">
        <f>IF(COUNTIFS(Phrases!$A:$A,$A446,Phrases!$I:$I,"&lt;&gt;")&gt;0,"ok","à faire")</f>
        <v/>
      </c>
      <c r="I446" s="30">
        <f>IF(COUNTIF(Synonymes!$A:$A,$A446)&gt;0,"ok","")</f>
        <v/>
      </c>
      <c r="J446" s="30">
        <f>COUNTIF(E446:H446,"à faire")</f>
        <v/>
      </c>
    </row>
    <row r="447">
      <c r="A447" s="30" t="inlineStr">
        <is>
          <t>a_neuf_use</t>
        </is>
      </c>
      <c r="B447" s="30">
        <f>IFERROR(INDEX(Mots!$B:$B,MATCH($A447,Mots!$A:$A,0)),"introuvable")</f>
        <v/>
      </c>
      <c r="C447" s="30">
        <f>IFERROR(INDEX(Mots!$S:$S,MATCH($A447,Mots!$A:$A,0)),"")</f>
        <v/>
      </c>
      <c r="D447" s="30">
        <f>IFERROR(COUNTA(INDEX(Mots!$J:$J,MATCH($A447,Mots!$A:$A,0)):INDEX(Mots!$P:$P,MATCH($A447,Mots!$A:$A,0))),0)</f>
        <v/>
      </c>
      <c r="E447" s="30">
        <f>IF(COUNTIF(Classement!$A:$A,$A447)&gt;0,"ok","à faire")</f>
        <v/>
      </c>
      <c r="F447" s="30">
        <f>IF(COUNTIF(Tags!$A:$A,$A447)&gt;0,"ok","à faire")</f>
        <v/>
      </c>
      <c r="G447" s="30">
        <f>IF(COUNTIF(Phrases!$A:$A,$A447)&gt;0,"ok","à faire")</f>
        <v/>
      </c>
      <c r="H447" s="30">
        <f>IF(COUNTIFS(Phrases!$A:$A,$A447,Phrases!$I:$I,"&lt;&gt;")&gt;0,"ok","à faire")</f>
        <v/>
      </c>
      <c r="I447" s="30">
        <f>IF(COUNTIF(Synonymes!$A:$A,$A447)&gt;0,"ok","")</f>
        <v/>
      </c>
      <c r="J447" s="30">
        <f>COUNTIF(E447:H447,"à faire")</f>
        <v/>
      </c>
    </row>
    <row r="448">
      <c r="A448" s="30" t="inlineStr">
        <is>
          <t>a_nouveau_ancien</t>
        </is>
      </c>
      <c r="B448" s="30">
        <f>IFERROR(INDEX(Mots!$B:$B,MATCH($A448,Mots!$A:$A,0)),"introuvable")</f>
        <v/>
      </c>
      <c r="C448" s="30">
        <f>IFERROR(INDEX(Mots!$S:$S,MATCH($A448,Mots!$A:$A,0)),"")</f>
        <v/>
      </c>
      <c r="D448" s="30">
        <f>IFERROR(COUNTA(INDEX(Mots!$J:$J,MATCH($A448,Mots!$A:$A,0)):INDEX(Mots!$P:$P,MATCH($A448,Mots!$A:$A,0))),0)</f>
        <v/>
      </c>
      <c r="E448" s="30">
        <f>IF(COUNTIF(Classement!$A:$A,$A448)&gt;0,"ok","à faire")</f>
        <v/>
      </c>
      <c r="F448" s="30">
        <f>IF(COUNTIF(Tags!$A:$A,$A448)&gt;0,"ok","à faire")</f>
        <v/>
      </c>
      <c r="G448" s="30">
        <f>IF(COUNTIF(Phrases!$A:$A,$A448)&gt;0,"ok","à faire")</f>
        <v/>
      </c>
      <c r="H448" s="30">
        <f>IF(COUNTIFS(Phrases!$A:$A,$A448,Phrases!$I:$I,"&lt;&gt;")&gt;0,"ok","à faire")</f>
        <v/>
      </c>
      <c r="I448" s="30">
        <f>IF(COUNTIF(Synonymes!$A:$A,$A448)&gt;0,"ok","")</f>
        <v/>
      </c>
      <c r="J448" s="30">
        <f>COUNTIF(E448:H448,"à faire")</f>
        <v/>
      </c>
    </row>
    <row r="449">
      <c r="A449" s="30" t="inlineStr">
        <is>
          <t>a_premier_dernier</t>
        </is>
      </c>
      <c r="B449" s="30">
        <f>IFERROR(INDEX(Mots!$B:$B,MATCH($A449,Mots!$A:$A,0)),"introuvable")</f>
        <v/>
      </c>
      <c r="C449" s="30">
        <f>IFERROR(INDEX(Mots!$S:$S,MATCH($A449,Mots!$A:$A,0)),"")</f>
        <v/>
      </c>
      <c r="D449" s="30">
        <f>IFERROR(COUNTA(INDEX(Mots!$J:$J,MATCH($A449,Mots!$A:$A,0)):INDEX(Mots!$P:$P,MATCH($A449,Mots!$A:$A,0))),0)</f>
        <v/>
      </c>
      <c r="E449" s="30">
        <f>IF(COUNTIF(Classement!$A:$A,$A449)&gt;0,"ok","à faire")</f>
        <v/>
      </c>
      <c r="F449" s="30">
        <f>IF(COUNTIF(Tags!$A:$A,$A449)&gt;0,"ok","à faire")</f>
        <v/>
      </c>
      <c r="G449" s="30">
        <f>IF(COUNTIF(Phrases!$A:$A,$A449)&gt;0,"ok","à faire")</f>
        <v/>
      </c>
      <c r="H449" s="30">
        <f>IF(COUNTIFS(Phrases!$A:$A,$A449,Phrases!$I:$I,"&lt;&gt;")&gt;0,"ok","à faire")</f>
        <v/>
      </c>
      <c r="I449" s="30">
        <f>IF(COUNTIF(Synonymes!$A:$A,$A449)&gt;0,"ok","")</f>
        <v/>
      </c>
      <c r="J449" s="30">
        <f>COUNTIF(E449:H449,"à faire")</f>
        <v/>
      </c>
    </row>
    <row r="450">
      <c r="A450" s="30" t="inlineStr">
        <is>
          <t>a_proche_eloigne</t>
        </is>
      </c>
      <c r="B450" s="30">
        <f>IFERROR(INDEX(Mots!$B:$B,MATCH($A450,Mots!$A:$A,0)),"introuvable")</f>
        <v/>
      </c>
      <c r="C450" s="30">
        <f>IFERROR(INDEX(Mots!$S:$S,MATCH($A450,Mots!$A:$A,0)),"")</f>
        <v/>
      </c>
      <c r="D450" s="30">
        <f>IFERROR(COUNTA(INDEX(Mots!$J:$J,MATCH($A450,Mots!$A:$A,0)):INDEX(Mots!$P:$P,MATCH($A450,Mots!$A:$A,0))),0)</f>
        <v/>
      </c>
      <c r="E450" s="30">
        <f>IF(COUNTIF(Classement!$A:$A,$A450)&gt;0,"ok","à faire")</f>
        <v/>
      </c>
      <c r="F450" s="30">
        <f>IF(COUNTIF(Tags!$A:$A,$A450)&gt;0,"ok","à faire")</f>
        <v/>
      </c>
      <c r="G450" s="30">
        <f>IF(COUNTIF(Phrases!$A:$A,$A450)&gt;0,"ok","à faire")</f>
        <v/>
      </c>
      <c r="H450" s="30">
        <f>IF(COUNTIFS(Phrases!$A:$A,$A450,Phrases!$I:$I,"&lt;&gt;")&gt;0,"ok","à faire")</f>
        <v/>
      </c>
      <c r="I450" s="30">
        <f>IF(COUNTIF(Synonymes!$A:$A,$A450)&gt;0,"ok","")</f>
        <v/>
      </c>
      <c r="J450" s="30">
        <f>COUNTIF(E450:H450,"à faire")</f>
        <v/>
      </c>
    </row>
    <row r="451">
      <c r="A451" s="30" t="inlineStr">
        <is>
          <t>a_propre_sale</t>
        </is>
      </c>
      <c r="B451" s="30">
        <f>IFERROR(INDEX(Mots!$B:$B,MATCH($A451,Mots!$A:$A,0)),"introuvable")</f>
        <v/>
      </c>
      <c r="C451" s="30">
        <f>IFERROR(INDEX(Mots!$S:$S,MATCH($A451,Mots!$A:$A,0)),"")</f>
        <v/>
      </c>
      <c r="D451" s="30">
        <f>IFERROR(COUNTA(INDEX(Mots!$J:$J,MATCH($A451,Mots!$A:$A,0)):INDEX(Mots!$P:$P,MATCH($A451,Mots!$A:$A,0))),0)</f>
        <v/>
      </c>
      <c r="E451" s="30">
        <f>IF(COUNTIF(Classement!$A:$A,$A451)&gt;0,"ok","à faire")</f>
        <v/>
      </c>
      <c r="F451" s="30">
        <f>IF(COUNTIF(Tags!$A:$A,$A451)&gt;0,"ok","à faire")</f>
        <v/>
      </c>
      <c r="G451" s="30">
        <f>IF(COUNTIF(Phrases!$A:$A,$A451)&gt;0,"ok","à faire")</f>
        <v/>
      </c>
      <c r="H451" s="30">
        <f>IF(COUNTIFS(Phrases!$A:$A,$A451,Phrases!$I:$I,"&lt;&gt;")&gt;0,"ok","à faire")</f>
        <v/>
      </c>
      <c r="I451" s="30">
        <f>IF(COUNTIF(Synonymes!$A:$A,$A451)&gt;0,"ok","")</f>
        <v/>
      </c>
      <c r="J451" s="30">
        <f>COUNTIF(E451:H451,"à faire")</f>
        <v/>
      </c>
    </row>
    <row r="452">
      <c r="A452" s="30" t="inlineStr">
        <is>
          <t>a_rapide_lent</t>
        </is>
      </c>
      <c r="B452" s="30">
        <f>IFERROR(INDEX(Mots!$B:$B,MATCH($A452,Mots!$A:$A,0)),"introuvable")</f>
        <v/>
      </c>
      <c r="C452" s="30">
        <f>IFERROR(INDEX(Mots!$S:$S,MATCH($A452,Mots!$A:$A,0)),"")</f>
        <v/>
      </c>
      <c r="D452" s="30">
        <f>IFERROR(COUNTA(INDEX(Mots!$J:$J,MATCH($A452,Mots!$A:$A,0)):INDEX(Mots!$P:$P,MATCH($A452,Mots!$A:$A,0))),0)</f>
        <v/>
      </c>
      <c r="E452" s="30">
        <f>IF(COUNTIF(Classement!$A:$A,$A452)&gt;0,"ok","à faire")</f>
        <v/>
      </c>
      <c r="F452" s="30">
        <f>IF(COUNTIF(Tags!$A:$A,$A452)&gt;0,"ok","à faire")</f>
        <v/>
      </c>
      <c r="G452" s="30">
        <f>IF(COUNTIF(Phrases!$A:$A,$A452)&gt;0,"ok","à faire")</f>
        <v/>
      </c>
      <c r="H452" s="30">
        <f>IF(COUNTIFS(Phrases!$A:$A,$A452,Phrases!$I:$I,"&lt;&gt;")&gt;0,"ok","à faire")</f>
        <v/>
      </c>
      <c r="I452" s="30">
        <f>IF(COUNTIF(Synonymes!$A:$A,$A452)&gt;0,"ok","")</f>
        <v/>
      </c>
      <c r="J452" s="30">
        <f>COUNTIF(E452:H452,"à faire")</f>
        <v/>
      </c>
    </row>
    <row r="453">
      <c r="A453" s="30" t="inlineStr">
        <is>
          <t>a_riche_pauvre</t>
        </is>
      </c>
      <c r="B453" s="30">
        <f>IFERROR(INDEX(Mots!$B:$B,MATCH($A453,Mots!$A:$A,0)),"introuvable")</f>
        <v/>
      </c>
      <c r="C453" s="30">
        <f>IFERROR(INDEX(Mots!$S:$S,MATCH($A453,Mots!$A:$A,0)),"")</f>
        <v/>
      </c>
      <c r="D453" s="30">
        <f>IFERROR(COUNTA(INDEX(Mots!$J:$J,MATCH($A453,Mots!$A:$A,0)):INDEX(Mots!$P:$P,MATCH($A453,Mots!$A:$A,0))),0)</f>
        <v/>
      </c>
      <c r="E453" s="30">
        <f>IF(COUNTIF(Classement!$A:$A,$A453)&gt;0,"ok","à faire")</f>
        <v/>
      </c>
      <c r="F453" s="30">
        <f>IF(COUNTIF(Tags!$A:$A,$A453)&gt;0,"ok","à faire")</f>
        <v/>
      </c>
      <c r="G453" s="30">
        <f>IF(COUNTIF(Phrases!$A:$A,$A453)&gt;0,"ok","à faire")</f>
        <v/>
      </c>
      <c r="H453" s="30">
        <f>IF(COUNTIFS(Phrases!$A:$A,$A453,Phrases!$I:$I,"&lt;&gt;")&gt;0,"ok","à faire")</f>
        <v/>
      </c>
      <c r="I453" s="30">
        <f>IF(COUNTIF(Synonymes!$A:$A,$A453)&gt;0,"ok","")</f>
        <v/>
      </c>
      <c r="J453" s="30">
        <f>COUNTIF(E453:H453,"à faire")</f>
        <v/>
      </c>
    </row>
    <row r="454">
      <c r="A454" s="30" t="inlineStr">
        <is>
          <t>a_sain_malade</t>
        </is>
      </c>
      <c r="B454" s="30">
        <f>IFERROR(INDEX(Mots!$B:$B,MATCH($A454,Mots!$A:$A,0)),"introuvable")</f>
        <v/>
      </c>
      <c r="C454" s="30">
        <f>IFERROR(INDEX(Mots!$S:$S,MATCH($A454,Mots!$A:$A,0)),"")</f>
        <v/>
      </c>
      <c r="D454" s="30">
        <f>IFERROR(COUNTA(INDEX(Mots!$J:$J,MATCH($A454,Mots!$A:$A,0)):INDEX(Mots!$P:$P,MATCH($A454,Mots!$A:$A,0))),0)</f>
        <v/>
      </c>
      <c r="E454" s="30">
        <f>IF(COUNTIF(Classement!$A:$A,$A454)&gt;0,"ok","à faire")</f>
        <v/>
      </c>
      <c r="F454" s="30">
        <f>IF(COUNTIF(Tags!$A:$A,$A454)&gt;0,"ok","à faire")</f>
        <v/>
      </c>
      <c r="G454" s="30">
        <f>IF(COUNTIF(Phrases!$A:$A,$A454)&gt;0,"ok","à faire")</f>
        <v/>
      </c>
      <c r="H454" s="30">
        <f>IF(COUNTIFS(Phrases!$A:$A,$A454,Phrases!$I:$I,"&lt;&gt;")&gt;0,"ok","à faire")</f>
        <v/>
      </c>
      <c r="I454" s="30">
        <f>IF(COUNTIF(Synonymes!$A:$A,$A454)&gt;0,"ok","")</f>
        <v/>
      </c>
      <c r="J454" s="30">
        <f>COUNTIF(E454:H454,"à faire")</f>
        <v/>
      </c>
    </row>
    <row r="455">
      <c r="A455" s="30" t="inlineStr">
        <is>
          <t>a_sec_mouille</t>
        </is>
      </c>
      <c r="B455" s="30">
        <f>IFERROR(INDEX(Mots!$B:$B,MATCH($A455,Mots!$A:$A,0)),"introuvable")</f>
        <v/>
      </c>
      <c r="C455" s="30">
        <f>IFERROR(INDEX(Mots!$S:$S,MATCH($A455,Mots!$A:$A,0)),"")</f>
        <v/>
      </c>
      <c r="D455" s="30">
        <f>IFERROR(COUNTA(INDEX(Mots!$J:$J,MATCH($A455,Mots!$A:$A,0)):INDEX(Mots!$P:$P,MATCH($A455,Mots!$A:$A,0))),0)</f>
        <v/>
      </c>
      <c r="E455" s="30">
        <f>IF(COUNTIF(Classement!$A:$A,$A455)&gt;0,"ok","à faire")</f>
        <v/>
      </c>
      <c r="F455" s="30">
        <f>IF(COUNTIF(Tags!$A:$A,$A455)&gt;0,"ok","à faire")</f>
        <v/>
      </c>
      <c r="G455" s="30">
        <f>IF(COUNTIF(Phrases!$A:$A,$A455)&gt;0,"ok","à faire")</f>
        <v/>
      </c>
      <c r="H455" s="30">
        <f>IF(COUNTIFS(Phrases!$A:$A,$A455,Phrases!$I:$I,"&lt;&gt;")&gt;0,"ok","à faire")</f>
        <v/>
      </c>
      <c r="I455" s="30">
        <f>IF(COUNTIF(Synonymes!$A:$A,$A455)&gt;0,"ok","")</f>
        <v/>
      </c>
      <c r="J455" s="30">
        <f>COUNTIF(E455:H455,"à faire")</f>
        <v/>
      </c>
    </row>
    <row r="456">
      <c r="A456" s="30" t="inlineStr">
        <is>
          <t>a_silencieux_bruyant</t>
        </is>
      </c>
      <c r="B456" s="30">
        <f>IFERROR(INDEX(Mots!$B:$B,MATCH($A456,Mots!$A:$A,0)),"introuvable")</f>
        <v/>
      </c>
      <c r="C456" s="30">
        <f>IFERROR(INDEX(Mots!$S:$S,MATCH($A456,Mots!$A:$A,0)),"")</f>
        <v/>
      </c>
      <c r="D456" s="30">
        <f>IFERROR(COUNTA(INDEX(Mots!$J:$J,MATCH($A456,Mots!$A:$A,0)):INDEX(Mots!$P:$P,MATCH($A456,Mots!$A:$A,0))),0)</f>
        <v/>
      </c>
      <c r="E456" s="30">
        <f>IF(COUNTIF(Classement!$A:$A,$A456)&gt;0,"ok","à faire")</f>
        <v/>
      </c>
      <c r="F456" s="30">
        <f>IF(COUNTIF(Tags!$A:$A,$A456)&gt;0,"ok","à faire")</f>
        <v/>
      </c>
      <c r="G456" s="30">
        <f>IF(COUNTIF(Phrases!$A:$A,$A456)&gt;0,"ok","à faire")</f>
        <v/>
      </c>
      <c r="H456" s="30">
        <f>IF(COUNTIFS(Phrases!$A:$A,$A456,Phrases!$I:$I,"&lt;&gt;")&gt;0,"ok","à faire")</f>
        <v/>
      </c>
      <c r="I456" s="30">
        <f>IF(COUNTIF(Synonymes!$A:$A,$A456)&gt;0,"ok","")</f>
        <v/>
      </c>
      <c r="J456" s="30">
        <f>COUNTIF(E456:H456,"à faire")</f>
        <v/>
      </c>
    </row>
    <row r="457">
      <c r="A457" s="30" t="inlineStr">
        <is>
          <t>a_sucre_sale</t>
        </is>
      </c>
      <c r="B457" s="30">
        <f>IFERROR(INDEX(Mots!$B:$B,MATCH($A457,Mots!$A:$A,0)),"introuvable")</f>
        <v/>
      </c>
      <c r="C457" s="30">
        <f>IFERROR(INDEX(Mots!$S:$S,MATCH($A457,Mots!$A:$A,0)),"")</f>
        <v/>
      </c>
      <c r="D457" s="30">
        <f>IFERROR(COUNTA(INDEX(Mots!$J:$J,MATCH($A457,Mots!$A:$A,0)):INDEX(Mots!$P:$P,MATCH($A457,Mots!$A:$A,0))),0)</f>
        <v/>
      </c>
      <c r="E457" s="30">
        <f>IF(COUNTIF(Classement!$A:$A,$A457)&gt;0,"ok","à faire")</f>
        <v/>
      </c>
      <c r="F457" s="30">
        <f>IF(COUNTIF(Tags!$A:$A,$A457)&gt;0,"ok","à faire")</f>
        <v/>
      </c>
      <c r="G457" s="30">
        <f>IF(COUNTIF(Phrases!$A:$A,$A457)&gt;0,"ok","à faire")</f>
        <v/>
      </c>
      <c r="H457" s="30">
        <f>IF(COUNTIFS(Phrases!$A:$A,$A457,Phrases!$I:$I,"&lt;&gt;")&gt;0,"ok","à faire")</f>
        <v/>
      </c>
      <c r="I457" s="30">
        <f>IF(COUNTIF(Synonymes!$A:$A,$A457)&gt;0,"ok","")</f>
        <v/>
      </c>
      <c r="J457" s="30">
        <f>COUNTIF(E457:H457,"à faire")</f>
        <v/>
      </c>
    </row>
    <row r="458">
      <c r="A458" s="30" t="inlineStr">
        <is>
          <t>a_vide_plein</t>
        </is>
      </c>
      <c r="B458" s="30">
        <f>IFERROR(INDEX(Mots!$B:$B,MATCH($A458,Mots!$A:$A,0)),"introuvable")</f>
        <v/>
      </c>
      <c r="C458" s="30">
        <f>IFERROR(INDEX(Mots!$S:$S,MATCH($A458,Mots!$A:$A,0)),"")</f>
        <v/>
      </c>
      <c r="D458" s="30">
        <f>IFERROR(COUNTA(INDEX(Mots!$J:$J,MATCH($A458,Mots!$A:$A,0)):INDEX(Mots!$P:$P,MATCH($A458,Mots!$A:$A,0))),0)</f>
        <v/>
      </c>
      <c r="E458" s="30">
        <f>IF(COUNTIF(Classement!$A:$A,$A458)&gt;0,"ok","à faire")</f>
        <v/>
      </c>
      <c r="F458" s="30">
        <f>IF(COUNTIF(Tags!$A:$A,$A458)&gt;0,"ok","à faire")</f>
        <v/>
      </c>
      <c r="G458" s="30">
        <f>IF(COUNTIF(Phrases!$A:$A,$A458)&gt;0,"ok","à faire")</f>
        <v/>
      </c>
      <c r="H458" s="30">
        <f>IF(COUNTIFS(Phrases!$A:$A,$A458,Phrases!$I:$I,"&lt;&gt;")&gt;0,"ok","à faire")</f>
        <v/>
      </c>
      <c r="I458" s="30">
        <f>IF(COUNTIF(Synonymes!$A:$A,$A458)&gt;0,"ok","")</f>
        <v/>
      </c>
      <c r="J458" s="30">
        <f>COUNTIF(E458:H458,"à faire")</f>
        <v/>
      </c>
    </row>
    <row r="459">
      <c r="A459" s="30" t="inlineStr">
        <is>
          <t>a_vrai_faux</t>
        </is>
      </c>
      <c r="B459" s="30">
        <f>IFERROR(INDEX(Mots!$B:$B,MATCH($A459,Mots!$A:$A,0)),"introuvable")</f>
        <v/>
      </c>
      <c r="C459" s="30">
        <f>IFERROR(INDEX(Mots!$S:$S,MATCH($A459,Mots!$A:$A,0)),"")</f>
        <v/>
      </c>
      <c r="D459" s="30">
        <f>IFERROR(COUNTA(INDEX(Mots!$J:$J,MATCH($A459,Mots!$A:$A,0)):INDEX(Mots!$P:$P,MATCH($A459,Mots!$A:$A,0))),0)</f>
        <v/>
      </c>
      <c r="E459" s="30">
        <f>IF(COUNTIF(Classement!$A:$A,$A459)&gt;0,"ok","à faire")</f>
        <v/>
      </c>
      <c r="F459" s="30">
        <f>IF(COUNTIF(Tags!$A:$A,$A459)&gt;0,"ok","à faire")</f>
        <v/>
      </c>
      <c r="G459" s="30">
        <f>IF(COUNTIF(Phrases!$A:$A,$A459)&gt;0,"ok","à faire")</f>
        <v/>
      </c>
      <c r="H459" s="30">
        <f>IF(COUNTIFS(Phrases!$A:$A,$A459,Phrases!$I:$I,"&lt;&gt;")&gt;0,"ok","à faire")</f>
        <v/>
      </c>
      <c r="I459" s="30">
        <f>IF(COUNTIF(Synonymes!$A:$A,$A459)&gt;0,"ok","")</f>
        <v/>
      </c>
      <c r="J459" s="30">
        <f>COUNTIF(E459:H459,"à faire")</f>
        <v/>
      </c>
    </row>
    <row r="460">
      <c r="A460" s="30" t="inlineStr">
        <is>
          <t>f_carre</t>
        </is>
      </c>
      <c r="B460" s="30">
        <f>IFERROR(INDEX(Mots!$B:$B,MATCH($A460,Mots!$A:$A,0)),"introuvable")</f>
        <v/>
      </c>
      <c r="C460" s="30">
        <f>IFERROR(INDEX(Mots!$S:$S,MATCH($A460,Mots!$A:$A,0)),"")</f>
        <v/>
      </c>
      <c r="D460" s="30">
        <f>IFERROR(COUNTA(INDEX(Mots!$J:$J,MATCH($A460,Mots!$A:$A,0)):INDEX(Mots!$P:$P,MATCH($A460,Mots!$A:$A,0))),0)</f>
        <v/>
      </c>
      <c r="E460" s="30">
        <f>IF(COUNTIF(Classement!$A:$A,$A460)&gt;0,"ok","à faire")</f>
        <v/>
      </c>
      <c r="F460" s="30">
        <f>IF(COUNTIF(Tags!$A:$A,$A460)&gt;0,"ok","à faire")</f>
        <v/>
      </c>
      <c r="G460" s="30">
        <f>IF(COUNTIF(Phrases!$A:$A,$A460)&gt;0,"ok","à faire")</f>
        <v/>
      </c>
      <c r="H460" s="30">
        <f>IF(COUNTIFS(Phrases!$A:$A,$A460,Phrases!$I:$I,"&lt;&gt;")&gt;0,"ok","à faire")</f>
        <v/>
      </c>
      <c r="I460" s="30">
        <f>IF(COUNTIF(Synonymes!$A:$A,$A460)&gt;0,"ok","")</f>
        <v/>
      </c>
      <c r="J460" s="30">
        <f>COUNTIF(E460:H460,"à faire")</f>
        <v/>
      </c>
    </row>
    <row r="461">
      <c r="A461" s="30" t="inlineStr">
        <is>
          <t>f_triangle</t>
        </is>
      </c>
      <c r="B461" s="30">
        <f>IFERROR(INDEX(Mots!$B:$B,MATCH($A461,Mots!$A:$A,0)),"introuvable")</f>
        <v/>
      </c>
      <c r="C461" s="30">
        <f>IFERROR(INDEX(Mots!$S:$S,MATCH($A461,Mots!$A:$A,0)),"")</f>
        <v/>
      </c>
      <c r="D461" s="30">
        <f>IFERROR(COUNTA(INDEX(Mots!$J:$J,MATCH($A461,Mots!$A:$A,0)):INDEX(Mots!$P:$P,MATCH($A461,Mots!$A:$A,0))),0)</f>
        <v/>
      </c>
      <c r="E461" s="30">
        <f>IF(COUNTIF(Classement!$A:$A,$A461)&gt;0,"ok","à faire")</f>
        <v/>
      </c>
      <c r="F461" s="30">
        <f>IF(COUNTIF(Tags!$A:$A,$A461)&gt;0,"ok","à faire")</f>
        <v/>
      </c>
      <c r="G461" s="30">
        <f>IF(COUNTIF(Phrases!$A:$A,$A461)&gt;0,"ok","à faire")</f>
        <v/>
      </c>
      <c r="H461" s="30">
        <f>IF(COUNTIFS(Phrases!$A:$A,$A461,Phrases!$I:$I,"&lt;&gt;")&gt;0,"ok","à faire")</f>
        <v/>
      </c>
      <c r="I461" s="30">
        <f>IF(COUNTIF(Synonymes!$A:$A,$A461)&gt;0,"ok","")</f>
        <v/>
      </c>
      <c r="J461" s="30">
        <f>COUNTIF(E461:H461,"à faire")</f>
        <v/>
      </c>
    </row>
    <row r="462">
      <c r="A462" s="30" t="inlineStr">
        <is>
          <t>courbe</t>
        </is>
      </c>
      <c r="B462" s="30">
        <f>IFERROR(INDEX(Mots!$B:$B,MATCH($A462,Mots!$A:$A,0)),"introuvable")</f>
        <v/>
      </c>
      <c r="C462" s="30">
        <f>IFERROR(INDEX(Mots!$S:$S,MATCH($A462,Mots!$A:$A,0)),"")</f>
        <v/>
      </c>
      <c r="D462" s="30">
        <f>IFERROR(COUNTA(INDEX(Mots!$J:$J,MATCH($A462,Mots!$A:$A,0)):INDEX(Mots!$P:$P,MATCH($A462,Mots!$A:$A,0))),0)</f>
        <v/>
      </c>
      <c r="E462" s="30">
        <f>IF(COUNTIF(Classement!$A:$A,$A462)&gt;0,"ok","à faire")</f>
        <v/>
      </c>
      <c r="F462" s="30">
        <f>IF(COUNTIF(Tags!$A:$A,$A462)&gt;0,"ok","à faire")</f>
        <v/>
      </c>
      <c r="G462" s="30">
        <f>IF(COUNTIF(Phrases!$A:$A,$A462)&gt;0,"ok","à faire")</f>
        <v/>
      </c>
      <c r="H462" s="30">
        <f>IF(COUNTIFS(Phrases!$A:$A,$A462,Phrases!$I:$I,"&lt;&gt;")&gt;0,"ok","à faire")</f>
        <v/>
      </c>
      <c r="I462" s="30">
        <f>IF(COUNTIF(Synonymes!$A:$A,$A462)&gt;0,"ok","")</f>
        <v/>
      </c>
      <c r="J462" s="30">
        <f>COUNTIF(E462:H462,"à faire")</f>
        <v/>
      </c>
    </row>
    <row r="463">
      <c r="A463" s="30" t="inlineStr">
        <is>
          <t>droit</t>
        </is>
      </c>
      <c r="B463" s="30">
        <f>IFERROR(INDEX(Mots!$B:$B,MATCH($A463,Mots!$A:$A,0)),"introuvable")</f>
        <v/>
      </c>
      <c r="C463" s="30">
        <f>IFERROR(INDEX(Mots!$S:$S,MATCH($A463,Mots!$A:$A,0)),"")</f>
        <v/>
      </c>
      <c r="D463" s="30">
        <f>IFERROR(COUNTA(INDEX(Mots!$J:$J,MATCH($A463,Mots!$A:$A,0)):INDEX(Mots!$P:$P,MATCH($A463,Mots!$A:$A,0))),0)</f>
        <v/>
      </c>
      <c r="E463" s="30">
        <f>IF(COUNTIF(Classement!$A:$A,$A463)&gt;0,"ok","à faire")</f>
        <v/>
      </c>
      <c r="F463" s="30">
        <f>IF(COUNTIF(Tags!$A:$A,$A463)&gt;0,"ok","à faire")</f>
        <v/>
      </c>
      <c r="G463" s="30">
        <f>IF(COUNTIF(Phrases!$A:$A,$A463)&gt;0,"ok","à faire")</f>
        <v/>
      </c>
      <c r="H463" s="30">
        <f>IF(COUNTIFS(Phrases!$A:$A,$A463,Phrases!$I:$I,"&lt;&gt;")&gt;0,"ok","à faire")</f>
        <v/>
      </c>
      <c r="I463" s="30">
        <f>IF(COUNTIF(Synonymes!$A:$A,$A463)&gt;0,"ok","")</f>
        <v/>
      </c>
      <c r="J463" s="30">
        <f>COUNTIF(E463:H463,"à faire")</f>
        <v/>
      </c>
    </row>
    <row r="464">
      <c r="A464" s="30" t="inlineStr">
        <is>
          <t>hauteur</t>
        </is>
      </c>
      <c r="B464" s="30">
        <f>IFERROR(INDEX(Mots!$B:$B,MATCH($A464,Mots!$A:$A,0)),"introuvable")</f>
        <v/>
      </c>
      <c r="C464" s="30">
        <f>IFERROR(INDEX(Mots!$S:$S,MATCH($A464,Mots!$A:$A,0)),"")</f>
        <v/>
      </c>
      <c r="D464" s="30">
        <f>IFERROR(COUNTA(INDEX(Mots!$J:$J,MATCH($A464,Mots!$A:$A,0)):INDEX(Mots!$P:$P,MATCH($A464,Mots!$A:$A,0))),0)</f>
        <v/>
      </c>
      <c r="E464" s="30">
        <f>IF(COUNTIF(Classement!$A:$A,$A464)&gt;0,"ok","à faire")</f>
        <v/>
      </c>
      <c r="F464" s="30">
        <f>IF(COUNTIF(Tags!$A:$A,$A464)&gt;0,"ok","à faire")</f>
        <v/>
      </c>
      <c r="G464" s="30">
        <f>IF(COUNTIF(Phrases!$A:$A,$A464)&gt;0,"ok","à faire")</f>
        <v/>
      </c>
      <c r="H464" s="30">
        <f>IF(COUNTIFS(Phrases!$A:$A,$A464,Phrases!$I:$I,"&lt;&gt;")&gt;0,"ok","à faire")</f>
        <v/>
      </c>
      <c r="I464" s="30">
        <f>IF(COUNTIF(Synonymes!$A:$A,$A464)&gt;0,"ok","")</f>
        <v/>
      </c>
      <c r="J464" s="30">
        <f>COUNTIF(E464:H464,"à faire")</f>
        <v/>
      </c>
    </row>
    <row r="465">
      <c r="A465" s="30" t="inlineStr">
        <is>
          <t>largeur</t>
        </is>
      </c>
      <c r="B465" s="30">
        <f>IFERROR(INDEX(Mots!$B:$B,MATCH($A465,Mots!$A:$A,0)),"introuvable")</f>
        <v/>
      </c>
      <c r="C465" s="30">
        <f>IFERROR(INDEX(Mots!$S:$S,MATCH($A465,Mots!$A:$A,0)),"")</f>
        <v/>
      </c>
      <c r="D465" s="30">
        <f>IFERROR(COUNTA(INDEX(Mots!$J:$J,MATCH($A465,Mots!$A:$A,0)):INDEX(Mots!$P:$P,MATCH($A465,Mots!$A:$A,0))),0)</f>
        <v/>
      </c>
      <c r="E465" s="30">
        <f>IF(COUNTIF(Classement!$A:$A,$A465)&gt;0,"ok","à faire")</f>
        <v/>
      </c>
      <c r="F465" s="30">
        <f>IF(COUNTIF(Tags!$A:$A,$A465)&gt;0,"ok","à faire")</f>
        <v/>
      </c>
      <c r="G465" s="30">
        <f>IF(COUNTIF(Phrases!$A:$A,$A465)&gt;0,"ok","à faire")</f>
        <v/>
      </c>
      <c r="H465" s="30">
        <f>IF(COUNTIFS(Phrases!$A:$A,$A465,Phrases!$I:$I,"&lt;&gt;")&gt;0,"ok","à faire")</f>
        <v/>
      </c>
      <c r="I465" s="30">
        <f>IF(COUNTIF(Synonymes!$A:$A,$A465)&gt;0,"ok","")</f>
        <v/>
      </c>
      <c r="J465" s="30">
        <f>COUNTIF(E465:H465,"à faire")</f>
        <v/>
      </c>
    </row>
    <row r="466">
      <c r="A466" s="30" t="inlineStr">
        <is>
          <t>longueur</t>
        </is>
      </c>
      <c r="B466" s="30">
        <f>IFERROR(INDEX(Mots!$B:$B,MATCH($A466,Mots!$A:$A,0)),"introuvable")</f>
        <v/>
      </c>
      <c r="C466" s="30">
        <f>IFERROR(INDEX(Mots!$S:$S,MATCH($A466,Mots!$A:$A,0)),"")</f>
        <v/>
      </c>
      <c r="D466" s="30">
        <f>IFERROR(COUNTA(INDEX(Mots!$J:$J,MATCH($A466,Mots!$A:$A,0)):INDEX(Mots!$P:$P,MATCH($A466,Mots!$A:$A,0))),0)</f>
        <v/>
      </c>
      <c r="E466" s="30">
        <f>IF(COUNTIF(Classement!$A:$A,$A466)&gt;0,"ok","à faire")</f>
        <v/>
      </c>
      <c r="F466" s="30">
        <f>IF(COUNTIF(Tags!$A:$A,$A466)&gt;0,"ok","à faire")</f>
        <v/>
      </c>
      <c r="G466" s="30">
        <f>IF(COUNTIF(Phrases!$A:$A,$A466)&gt;0,"ok","à faire")</f>
        <v/>
      </c>
      <c r="H466" s="30">
        <f>IF(COUNTIFS(Phrases!$A:$A,$A466,Phrases!$I:$I,"&lt;&gt;")&gt;0,"ok","à faire")</f>
        <v/>
      </c>
      <c r="I466" s="30">
        <f>IF(COUNTIF(Synonymes!$A:$A,$A466)&gt;0,"ok","")</f>
        <v/>
      </c>
      <c r="J466" s="30">
        <f>COUNTIF(E466:H466,"à faire")</f>
        <v/>
      </c>
    </row>
    <row r="467">
      <c r="A467" s="30" t="inlineStr">
        <is>
          <t>cercle</t>
        </is>
      </c>
      <c r="B467" s="30">
        <f>IFERROR(INDEX(Mots!$B:$B,MATCH($A467,Mots!$A:$A,0)),"introuvable")</f>
        <v/>
      </c>
      <c r="C467" s="30">
        <f>IFERROR(INDEX(Mots!$S:$S,MATCH($A467,Mots!$A:$A,0)),"")</f>
        <v/>
      </c>
      <c r="D467" s="30">
        <f>IFERROR(COUNTA(INDEX(Mots!$J:$J,MATCH($A467,Mots!$A:$A,0)):INDEX(Mots!$P:$P,MATCH($A467,Mots!$A:$A,0))),0)</f>
        <v/>
      </c>
      <c r="E467" s="30">
        <f>IF(COUNTIF(Classement!$A:$A,$A467)&gt;0,"ok","à faire")</f>
        <v/>
      </c>
      <c r="F467" s="30">
        <f>IF(COUNTIF(Tags!$A:$A,$A467)&gt;0,"ok","à faire")</f>
        <v/>
      </c>
      <c r="G467" s="30">
        <f>IF(COUNTIF(Phrases!$A:$A,$A467)&gt;0,"ok","à faire")</f>
        <v/>
      </c>
      <c r="H467" s="30">
        <f>IF(COUNTIFS(Phrases!$A:$A,$A467,Phrases!$I:$I,"&lt;&gt;")&gt;0,"ok","à faire")</f>
        <v/>
      </c>
      <c r="I467" s="30">
        <f>IF(COUNTIF(Synonymes!$A:$A,$A467)&gt;0,"ok","")</f>
        <v/>
      </c>
      <c r="J467" s="30">
        <f>COUNTIF(E467:H467,"à faire")</f>
        <v/>
      </c>
    </row>
    <row r="468">
      <c r="A468" s="30" t="inlineStr">
        <is>
          <t>rectangle</t>
        </is>
      </c>
      <c r="B468" s="30">
        <f>IFERROR(INDEX(Mots!$B:$B,MATCH($A468,Mots!$A:$A,0)),"introuvable")</f>
        <v/>
      </c>
      <c r="C468" s="30">
        <f>IFERROR(INDEX(Mots!$S:$S,MATCH($A468,Mots!$A:$A,0)),"")</f>
        <v/>
      </c>
      <c r="D468" s="30">
        <f>IFERROR(COUNTA(INDEX(Mots!$J:$J,MATCH($A468,Mots!$A:$A,0)):INDEX(Mots!$P:$P,MATCH($A468,Mots!$A:$A,0))),0)</f>
        <v/>
      </c>
      <c r="E468" s="30">
        <f>IF(COUNTIF(Classement!$A:$A,$A468)&gt;0,"ok","à faire")</f>
        <v/>
      </c>
      <c r="F468" s="30">
        <f>IF(COUNTIF(Tags!$A:$A,$A468)&gt;0,"ok","à faire")</f>
        <v/>
      </c>
      <c r="G468" s="30">
        <f>IF(COUNTIF(Phrases!$A:$A,$A468)&gt;0,"ok","à faire")</f>
        <v/>
      </c>
      <c r="H468" s="30">
        <f>IF(COUNTIFS(Phrases!$A:$A,$A468,Phrases!$I:$I,"&lt;&gt;")&gt;0,"ok","à faire")</f>
        <v/>
      </c>
      <c r="I468" s="30">
        <f>IF(COUNTIF(Synonymes!$A:$A,$A468)&gt;0,"ok","")</f>
        <v/>
      </c>
      <c r="J468" s="30">
        <f>COUNTIF(E468:H468,"à faire")</f>
        <v/>
      </c>
    </row>
    <row r="469">
      <c r="A469" s="30" t="inlineStr">
        <is>
          <t>epaisseur</t>
        </is>
      </c>
      <c r="B469" s="30">
        <f>IFERROR(INDEX(Mots!$B:$B,MATCH($A469,Mots!$A:$A,0)),"introuvable")</f>
        <v/>
      </c>
      <c r="C469" s="30">
        <f>IFERROR(INDEX(Mots!$S:$S,MATCH($A469,Mots!$A:$A,0)),"")</f>
        <v/>
      </c>
      <c r="D469" s="30">
        <f>IFERROR(COUNTA(INDEX(Mots!$J:$J,MATCH($A469,Mots!$A:$A,0)):INDEX(Mots!$P:$P,MATCH($A469,Mots!$A:$A,0))),0)</f>
        <v/>
      </c>
      <c r="E469" s="30">
        <f>IF(COUNTIF(Classement!$A:$A,$A469)&gt;0,"ok","à faire")</f>
        <v/>
      </c>
      <c r="F469" s="30">
        <f>IF(COUNTIF(Tags!$A:$A,$A469)&gt;0,"ok","à faire")</f>
        <v/>
      </c>
      <c r="G469" s="30">
        <f>IF(COUNTIF(Phrases!$A:$A,$A469)&gt;0,"ok","à faire")</f>
        <v/>
      </c>
      <c r="H469" s="30">
        <f>IF(COUNTIFS(Phrases!$A:$A,$A469,Phrases!$I:$I,"&lt;&gt;")&gt;0,"ok","à faire")</f>
        <v/>
      </c>
      <c r="I469" s="30">
        <f>IF(COUNTIF(Synonymes!$A:$A,$A469)&gt;0,"ok","")</f>
        <v/>
      </c>
      <c r="J469" s="30">
        <f>COUNTIF(E469:H469,"à faire")</f>
        <v/>
      </c>
    </row>
    <row r="470">
      <c r="A470" s="30" t="inlineStr">
        <is>
          <t>pointu</t>
        </is>
      </c>
      <c r="B470" s="30">
        <f>IFERROR(INDEX(Mots!$B:$B,MATCH($A470,Mots!$A:$A,0)),"introuvable")</f>
        <v/>
      </c>
      <c r="C470" s="30">
        <f>IFERROR(INDEX(Mots!$S:$S,MATCH($A470,Mots!$A:$A,0)),"")</f>
        <v/>
      </c>
      <c r="D470" s="30">
        <f>IFERROR(COUNTA(INDEX(Mots!$J:$J,MATCH($A470,Mots!$A:$A,0)):INDEX(Mots!$P:$P,MATCH($A470,Mots!$A:$A,0))),0)</f>
        <v/>
      </c>
      <c r="E470" s="30">
        <f>IF(COUNTIF(Classement!$A:$A,$A470)&gt;0,"ok","à faire")</f>
        <v/>
      </c>
      <c r="F470" s="30">
        <f>IF(COUNTIF(Tags!$A:$A,$A470)&gt;0,"ok","à faire")</f>
        <v/>
      </c>
      <c r="G470" s="30">
        <f>IF(COUNTIF(Phrases!$A:$A,$A470)&gt;0,"ok","à faire")</f>
        <v/>
      </c>
      <c r="H470" s="30">
        <f>IF(COUNTIFS(Phrases!$A:$A,$A470,Phrases!$I:$I,"&lt;&gt;")&gt;0,"ok","à faire")</f>
        <v/>
      </c>
      <c r="I470" s="30">
        <f>IF(COUNTIF(Synonymes!$A:$A,$A470)&gt;0,"ok","")</f>
        <v/>
      </c>
      <c r="J470" s="30">
        <f>COUNTIF(E470:H470,"à faire")</f>
        <v/>
      </c>
    </row>
    <row r="471">
      <c r="A471" s="30" t="inlineStr">
        <is>
          <t>rond</t>
        </is>
      </c>
      <c r="B471" s="30">
        <f>IFERROR(INDEX(Mots!$B:$B,MATCH($A471,Mots!$A:$A,0)),"introuvable")</f>
        <v/>
      </c>
      <c r="C471" s="30">
        <f>IFERROR(INDEX(Mots!$S:$S,MATCH($A471,Mots!$A:$A,0)),"")</f>
        <v/>
      </c>
      <c r="D471" s="30">
        <f>IFERROR(COUNTA(INDEX(Mots!$J:$J,MATCH($A471,Mots!$A:$A,0)):INDEX(Mots!$P:$P,MATCH($A471,Mots!$A:$A,0))),0)</f>
        <v/>
      </c>
      <c r="E471" s="30">
        <f>IF(COUNTIF(Classement!$A:$A,$A471)&gt;0,"ok","à faire")</f>
        <v/>
      </c>
      <c r="F471" s="30">
        <f>IF(COUNTIF(Tags!$A:$A,$A471)&gt;0,"ok","à faire")</f>
        <v/>
      </c>
      <c r="G471" s="30">
        <f>IF(COUNTIF(Phrases!$A:$A,$A471)&gt;0,"ok","à faire")</f>
        <v/>
      </c>
      <c r="H471" s="30">
        <f>IF(COUNTIFS(Phrases!$A:$A,$A471,Phrases!$I:$I,"&lt;&gt;")&gt;0,"ok","à faire")</f>
        <v/>
      </c>
      <c r="I471" s="30">
        <f>IF(COUNTIF(Synonymes!$A:$A,$A471)&gt;0,"ok","")</f>
        <v/>
      </c>
      <c r="J471" s="30">
        <f>COUNTIF(E471:H471,"à faire")</f>
        <v/>
      </c>
    </row>
    <row r="472">
      <c r="A472" s="30" t="inlineStr">
        <is>
          <t>aigle</t>
        </is>
      </c>
      <c r="B472" s="30">
        <f>IFERROR(INDEX(Mots!$B:$B,MATCH($A472,Mots!$A:$A,0)),"introuvable")</f>
        <v/>
      </c>
      <c r="C472" s="30">
        <f>IFERROR(INDEX(Mots!$S:$S,MATCH($A472,Mots!$A:$A,0)),"")</f>
        <v/>
      </c>
      <c r="D472" s="30">
        <f>IFERROR(COUNTA(INDEX(Mots!$J:$J,MATCH($A472,Mots!$A:$A,0)):INDEX(Mots!$P:$P,MATCH($A472,Mots!$A:$A,0))),0)</f>
        <v/>
      </c>
      <c r="E472" s="30">
        <f>IF(COUNTIF(Classement!$A:$A,$A472)&gt;0,"ok","à faire")</f>
        <v/>
      </c>
      <c r="F472" s="30">
        <f>IF(COUNTIF(Tags!$A:$A,$A472)&gt;0,"ok","à faire")</f>
        <v/>
      </c>
      <c r="G472" s="30">
        <f>IF(COUNTIF(Phrases!$A:$A,$A472)&gt;0,"ok","à faire")</f>
        <v/>
      </c>
      <c r="H472" s="30">
        <f>IF(COUNTIFS(Phrases!$A:$A,$A472,Phrases!$I:$I,"&lt;&gt;")&gt;0,"ok","à faire")</f>
        <v/>
      </c>
      <c r="I472" s="30">
        <f>IF(COUNTIF(Synonymes!$A:$A,$A472)&gt;0,"ok","")</f>
        <v/>
      </c>
      <c r="J472" s="30">
        <f>COUNTIF(E472:H472,"à faire")</f>
        <v/>
      </c>
    </row>
    <row r="473">
      <c r="A473" s="30" t="inlineStr">
        <is>
          <t>gypaete_barbu</t>
        </is>
      </c>
      <c r="B473" s="30">
        <f>IFERROR(INDEX(Mots!$B:$B,MATCH($A473,Mots!$A:$A,0)),"introuvable")</f>
        <v/>
      </c>
      <c r="C473" s="30">
        <f>IFERROR(INDEX(Mots!$S:$S,MATCH($A473,Mots!$A:$A,0)),"")</f>
        <v/>
      </c>
      <c r="D473" s="30">
        <f>IFERROR(COUNTA(INDEX(Mots!$J:$J,MATCH($A473,Mots!$A:$A,0)):INDEX(Mots!$P:$P,MATCH($A473,Mots!$A:$A,0))),0)</f>
        <v/>
      </c>
      <c r="E473" s="30">
        <f>IF(COUNTIF(Classement!$A:$A,$A473)&gt;0,"ok","à faire")</f>
        <v/>
      </c>
      <c r="F473" s="30">
        <f>IF(COUNTIF(Tags!$A:$A,$A473)&gt;0,"ok","à faire")</f>
        <v/>
      </c>
      <c r="G473" s="30">
        <f>IF(COUNTIF(Phrases!$A:$A,$A473)&gt;0,"ok","à faire")</f>
        <v/>
      </c>
      <c r="H473" s="30">
        <f>IF(COUNTIFS(Phrases!$A:$A,$A473,Phrases!$I:$I,"&lt;&gt;")&gt;0,"ok","à faire")</f>
        <v/>
      </c>
      <c r="I473" s="30">
        <f>IF(COUNTIF(Synonymes!$A:$A,$A473)&gt;0,"ok","")</f>
        <v/>
      </c>
      <c r="J473" s="30">
        <f>COUNTIF(E473:H473,"à faire")</f>
        <v/>
      </c>
    </row>
    <row r="474">
      <c r="A474" s="30" t="inlineStr">
        <is>
          <t>moineau</t>
        </is>
      </c>
      <c r="B474" s="30">
        <f>IFERROR(INDEX(Mots!$B:$B,MATCH($A474,Mots!$A:$A,0)),"introuvable")</f>
        <v/>
      </c>
      <c r="C474" s="30">
        <f>IFERROR(INDEX(Mots!$S:$S,MATCH($A474,Mots!$A:$A,0)),"")</f>
        <v/>
      </c>
      <c r="D474" s="30">
        <f>IFERROR(COUNTA(INDEX(Mots!$J:$J,MATCH($A474,Mots!$A:$A,0)):INDEX(Mots!$P:$P,MATCH($A474,Mots!$A:$A,0))),0)</f>
        <v/>
      </c>
      <c r="E474" s="30">
        <f>IF(COUNTIF(Classement!$A:$A,$A474)&gt;0,"ok","à faire")</f>
        <v/>
      </c>
      <c r="F474" s="30">
        <f>IF(COUNTIF(Tags!$A:$A,$A474)&gt;0,"ok","à faire")</f>
        <v/>
      </c>
      <c r="G474" s="30">
        <f>IF(COUNTIF(Phrases!$A:$A,$A474)&gt;0,"ok","à faire")</f>
        <v/>
      </c>
      <c r="H474" s="30">
        <f>IF(COUNTIFS(Phrases!$A:$A,$A474,Phrases!$I:$I,"&lt;&gt;")&gt;0,"ok","à faire")</f>
        <v/>
      </c>
      <c r="I474" s="30">
        <f>IF(COUNTIF(Synonymes!$A:$A,$A474)&gt;0,"ok","")</f>
        <v/>
      </c>
      <c r="J474" s="30">
        <f>COUNTIF(E474:H474,"à faire")</f>
        <v/>
      </c>
    </row>
    <row r="475">
      <c r="A475" s="30" t="inlineStr">
        <is>
          <t>pigeon</t>
        </is>
      </c>
      <c r="B475" s="30">
        <f>IFERROR(INDEX(Mots!$B:$B,MATCH($A475,Mots!$A:$A,0)),"introuvable")</f>
        <v/>
      </c>
      <c r="C475" s="30">
        <f>IFERROR(INDEX(Mots!$S:$S,MATCH($A475,Mots!$A:$A,0)),"")</f>
        <v/>
      </c>
      <c r="D475" s="30">
        <f>IFERROR(COUNTA(INDEX(Mots!$J:$J,MATCH($A475,Mots!$A:$A,0)):INDEX(Mots!$P:$P,MATCH($A475,Mots!$A:$A,0))),0)</f>
        <v/>
      </c>
      <c r="E475" s="30">
        <f>IF(COUNTIF(Classement!$A:$A,$A475)&gt;0,"ok","à faire")</f>
        <v/>
      </c>
      <c r="F475" s="30">
        <f>IF(COUNTIF(Tags!$A:$A,$A475)&gt;0,"ok","à faire")</f>
        <v/>
      </c>
      <c r="G475" s="30">
        <f>IF(COUNTIF(Phrases!$A:$A,$A475)&gt;0,"ok","à faire")</f>
        <v/>
      </c>
      <c r="H475" s="30">
        <f>IF(COUNTIFS(Phrases!$A:$A,$A475,Phrases!$I:$I,"&lt;&gt;")&gt;0,"ok","à faire")</f>
        <v/>
      </c>
      <c r="I475" s="30">
        <f>IF(COUNTIF(Synonymes!$A:$A,$A475)&gt;0,"ok","")</f>
        <v/>
      </c>
      <c r="J475" s="30">
        <f>COUNTIF(E475:H475,"à faire")</f>
        <v/>
      </c>
    </row>
    <row r="476">
      <c r="A476" s="30" t="inlineStr">
        <is>
          <t>pizza</t>
        </is>
      </c>
      <c r="B476" s="30">
        <f>IFERROR(INDEX(Mots!$B:$B,MATCH($A476,Mots!$A:$A,0)),"introuvable")</f>
        <v/>
      </c>
      <c r="C476" s="30">
        <f>IFERROR(INDEX(Mots!$S:$S,MATCH($A476,Mots!$A:$A,0)),"")</f>
        <v/>
      </c>
      <c r="D476" s="30">
        <f>IFERROR(COUNTA(INDEX(Mots!$J:$J,MATCH($A476,Mots!$A:$A,0)):INDEX(Mots!$P:$P,MATCH($A476,Mots!$A:$A,0))),0)</f>
        <v/>
      </c>
      <c r="E476" s="30">
        <f>IF(COUNTIF(Classement!$A:$A,$A476)&gt;0,"ok","à faire")</f>
        <v/>
      </c>
      <c r="F476" s="30">
        <f>IF(COUNTIF(Tags!$A:$A,$A476)&gt;0,"ok","à faire")</f>
        <v/>
      </c>
      <c r="G476" s="30">
        <f>IF(COUNTIF(Phrases!$A:$A,$A476)&gt;0,"ok","à faire")</f>
        <v/>
      </c>
      <c r="H476" s="30">
        <f>IF(COUNTIFS(Phrases!$A:$A,$A476,Phrases!$I:$I,"&lt;&gt;")&gt;0,"ok","à faire")</f>
        <v/>
      </c>
      <c r="I476" s="30">
        <f>IF(COUNTIF(Synonymes!$A:$A,$A476)&gt;0,"ok","")</f>
        <v/>
      </c>
      <c r="J476" s="30">
        <f>COUNTIF(E476:H476,"à faire")</f>
        <v/>
      </c>
    </row>
    <row r="477">
      <c r="A477" s="30" t="inlineStr">
        <is>
          <t>lasagnes</t>
        </is>
      </c>
      <c r="B477" s="30">
        <f>IFERROR(INDEX(Mots!$B:$B,MATCH($A477,Mots!$A:$A,0)),"introuvable")</f>
        <v/>
      </c>
      <c r="C477" s="30">
        <f>IFERROR(INDEX(Mots!$S:$S,MATCH($A477,Mots!$A:$A,0)),"")</f>
        <v/>
      </c>
      <c r="D477" s="30">
        <f>IFERROR(COUNTA(INDEX(Mots!$J:$J,MATCH($A477,Mots!$A:$A,0)):INDEX(Mots!$P:$P,MATCH($A477,Mots!$A:$A,0))),0)</f>
        <v/>
      </c>
      <c r="E477" s="30">
        <f>IF(COUNTIF(Classement!$A:$A,$A477)&gt;0,"ok","à faire")</f>
        <v/>
      </c>
      <c r="F477" s="30">
        <f>IF(COUNTIF(Tags!$A:$A,$A477)&gt;0,"ok","à faire")</f>
        <v/>
      </c>
      <c r="G477" s="30">
        <f>IF(COUNTIF(Phrases!$A:$A,$A477)&gt;0,"ok","à faire")</f>
        <v/>
      </c>
      <c r="H477" s="30">
        <f>IF(COUNTIFS(Phrases!$A:$A,$A477,Phrases!$I:$I,"&lt;&gt;")&gt;0,"ok","à faire")</f>
        <v/>
      </c>
      <c r="I477" s="30">
        <f>IF(COUNTIF(Synonymes!$A:$A,$A477)&gt;0,"ok","")</f>
        <v/>
      </c>
      <c r="J477" s="30">
        <f>COUNTIF(E477:H477,"à faire")</f>
        <v/>
      </c>
    </row>
    <row r="478">
      <c r="A478" s="30" t="inlineStr">
        <is>
          <t>cornette_pate</t>
        </is>
      </c>
      <c r="B478" s="30">
        <f>IFERROR(INDEX(Mots!$B:$B,MATCH($A478,Mots!$A:$A,0)),"introuvable")</f>
        <v/>
      </c>
      <c r="C478" s="30">
        <f>IFERROR(INDEX(Mots!$S:$S,MATCH($A478,Mots!$A:$A,0)),"")</f>
        <v/>
      </c>
      <c r="D478" s="30">
        <f>IFERROR(COUNTA(INDEX(Mots!$J:$J,MATCH($A478,Mots!$A:$A,0)):INDEX(Mots!$P:$P,MATCH($A478,Mots!$A:$A,0))),0)</f>
        <v/>
      </c>
      <c r="E478" s="30">
        <f>IF(COUNTIF(Classement!$A:$A,$A478)&gt;0,"ok","à faire")</f>
        <v/>
      </c>
      <c r="F478" s="30">
        <f>IF(COUNTIF(Tags!$A:$A,$A478)&gt;0,"ok","à faire")</f>
        <v/>
      </c>
      <c r="G478" s="30">
        <f>IF(COUNTIF(Phrases!$A:$A,$A478)&gt;0,"ok","à faire")</f>
        <v/>
      </c>
      <c r="H478" s="30">
        <f>IF(COUNTIFS(Phrases!$A:$A,$A478,Phrases!$I:$I,"&lt;&gt;")&gt;0,"ok","à faire")</f>
        <v/>
      </c>
      <c r="I478" s="30">
        <f>IF(COUNTIF(Synonymes!$A:$A,$A478)&gt;0,"ok","")</f>
        <v/>
      </c>
      <c r="J478" s="30">
        <f>COUNTIF(E478:H478,"à faire")</f>
        <v/>
      </c>
    </row>
    <row r="479">
      <c r="A479" s="30" t="inlineStr">
        <is>
          <t>spaghetti</t>
        </is>
      </c>
      <c r="B479" s="30">
        <f>IFERROR(INDEX(Mots!$B:$B,MATCH($A479,Mots!$A:$A,0)),"introuvable")</f>
        <v/>
      </c>
      <c r="C479" s="30">
        <f>IFERROR(INDEX(Mots!$S:$S,MATCH($A479,Mots!$A:$A,0)),"")</f>
        <v/>
      </c>
      <c r="D479" s="30">
        <f>IFERROR(COUNTA(INDEX(Mots!$J:$J,MATCH($A479,Mots!$A:$A,0)):INDEX(Mots!$P:$P,MATCH($A479,Mots!$A:$A,0))),0)</f>
        <v/>
      </c>
      <c r="E479" s="30">
        <f>IF(COUNTIF(Classement!$A:$A,$A479)&gt;0,"ok","à faire")</f>
        <v/>
      </c>
      <c r="F479" s="30">
        <f>IF(COUNTIF(Tags!$A:$A,$A479)&gt;0,"ok","à faire")</f>
        <v/>
      </c>
      <c r="G479" s="30">
        <f>IF(COUNTIF(Phrases!$A:$A,$A479)&gt;0,"ok","à faire")</f>
        <v/>
      </c>
      <c r="H479" s="30">
        <f>IF(COUNTIFS(Phrases!$A:$A,$A479,Phrases!$I:$I,"&lt;&gt;")&gt;0,"ok","à faire")</f>
        <v/>
      </c>
      <c r="I479" s="30">
        <f>IF(COUNTIF(Synonymes!$A:$A,$A479)&gt;0,"ok","")</f>
        <v/>
      </c>
      <c r="J479" s="30">
        <f>COUNTIF(E479:H479,"à faire")</f>
        <v/>
      </c>
    </row>
    <row r="480">
      <c r="A480" s="30" t="inlineStr">
        <is>
          <t>penne_pate</t>
        </is>
      </c>
      <c r="B480" s="30">
        <f>IFERROR(INDEX(Mots!$B:$B,MATCH($A480,Mots!$A:$A,0)),"introuvable")</f>
        <v/>
      </c>
      <c r="C480" s="30">
        <f>IFERROR(INDEX(Mots!$S:$S,MATCH($A480,Mots!$A:$A,0)),"")</f>
        <v/>
      </c>
      <c r="D480" s="30">
        <f>IFERROR(COUNTA(INDEX(Mots!$J:$J,MATCH($A480,Mots!$A:$A,0)):INDEX(Mots!$P:$P,MATCH($A480,Mots!$A:$A,0))),0)</f>
        <v/>
      </c>
      <c r="E480" s="30">
        <f>IF(COUNTIF(Classement!$A:$A,$A480)&gt;0,"ok","à faire")</f>
        <v/>
      </c>
      <c r="F480" s="30">
        <f>IF(COUNTIF(Tags!$A:$A,$A480)&gt;0,"ok","à faire")</f>
        <v/>
      </c>
      <c r="G480" s="30">
        <f>IF(COUNTIF(Phrases!$A:$A,$A480)&gt;0,"ok","à faire")</f>
        <v/>
      </c>
      <c r="H480" s="30">
        <f>IF(COUNTIFS(Phrases!$A:$A,$A480,Phrases!$I:$I,"&lt;&gt;")&gt;0,"ok","à faire")</f>
        <v/>
      </c>
      <c r="I480" s="30">
        <f>IF(COUNTIF(Synonymes!$A:$A,$A480)&gt;0,"ok","")</f>
        <v/>
      </c>
      <c r="J480" s="30">
        <f>COUNTIF(E480:H480,"à faire")</f>
        <v/>
      </c>
    </row>
    <row r="481">
      <c r="A481" s="30" t="inlineStr">
        <is>
          <t>oeuf_au_plat</t>
        </is>
      </c>
      <c r="B481" s="30">
        <f>IFERROR(INDEX(Mots!$B:$B,MATCH($A481,Mots!$A:$A,0)),"introuvable")</f>
        <v/>
      </c>
      <c r="C481" s="30">
        <f>IFERROR(INDEX(Mots!$S:$S,MATCH($A481,Mots!$A:$A,0)),"")</f>
        <v/>
      </c>
      <c r="D481" s="30">
        <f>IFERROR(COUNTA(INDEX(Mots!$J:$J,MATCH($A481,Mots!$A:$A,0)):INDEX(Mots!$P:$P,MATCH($A481,Mots!$A:$A,0))),0)</f>
        <v/>
      </c>
      <c r="E481" s="30">
        <f>IF(COUNTIF(Classement!$A:$A,$A481)&gt;0,"ok","à faire")</f>
        <v/>
      </c>
      <c r="F481" s="30">
        <f>IF(COUNTIF(Tags!$A:$A,$A481)&gt;0,"ok","à faire")</f>
        <v/>
      </c>
      <c r="G481" s="30">
        <f>IF(COUNTIF(Phrases!$A:$A,$A481)&gt;0,"ok","à faire")</f>
        <v/>
      </c>
      <c r="H481" s="30">
        <f>IF(COUNTIFS(Phrases!$A:$A,$A481,Phrases!$I:$I,"&lt;&gt;")&gt;0,"ok","à faire")</f>
        <v/>
      </c>
      <c r="I481" s="30">
        <f>IF(COUNTIF(Synonymes!$A:$A,$A481)&gt;0,"ok","")</f>
        <v/>
      </c>
      <c r="J481" s="30">
        <f>COUNTIF(E481:H481,"à faire")</f>
        <v/>
      </c>
    </row>
    <row r="482">
      <c r="A482" s="30" t="inlineStr">
        <is>
          <t>omelette</t>
        </is>
      </c>
      <c r="B482" s="30">
        <f>IFERROR(INDEX(Mots!$B:$B,MATCH($A482,Mots!$A:$A,0)),"introuvable")</f>
        <v/>
      </c>
      <c r="C482" s="30">
        <f>IFERROR(INDEX(Mots!$S:$S,MATCH($A482,Mots!$A:$A,0)),"")</f>
        <v/>
      </c>
      <c r="D482" s="30">
        <f>IFERROR(COUNTA(INDEX(Mots!$J:$J,MATCH($A482,Mots!$A:$A,0)):INDEX(Mots!$P:$P,MATCH($A482,Mots!$A:$A,0))),0)</f>
        <v/>
      </c>
      <c r="E482" s="30">
        <f>IF(COUNTIF(Classement!$A:$A,$A482)&gt;0,"ok","à faire")</f>
        <v/>
      </c>
      <c r="F482" s="30">
        <f>IF(COUNTIF(Tags!$A:$A,$A482)&gt;0,"ok","à faire")</f>
        <v/>
      </c>
      <c r="G482" s="30">
        <f>IF(COUNTIF(Phrases!$A:$A,$A482)&gt;0,"ok","à faire")</f>
        <v/>
      </c>
      <c r="H482" s="30">
        <f>IF(COUNTIFS(Phrases!$A:$A,$A482,Phrases!$I:$I,"&lt;&gt;")&gt;0,"ok","à faire")</f>
        <v/>
      </c>
      <c r="I482" s="30">
        <f>IF(COUNTIF(Synonymes!$A:$A,$A482)&gt;0,"ok","")</f>
        <v/>
      </c>
      <c r="J482" s="30">
        <f>COUNTIF(E482:H482,"à faire")</f>
        <v/>
      </c>
    </row>
    <row r="483">
      <c r="A483" s="30" t="inlineStr">
        <is>
          <t>polenta</t>
        </is>
      </c>
      <c r="B483" s="30">
        <f>IFERROR(INDEX(Mots!$B:$B,MATCH($A483,Mots!$A:$A,0)),"introuvable")</f>
        <v/>
      </c>
      <c r="C483" s="30">
        <f>IFERROR(INDEX(Mots!$S:$S,MATCH($A483,Mots!$A:$A,0)),"")</f>
        <v/>
      </c>
      <c r="D483" s="30">
        <f>IFERROR(COUNTA(INDEX(Mots!$J:$J,MATCH($A483,Mots!$A:$A,0)):INDEX(Mots!$P:$P,MATCH($A483,Mots!$A:$A,0))),0)</f>
        <v/>
      </c>
      <c r="E483" s="30">
        <f>IF(COUNTIF(Classement!$A:$A,$A483)&gt;0,"ok","à faire")</f>
        <v/>
      </c>
      <c r="F483" s="30">
        <f>IF(COUNTIF(Tags!$A:$A,$A483)&gt;0,"ok","à faire")</f>
        <v/>
      </c>
      <c r="G483" s="30">
        <f>IF(COUNTIF(Phrases!$A:$A,$A483)&gt;0,"ok","à faire")</f>
        <v/>
      </c>
      <c r="H483" s="30">
        <f>IF(COUNTIFS(Phrases!$A:$A,$A483,Phrases!$I:$I,"&lt;&gt;")&gt;0,"ok","à faire")</f>
        <v/>
      </c>
      <c r="I483" s="30">
        <f>IF(COUNTIF(Synonymes!$A:$A,$A483)&gt;0,"ok","")</f>
        <v/>
      </c>
      <c r="J483" s="30">
        <f>COUNTIF(E483:H483,"à faire")</f>
        <v/>
      </c>
    </row>
    <row r="484">
      <c r="A484" s="30" t="inlineStr">
        <is>
          <t>fondue</t>
        </is>
      </c>
      <c r="B484" s="30">
        <f>IFERROR(INDEX(Mots!$B:$B,MATCH($A484,Mots!$A:$A,0)),"introuvable")</f>
        <v/>
      </c>
      <c r="C484" s="30">
        <f>IFERROR(INDEX(Mots!$S:$S,MATCH($A484,Mots!$A:$A,0)),"")</f>
        <v/>
      </c>
      <c r="D484" s="30">
        <f>IFERROR(COUNTA(INDEX(Mots!$J:$J,MATCH($A484,Mots!$A:$A,0)):INDEX(Mots!$P:$P,MATCH($A484,Mots!$A:$A,0))),0)</f>
        <v/>
      </c>
      <c r="E484" s="30">
        <f>IF(COUNTIF(Classement!$A:$A,$A484)&gt;0,"ok","à faire")</f>
        <v/>
      </c>
      <c r="F484" s="30">
        <f>IF(COUNTIF(Tags!$A:$A,$A484)&gt;0,"ok","à faire")</f>
        <v/>
      </c>
      <c r="G484" s="30">
        <f>IF(COUNTIF(Phrases!$A:$A,$A484)&gt;0,"ok","à faire")</f>
        <v/>
      </c>
      <c r="H484" s="30">
        <f>IF(COUNTIFS(Phrases!$A:$A,$A484,Phrases!$I:$I,"&lt;&gt;")&gt;0,"ok","à faire")</f>
        <v/>
      </c>
      <c r="I484" s="30">
        <f>IF(COUNTIF(Synonymes!$A:$A,$A484)&gt;0,"ok","")</f>
        <v/>
      </c>
      <c r="J484" s="30">
        <f>COUNTIF(E484:H484,"à faire")</f>
        <v/>
      </c>
    </row>
    <row r="485">
      <c r="A485" s="30" t="inlineStr">
        <is>
          <t>raclette</t>
        </is>
      </c>
      <c r="B485" s="30">
        <f>IFERROR(INDEX(Mots!$B:$B,MATCH($A485,Mots!$A:$A,0)),"introuvable")</f>
        <v/>
      </c>
      <c r="C485" s="30">
        <f>IFERROR(INDEX(Mots!$S:$S,MATCH($A485,Mots!$A:$A,0)),"")</f>
        <v/>
      </c>
      <c r="D485" s="30">
        <f>IFERROR(COUNTA(INDEX(Mots!$J:$J,MATCH($A485,Mots!$A:$A,0)):INDEX(Mots!$P:$P,MATCH($A485,Mots!$A:$A,0))),0)</f>
        <v/>
      </c>
      <c r="E485" s="30">
        <f>IF(COUNTIF(Classement!$A:$A,$A485)&gt;0,"ok","à faire")</f>
        <v/>
      </c>
      <c r="F485" s="30">
        <f>IF(COUNTIF(Tags!$A:$A,$A485)&gt;0,"ok","à faire")</f>
        <v/>
      </c>
      <c r="G485" s="30">
        <f>IF(COUNTIF(Phrases!$A:$A,$A485)&gt;0,"ok","à faire")</f>
        <v/>
      </c>
      <c r="H485" s="30">
        <f>IF(COUNTIFS(Phrases!$A:$A,$A485,Phrases!$I:$I,"&lt;&gt;")&gt;0,"ok","à faire")</f>
        <v/>
      </c>
      <c r="I485" s="30">
        <f>IF(COUNTIF(Synonymes!$A:$A,$A485)&gt;0,"ok","")</f>
        <v/>
      </c>
      <c r="J485" s="30">
        <f>COUNTIF(E485:H485,"à faire")</f>
        <v/>
      </c>
    </row>
    <row r="486">
      <c r="A486" s="30" t="inlineStr">
        <is>
          <t>soupe</t>
        </is>
      </c>
      <c r="B486" s="30">
        <f>IFERROR(INDEX(Mots!$B:$B,MATCH($A486,Mots!$A:$A,0)),"introuvable")</f>
        <v/>
      </c>
      <c r="C486" s="30">
        <f>IFERROR(INDEX(Mots!$S:$S,MATCH($A486,Mots!$A:$A,0)),"")</f>
        <v/>
      </c>
      <c r="D486" s="30">
        <f>IFERROR(COUNTA(INDEX(Mots!$J:$J,MATCH($A486,Mots!$A:$A,0)):INDEX(Mots!$P:$P,MATCH($A486,Mots!$A:$A,0))),0)</f>
        <v/>
      </c>
      <c r="E486" s="30">
        <f>IF(COUNTIF(Classement!$A:$A,$A486)&gt;0,"ok","à faire")</f>
        <v/>
      </c>
      <c r="F486" s="30">
        <f>IF(COUNTIF(Tags!$A:$A,$A486)&gt;0,"ok","à faire")</f>
        <v/>
      </c>
      <c r="G486" s="30">
        <f>IF(COUNTIF(Phrases!$A:$A,$A486)&gt;0,"ok","à faire")</f>
        <v/>
      </c>
      <c r="H486" s="30">
        <f>IF(COUNTIFS(Phrases!$A:$A,$A486,Phrases!$I:$I,"&lt;&gt;")&gt;0,"ok","à faire")</f>
        <v/>
      </c>
      <c r="I486" s="30">
        <f>IF(COUNTIF(Synonymes!$A:$A,$A486)&gt;0,"ok","")</f>
        <v/>
      </c>
      <c r="J486" s="30">
        <f>COUNTIF(E486:H486,"à faire")</f>
        <v/>
      </c>
    </row>
    <row r="487">
      <c r="A487" s="30" t="inlineStr">
        <is>
          <t>filets_de_perche</t>
        </is>
      </c>
      <c r="B487" s="30">
        <f>IFERROR(INDEX(Mots!$B:$B,MATCH($A487,Mots!$A:$A,0)),"introuvable")</f>
        <v/>
      </c>
      <c r="C487" s="30">
        <f>IFERROR(INDEX(Mots!$S:$S,MATCH($A487,Mots!$A:$A,0)),"")</f>
        <v/>
      </c>
      <c r="D487" s="30">
        <f>IFERROR(COUNTA(INDEX(Mots!$J:$J,MATCH($A487,Mots!$A:$A,0)):INDEX(Mots!$P:$P,MATCH($A487,Mots!$A:$A,0))),0)</f>
        <v/>
      </c>
      <c r="E487" s="30">
        <f>IF(COUNTIF(Classement!$A:$A,$A487)&gt;0,"ok","à faire")</f>
        <v/>
      </c>
      <c r="F487" s="30">
        <f>IF(COUNTIF(Tags!$A:$A,$A487)&gt;0,"ok","à faire")</f>
        <v/>
      </c>
      <c r="G487" s="30">
        <f>IF(COUNTIF(Phrases!$A:$A,$A487)&gt;0,"ok","à faire")</f>
        <v/>
      </c>
      <c r="H487" s="30">
        <f>IF(COUNTIFS(Phrases!$A:$A,$A487,Phrases!$I:$I,"&lt;&gt;")&gt;0,"ok","à faire")</f>
        <v/>
      </c>
      <c r="I487" s="30">
        <f>IF(COUNTIF(Synonymes!$A:$A,$A487)&gt;0,"ok","")</f>
        <v/>
      </c>
      <c r="J487" s="30">
        <f>COUNTIF(E487:H487,"à faire")</f>
        <v/>
      </c>
    </row>
    <row r="488">
      <c r="A488" s="30" t="inlineStr">
        <is>
          <t>filet_de_truite</t>
        </is>
      </c>
      <c r="B488" s="30">
        <f>IFERROR(INDEX(Mots!$B:$B,MATCH($A488,Mots!$A:$A,0)),"introuvable")</f>
        <v/>
      </c>
      <c r="C488" s="30">
        <f>IFERROR(INDEX(Mots!$S:$S,MATCH($A488,Mots!$A:$A,0)),"")</f>
        <v/>
      </c>
      <c r="D488" s="30">
        <f>IFERROR(COUNTA(INDEX(Mots!$J:$J,MATCH($A488,Mots!$A:$A,0)):INDEX(Mots!$P:$P,MATCH($A488,Mots!$A:$A,0))),0)</f>
        <v/>
      </c>
      <c r="E488" s="30">
        <f>IF(COUNTIF(Classement!$A:$A,$A488)&gt;0,"ok","à faire")</f>
        <v/>
      </c>
      <c r="F488" s="30">
        <f>IF(COUNTIF(Tags!$A:$A,$A488)&gt;0,"ok","à faire")</f>
        <v/>
      </c>
      <c r="G488" s="30">
        <f>IF(COUNTIF(Phrases!$A:$A,$A488)&gt;0,"ok","à faire")</f>
        <v/>
      </c>
      <c r="H488" s="30">
        <f>IF(COUNTIFS(Phrases!$A:$A,$A488,Phrases!$I:$I,"&lt;&gt;")&gt;0,"ok","à faire")</f>
        <v/>
      </c>
      <c r="I488" s="30">
        <f>IF(COUNTIF(Synonymes!$A:$A,$A488)&gt;0,"ok","")</f>
        <v/>
      </c>
      <c r="J488" s="30">
        <f>COUNTIF(E488:H488,"à faire")</f>
        <v/>
      </c>
    </row>
    <row r="489">
      <c r="A489" s="30" t="inlineStr">
        <is>
          <t>ami</t>
        </is>
      </c>
      <c r="B489" s="30">
        <f>IFERROR(INDEX(Mots!$B:$B,MATCH($A489,Mots!$A:$A,0)),"introuvable")</f>
        <v/>
      </c>
      <c r="C489" s="30">
        <f>IFERROR(INDEX(Mots!$S:$S,MATCH($A489,Mots!$A:$A,0)),"")</f>
        <v/>
      </c>
      <c r="D489" s="30">
        <f>IFERROR(COUNTA(INDEX(Mots!$J:$J,MATCH($A489,Mots!$A:$A,0)):INDEX(Mots!$P:$P,MATCH($A489,Mots!$A:$A,0))),0)</f>
        <v/>
      </c>
      <c r="E489" s="30">
        <f>IF(COUNTIF(Classement!$A:$A,$A489)&gt;0,"ok","à faire")</f>
        <v/>
      </c>
      <c r="F489" s="30">
        <f>IF(COUNTIF(Tags!$A:$A,$A489)&gt;0,"ok","à faire")</f>
        <v/>
      </c>
      <c r="G489" s="30">
        <f>IF(COUNTIF(Phrases!$A:$A,$A489)&gt;0,"ok","à faire")</f>
        <v/>
      </c>
      <c r="H489" s="30">
        <f>IF(COUNTIFS(Phrases!$A:$A,$A489,Phrases!$I:$I,"&lt;&gt;")&gt;0,"ok","à faire")</f>
        <v/>
      </c>
      <c r="I489" s="30">
        <f>IF(COUNTIF(Synonymes!$A:$A,$A489)&gt;0,"ok","")</f>
        <v/>
      </c>
      <c r="J489" s="30">
        <f>COUNTIF(E489:H489,"à faire")</f>
        <v/>
      </c>
    </row>
    <row r="490">
      <c r="A490" s="30" t="inlineStr">
        <is>
          <t>banque</t>
        </is>
      </c>
      <c r="B490" s="30">
        <f>IFERROR(INDEX(Mots!$B:$B,MATCH($A490,Mots!$A:$A,0)),"introuvable")</f>
        <v/>
      </c>
      <c r="C490" s="30">
        <f>IFERROR(INDEX(Mots!$S:$S,MATCH($A490,Mots!$A:$A,0)),"")</f>
        <v/>
      </c>
      <c r="D490" s="30">
        <f>IFERROR(COUNTA(INDEX(Mots!$J:$J,MATCH($A490,Mots!$A:$A,0)):INDEX(Mots!$P:$P,MATCH($A490,Mots!$A:$A,0))),0)</f>
        <v/>
      </c>
      <c r="E490" s="30">
        <f>IF(COUNTIF(Classement!$A:$A,$A490)&gt;0,"ok","à faire")</f>
        <v/>
      </c>
      <c r="F490" s="30">
        <f>IF(COUNTIF(Tags!$A:$A,$A490)&gt;0,"ok","à faire")</f>
        <v/>
      </c>
      <c r="G490" s="30">
        <f>IF(COUNTIF(Phrases!$A:$A,$A490)&gt;0,"ok","à faire")</f>
        <v/>
      </c>
      <c r="H490" s="30">
        <f>IF(COUNTIFS(Phrases!$A:$A,$A490,Phrases!$I:$I,"&lt;&gt;")&gt;0,"ok","à faire")</f>
        <v/>
      </c>
      <c r="I490" s="30">
        <f>IF(COUNTIF(Synonymes!$A:$A,$A490)&gt;0,"ok","")</f>
        <v/>
      </c>
      <c r="J490" s="30">
        <f>COUNTIF(E490:H490,"à faire")</f>
        <v/>
      </c>
    </row>
    <row r="491">
      <c r="A491" s="30" t="inlineStr">
        <is>
          <t>magasin</t>
        </is>
      </c>
      <c r="B491" s="30">
        <f>IFERROR(INDEX(Mots!$B:$B,MATCH($A491,Mots!$A:$A,0)),"introuvable")</f>
        <v/>
      </c>
      <c r="C491" s="30">
        <f>IFERROR(INDEX(Mots!$S:$S,MATCH($A491,Mots!$A:$A,0)),"")</f>
        <v/>
      </c>
      <c r="D491" s="30">
        <f>IFERROR(COUNTA(INDEX(Mots!$J:$J,MATCH($A491,Mots!$A:$A,0)):INDEX(Mots!$P:$P,MATCH($A491,Mots!$A:$A,0))),0)</f>
        <v/>
      </c>
      <c r="E491" s="30">
        <f>IF(COUNTIF(Classement!$A:$A,$A491)&gt;0,"ok","à faire")</f>
        <v/>
      </c>
      <c r="F491" s="30">
        <f>IF(COUNTIF(Tags!$A:$A,$A491)&gt;0,"ok","à faire")</f>
        <v/>
      </c>
      <c r="G491" s="30">
        <f>IF(COUNTIF(Phrases!$A:$A,$A491)&gt;0,"ok","à faire")</f>
        <v/>
      </c>
      <c r="H491" s="30">
        <f>IF(COUNTIFS(Phrases!$A:$A,$A491,Phrases!$I:$I,"&lt;&gt;")&gt;0,"ok","à faire")</f>
        <v/>
      </c>
      <c r="I491" s="30">
        <f>IF(COUNTIF(Synonymes!$A:$A,$A491)&gt;0,"ok","")</f>
        <v/>
      </c>
      <c r="J491" s="30">
        <f>COUNTIF(E491:H491,"à faire")</f>
        <v/>
      </c>
    </row>
    <row r="492">
      <c r="A492" s="30" t="inlineStr">
        <is>
          <t>marche</t>
        </is>
      </c>
      <c r="B492" s="30">
        <f>IFERROR(INDEX(Mots!$B:$B,MATCH($A492,Mots!$A:$A,0)),"introuvable")</f>
        <v/>
      </c>
      <c r="C492" s="30">
        <f>IFERROR(INDEX(Mots!$S:$S,MATCH($A492,Mots!$A:$A,0)),"")</f>
        <v/>
      </c>
      <c r="D492" s="30">
        <f>IFERROR(COUNTA(INDEX(Mots!$J:$J,MATCH($A492,Mots!$A:$A,0)):INDEX(Mots!$P:$P,MATCH($A492,Mots!$A:$A,0))),0)</f>
        <v/>
      </c>
      <c r="E492" s="30">
        <f>IF(COUNTIF(Classement!$A:$A,$A492)&gt;0,"ok","à faire")</f>
        <v/>
      </c>
      <c r="F492" s="30">
        <f>IF(COUNTIF(Tags!$A:$A,$A492)&gt;0,"ok","à faire")</f>
        <v/>
      </c>
      <c r="G492" s="30">
        <f>IF(COUNTIF(Phrases!$A:$A,$A492)&gt;0,"ok","à faire")</f>
        <v/>
      </c>
      <c r="H492" s="30">
        <f>IF(COUNTIFS(Phrases!$A:$A,$A492,Phrases!$I:$I,"&lt;&gt;")&gt;0,"ok","à faire")</f>
        <v/>
      </c>
      <c r="I492" s="30">
        <f>IF(COUNTIF(Synonymes!$A:$A,$A492)&gt;0,"ok","")</f>
        <v/>
      </c>
      <c r="J492" s="30">
        <f>COUNTIF(E492:H492,"à faire")</f>
        <v/>
      </c>
    </row>
    <row r="493">
      <c r="A493" s="30" t="inlineStr">
        <is>
          <t>restaurant</t>
        </is>
      </c>
      <c r="B493" s="30">
        <f>IFERROR(INDEX(Mots!$B:$B,MATCH($A493,Mots!$A:$A,0)),"introuvable")</f>
        <v/>
      </c>
      <c r="C493" s="30">
        <f>IFERROR(INDEX(Mots!$S:$S,MATCH($A493,Mots!$A:$A,0)),"")</f>
        <v/>
      </c>
      <c r="D493" s="30">
        <f>IFERROR(COUNTA(INDEX(Mots!$J:$J,MATCH($A493,Mots!$A:$A,0)):INDEX(Mots!$P:$P,MATCH($A493,Mots!$A:$A,0))),0)</f>
        <v/>
      </c>
      <c r="E493" s="30">
        <f>IF(COUNTIF(Classement!$A:$A,$A493)&gt;0,"ok","à faire")</f>
        <v/>
      </c>
      <c r="F493" s="30">
        <f>IF(COUNTIF(Tags!$A:$A,$A493)&gt;0,"ok","à faire")</f>
        <v/>
      </c>
      <c r="G493" s="30">
        <f>IF(COUNTIF(Phrases!$A:$A,$A493)&gt;0,"ok","à faire")</f>
        <v/>
      </c>
      <c r="H493" s="30">
        <f>IF(COUNTIFS(Phrases!$A:$A,$A493,Phrases!$I:$I,"&lt;&gt;")&gt;0,"ok","à faire")</f>
        <v/>
      </c>
      <c r="I493" s="30">
        <f>IF(COUNTIF(Synonymes!$A:$A,$A493)&gt;0,"ok","")</f>
        <v/>
      </c>
      <c r="J493" s="30">
        <f>COUNTIF(E493:H493,"à faire")</f>
        <v/>
      </c>
    </row>
    <row r="494">
      <c r="A494" s="30" t="inlineStr">
        <is>
          <t>hotel</t>
        </is>
      </c>
      <c r="B494" s="30">
        <f>IFERROR(INDEX(Mots!$B:$B,MATCH($A494,Mots!$A:$A,0)),"introuvable")</f>
        <v/>
      </c>
      <c r="C494" s="30">
        <f>IFERROR(INDEX(Mots!$S:$S,MATCH($A494,Mots!$A:$A,0)),"")</f>
        <v/>
      </c>
      <c r="D494" s="30">
        <f>IFERROR(COUNTA(INDEX(Mots!$J:$J,MATCH($A494,Mots!$A:$A,0)):INDEX(Mots!$P:$P,MATCH($A494,Mots!$A:$A,0))),0)</f>
        <v/>
      </c>
      <c r="E494" s="30">
        <f>IF(COUNTIF(Classement!$A:$A,$A494)&gt;0,"ok","à faire")</f>
        <v/>
      </c>
      <c r="F494" s="30">
        <f>IF(COUNTIF(Tags!$A:$A,$A494)&gt;0,"ok","à faire")</f>
        <v/>
      </c>
      <c r="G494" s="30">
        <f>IF(COUNTIF(Phrases!$A:$A,$A494)&gt;0,"ok","à faire")</f>
        <v/>
      </c>
      <c r="H494" s="30">
        <f>IF(COUNTIFS(Phrases!$A:$A,$A494,Phrases!$I:$I,"&lt;&gt;")&gt;0,"ok","à faire")</f>
        <v/>
      </c>
      <c r="I494" s="30">
        <f>IF(COUNTIF(Synonymes!$A:$A,$A494)&gt;0,"ok","")</f>
        <v/>
      </c>
      <c r="J494" s="30">
        <f>COUNTIF(E494:H494,"à faire")</f>
        <v/>
      </c>
    </row>
    <row r="495">
      <c r="A495" s="30" t="inlineStr">
        <is>
          <t>salle_de_bain</t>
        </is>
      </c>
      <c r="B495" s="30">
        <f>IFERROR(INDEX(Mots!$B:$B,MATCH($A495,Mots!$A:$A,0)),"introuvable")</f>
        <v/>
      </c>
      <c r="C495" s="30">
        <f>IFERROR(INDEX(Mots!$S:$S,MATCH($A495,Mots!$A:$A,0)),"")</f>
        <v/>
      </c>
      <c r="D495" s="30">
        <f>IFERROR(COUNTA(INDEX(Mots!$J:$J,MATCH($A495,Mots!$A:$A,0)):INDEX(Mots!$P:$P,MATCH($A495,Mots!$A:$A,0))),0)</f>
        <v/>
      </c>
      <c r="E495" s="30">
        <f>IF(COUNTIF(Classement!$A:$A,$A495)&gt;0,"ok","à faire")</f>
        <v/>
      </c>
      <c r="F495" s="30">
        <f>IF(COUNTIF(Tags!$A:$A,$A495)&gt;0,"ok","à faire")</f>
        <v/>
      </c>
      <c r="G495" s="30">
        <f>IF(COUNTIF(Phrases!$A:$A,$A495)&gt;0,"ok","à faire")</f>
        <v/>
      </c>
      <c r="H495" s="30">
        <f>IF(COUNTIFS(Phrases!$A:$A,$A495,Phrases!$I:$I,"&lt;&gt;")&gt;0,"ok","à faire")</f>
        <v/>
      </c>
      <c r="I495" s="30">
        <f>IF(COUNTIF(Synonymes!$A:$A,$A495)&gt;0,"ok","")</f>
        <v/>
      </c>
      <c r="J495" s="30">
        <f>COUNTIF(E495:H495,"à faire")</f>
        <v/>
      </c>
    </row>
    <row r="496">
      <c r="A496" s="30" t="inlineStr">
        <is>
          <t>lavabo</t>
        </is>
      </c>
      <c r="B496" s="30">
        <f>IFERROR(INDEX(Mots!$B:$B,MATCH($A496,Mots!$A:$A,0)),"introuvable")</f>
        <v/>
      </c>
      <c r="C496" s="30">
        <f>IFERROR(INDEX(Mots!$S:$S,MATCH($A496,Mots!$A:$A,0)),"")</f>
        <v/>
      </c>
      <c r="D496" s="30">
        <f>IFERROR(COUNTA(INDEX(Mots!$J:$J,MATCH($A496,Mots!$A:$A,0)):INDEX(Mots!$P:$P,MATCH($A496,Mots!$A:$A,0))),0)</f>
        <v/>
      </c>
      <c r="E496" s="30">
        <f>IF(COUNTIF(Classement!$A:$A,$A496)&gt;0,"ok","à faire")</f>
        <v/>
      </c>
      <c r="F496" s="30">
        <f>IF(COUNTIF(Tags!$A:$A,$A496)&gt;0,"ok","à faire")</f>
        <v/>
      </c>
      <c r="G496" s="30">
        <f>IF(COUNTIF(Phrases!$A:$A,$A496)&gt;0,"ok","à faire")</f>
        <v/>
      </c>
      <c r="H496" s="30">
        <f>IF(COUNTIFS(Phrases!$A:$A,$A496,Phrases!$I:$I,"&lt;&gt;")&gt;0,"ok","à faire")</f>
        <v/>
      </c>
      <c r="I496" s="30">
        <f>IF(COUNTIF(Synonymes!$A:$A,$A496)&gt;0,"ok","")</f>
        <v/>
      </c>
      <c r="J496" s="30">
        <f>COUNTIF(E496:H496,"à faire")</f>
        <v/>
      </c>
    </row>
    <row r="497">
      <c r="A497" s="30" t="inlineStr">
        <is>
          <t>savon</t>
        </is>
      </c>
      <c r="B497" s="30">
        <f>IFERROR(INDEX(Mots!$B:$B,MATCH($A497,Mots!$A:$A,0)),"introuvable")</f>
        <v/>
      </c>
      <c r="C497" s="30">
        <f>IFERROR(INDEX(Mots!$S:$S,MATCH($A497,Mots!$A:$A,0)),"")</f>
        <v/>
      </c>
      <c r="D497" s="30">
        <f>IFERROR(COUNTA(INDEX(Mots!$J:$J,MATCH($A497,Mots!$A:$A,0)):INDEX(Mots!$P:$P,MATCH($A497,Mots!$A:$A,0))),0)</f>
        <v/>
      </c>
      <c r="E497" s="30">
        <f>IF(COUNTIF(Classement!$A:$A,$A497)&gt;0,"ok","à faire")</f>
        <v/>
      </c>
      <c r="F497" s="30">
        <f>IF(COUNTIF(Tags!$A:$A,$A497)&gt;0,"ok","à faire")</f>
        <v/>
      </c>
      <c r="G497" s="30">
        <f>IF(COUNTIF(Phrases!$A:$A,$A497)&gt;0,"ok","à faire")</f>
        <v/>
      </c>
      <c r="H497" s="30">
        <f>IF(COUNTIFS(Phrases!$A:$A,$A497,Phrases!$I:$I,"&lt;&gt;")&gt;0,"ok","à faire")</f>
        <v/>
      </c>
      <c r="I497" s="30">
        <f>IF(COUNTIF(Synonymes!$A:$A,$A497)&gt;0,"ok","")</f>
        <v/>
      </c>
      <c r="J497" s="30">
        <f>COUNTIF(E497:H497,"à faire")</f>
        <v/>
      </c>
    </row>
    <row r="498">
      <c r="A498" s="30" t="inlineStr">
        <is>
          <t>miroir</t>
        </is>
      </c>
      <c r="B498" s="30">
        <f>IFERROR(INDEX(Mots!$B:$B,MATCH($A498,Mots!$A:$A,0)),"introuvable")</f>
        <v/>
      </c>
      <c r="C498" s="30">
        <f>IFERROR(INDEX(Mots!$S:$S,MATCH($A498,Mots!$A:$A,0)),"")</f>
        <v/>
      </c>
      <c r="D498" s="30">
        <f>IFERROR(COUNTA(INDEX(Mots!$J:$J,MATCH($A498,Mots!$A:$A,0)):INDEX(Mots!$P:$P,MATCH($A498,Mots!$A:$A,0))),0)</f>
        <v/>
      </c>
      <c r="E498" s="30">
        <f>IF(COUNTIF(Classement!$A:$A,$A498)&gt;0,"ok","à faire")</f>
        <v/>
      </c>
      <c r="F498" s="30">
        <f>IF(COUNTIF(Tags!$A:$A,$A498)&gt;0,"ok","à faire")</f>
        <v/>
      </c>
      <c r="G498" s="30">
        <f>IF(COUNTIF(Phrases!$A:$A,$A498)&gt;0,"ok","à faire")</f>
        <v/>
      </c>
      <c r="H498" s="30">
        <f>IF(COUNTIFS(Phrases!$A:$A,$A498,Phrases!$I:$I,"&lt;&gt;")&gt;0,"ok","à faire")</f>
        <v/>
      </c>
      <c r="I498" s="30">
        <f>IF(COUNTIF(Synonymes!$A:$A,$A498)&gt;0,"ok","")</f>
        <v/>
      </c>
      <c r="J498" s="30">
        <f>COUNTIF(E498:H498,"à faire")</f>
        <v/>
      </c>
    </row>
    <row r="499">
      <c r="A499" s="30" t="inlineStr">
        <is>
          <t>wc</t>
        </is>
      </c>
      <c r="B499" s="30">
        <f>IFERROR(INDEX(Mots!$B:$B,MATCH($A499,Mots!$A:$A,0)),"introuvable")</f>
        <v/>
      </c>
      <c r="C499" s="30">
        <f>IFERROR(INDEX(Mots!$S:$S,MATCH($A499,Mots!$A:$A,0)),"")</f>
        <v/>
      </c>
      <c r="D499" s="30">
        <f>IFERROR(COUNTA(INDEX(Mots!$J:$J,MATCH($A499,Mots!$A:$A,0)):INDEX(Mots!$P:$P,MATCH($A499,Mots!$A:$A,0))),0)</f>
        <v/>
      </c>
      <c r="E499" s="30">
        <f>IF(COUNTIF(Classement!$A:$A,$A499)&gt;0,"ok","à faire")</f>
        <v/>
      </c>
      <c r="F499" s="30">
        <f>IF(COUNTIF(Tags!$A:$A,$A499)&gt;0,"ok","à faire")</f>
        <v/>
      </c>
      <c r="G499" s="30">
        <f>IF(COUNTIF(Phrases!$A:$A,$A499)&gt;0,"ok","à faire")</f>
        <v/>
      </c>
      <c r="H499" s="30">
        <f>IF(COUNTIFS(Phrases!$A:$A,$A499,Phrases!$I:$I,"&lt;&gt;")&gt;0,"ok","à faire")</f>
        <v/>
      </c>
      <c r="I499" s="30">
        <f>IF(COUNTIF(Synonymes!$A:$A,$A499)&gt;0,"ok","")</f>
        <v/>
      </c>
      <c r="J499" s="30">
        <f>COUNTIF(E499:H499,"à faire")</f>
        <v/>
      </c>
    </row>
    <row r="500">
      <c r="A500" s="30" t="inlineStr">
        <is>
          <t>douche</t>
        </is>
      </c>
      <c r="B500" s="30">
        <f>IFERROR(INDEX(Mots!$B:$B,MATCH($A500,Mots!$A:$A,0)),"introuvable")</f>
        <v/>
      </c>
      <c r="C500" s="30">
        <f>IFERROR(INDEX(Mots!$S:$S,MATCH($A500,Mots!$A:$A,0)),"")</f>
        <v/>
      </c>
      <c r="D500" s="30">
        <f>IFERROR(COUNTA(INDEX(Mots!$J:$J,MATCH($A500,Mots!$A:$A,0)):INDEX(Mots!$P:$P,MATCH($A500,Mots!$A:$A,0))),0)</f>
        <v/>
      </c>
      <c r="E500" s="30">
        <f>IF(COUNTIF(Classement!$A:$A,$A500)&gt;0,"ok","à faire")</f>
        <v/>
      </c>
      <c r="F500" s="30">
        <f>IF(COUNTIF(Tags!$A:$A,$A500)&gt;0,"ok","à faire")</f>
        <v/>
      </c>
      <c r="G500" s="30">
        <f>IF(COUNTIF(Phrases!$A:$A,$A500)&gt;0,"ok","à faire")</f>
        <v/>
      </c>
      <c r="H500" s="30">
        <f>IF(COUNTIFS(Phrases!$A:$A,$A500,Phrases!$I:$I,"&lt;&gt;")&gt;0,"ok","à faire")</f>
        <v/>
      </c>
      <c r="I500" s="30">
        <f>IF(COUNTIF(Synonymes!$A:$A,$A500)&gt;0,"ok","")</f>
        <v/>
      </c>
      <c r="J500" s="30">
        <f>COUNTIF(E500:H500,"à faire")</f>
        <v/>
      </c>
    </row>
    <row r="501">
      <c r="A501" s="30" t="inlineStr">
        <is>
          <t>baignoire</t>
        </is>
      </c>
      <c r="B501" s="30">
        <f>IFERROR(INDEX(Mots!$B:$B,MATCH($A501,Mots!$A:$A,0)),"introuvable")</f>
        <v/>
      </c>
      <c r="C501" s="30">
        <f>IFERROR(INDEX(Mots!$S:$S,MATCH($A501,Mots!$A:$A,0)),"")</f>
        <v/>
      </c>
      <c r="D501" s="30">
        <f>IFERROR(COUNTA(INDEX(Mots!$J:$J,MATCH($A501,Mots!$A:$A,0)):INDEX(Mots!$P:$P,MATCH($A501,Mots!$A:$A,0))),0)</f>
        <v/>
      </c>
      <c r="E501" s="30">
        <f>IF(COUNTIF(Classement!$A:$A,$A501)&gt;0,"ok","à faire")</f>
        <v/>
      </c>
      <c r="F501" s="30">
        <f>IF(COUNTIF(Tags!$A:$A,$A501)&gt;0,"ok","à faire")</f>
        <v/>
      </c>
      <c r="G501" s="30">
        <f>IF(COUNTIF(Phrases!$A:$A,$A501)&gt;0,"ok","à faire")</f>
        <v/>
      </c>
      <c r="H501" s="30">
        <f>IF(COUNTIFS(Phrases!$A:$A,$A501,Phrases!$I:$I,"&lt;&gt;")&gt;0,"ok","à faire")</f>
        <v/>
      </c>
      <c r="I501" s="30">
        <f>IF(COUNTIF(Synonymes!$A:$A,$A501)&gt;0,"ok","")</f>
        <v/>
      </c>
      <c r="J501" s="30">
        <f>COUNTIF(E501:H501,"à faire")</f>
        <v/>
      </c>
    </row>
    <row r="502">
      <c r="A502" s="30" t="inlineStr">
        <is>
          <t>rasoir</t>
        </is>
      </c>
      <c r="B502" s="30">
        <f>IFERROR(INDEX(Mots!$B:$B,MATCH($A502,Mots!$A:$A,0)),"introuvable")</f>
        <v/>
      </c>
      <c r="C502" s="30">
        <f>IFERROR(INDEX(Mots!$S:$S,MATCH($A502,Mots!$A:$A,0)),"")</f>
        <v/>
      </c>
      <c r="D502" s="30">
        <f>IFERROR(COUNTA(INDEX(Mots!$J:$J,MATCH($A502,Mots!$A:$A,0)):INDEX(Mots!$P:$P,MATCH($A502,Mots!$A:$A,0))),0)</f>
        <v/>
      </c>
      <c r="E502" s="30">
        <f>IF(COUNTIF(Classement!$A:$A,$A502)&gt;0,"ok","à faire")</f>
        <v/>
      </c>
      <c r="F502" s="30">
        <f>IF(COUNTIF(Tags!$A:$A,$A502)&gt;0,"ok","à faire")</f>
        <v/>
      </c>
      <c r="G502" s="30">
        <f>IF(COUNTIF(Phrases!$A:$A,$A502)&gt;0,"ok","à faire")</f>
        <v/>
      </c>
      <c r="H502" s="30">
        <f>IF(COUNTIFS(Phrases!$A:$A,$A502,Phrases!$I:$I,"&lt;&gt;")&gt;0,"ok","à faire")</f>
        <v/>
      </c>
      <c r="I502" s="30">
        <f>IF(COUNTIF(Synonymes!$A:$A,$A502)&gt;0,"ok","")</f>
        <v/>
      </c>
      <c r="J502" s="30">
        <f>COUNTIF(E502:H502,"à faire")</f>
        <v/>
      </c>
    </row>
    <row r="503">
      <c r="A503" s="30" t="inlineStr">
        <is>
          <t>deodorant</t>
        </is>
      </c>
      <c r="B503" s="30">
        <f>IFERROR(INDEX(Mots!$B:$B,MATCH($A503,Mots!$A:$A,0)),"introuvable")</f>
        <v/>
      </c>
      <c r="C503" s="30">
        <f>IFERROR(INDEX(Mots!$S:$S,MATCH($A503,Mots!$A:$A,0)),"")</f>
        <v/>
      </c>
      <c r="D503" s="30">
        <f>IFERROR(COUNTA(INDEX(Mots!$J:$J,MATCH($A503,Mots!$A:$A,0)):INDEX(Mots!$P:$P,MATCH($A503,Mots!$A:$A,0))),0)</f>
        <v/>
      </c>
      <c r="E503" s="30">
        <f>IF(COUNTIF(Classement!$A:$A,$A503)&gt;0,"ok","à faire")</f>
        <v/>
      </c>
      <c r="F503" s="30">
        <f>IF(COUNTIF(Tags!$A:$A,$A503)&gt;0,"ok","à faire")</f>
        <v/>
      </c>
      <c r="G503" s="30">
        <f>IF(COUNTIF(Phrases!$A:$A,$A503)&gt;0,"ok","à faire")</f>
        <v/>
      </c>
      <c r="H503" s="30">
        <f>IF(COUNTIFS(Phrases!$A:$A,$A503,Phrases!$I:$I,"&lt;&gt;")&gt;0,"ok","à faire")</f>
        <v/>
      </c>
      <c r="I503" s="30">
        <f>IF(COUNTIF(Synonymes!$A:$A,$A503)&gt;0,"ok","")</f>
        <v/>
      </c>
      <c r="J503" s="30">
        <f>COUNTIF(E503:H503,"à faire")</f>
        <v/>
      </c>
    </row>
    <row r="504">
      <c r="A504" s="30" t="inlineStr">
        <is>
          <t>dentifrice</t>
        </is>
      </c>
      <c r="B504" s="30">
        <f>IFERROR(INDEX(Mots!$B:$B,MATCH($A504,Mots!$A:$A,0)),"introuvable")</f>
        <v/>
      </c>
      <c r="C504" s="30">
        <f>IFERROR(INDEX(Mots!$S:$S,MATCH($A504,Mots!$A:$A,0)),"")</f>
        <v/>
      </c>
      <c r="D504" s="30">
        <f>IFERROR(COUNTA(INDEX(Mots!$J:$J,MATCH($A504,Mots!$A:$A,0)):INDEX(Mots!$P:$P,MATCH($A504,Mots!$A:$A,0))),0)</f>
        <v/>
      </c>
      <c r="E504" s="30">
        <f>IF(COUNTIF(Classement!$A:$A,$A504)&gt;0,"ok","à faire")</f>
        <v/>
      </c>
      <c r="F504" s="30">
        <f>IF(COUNTIF(Tags!$A:$A,$A504)&gt;0,"ok","à faire")</f>
        <v/>
      </c>
      <c r="G504" s="30">
        <f>IF(COUNTIF(Phrases!$A:$A,$A504)&gt;0,"ok","à faire")</f>
        <v/>
      </c>
      <c r="H504" s="30">
        <f>IF(COUNTIFS(Phrases!$A:$A,$A504,Phrases!$I:$I,"&lt;&gt;")&gt;0,"ok","à faire")</f>
        <v/>
      </c>
      <c r="I504" s="30">
        <f>IF(COUNTIF(Synonymes!$A:$A,$A504)&gt;0,"ok","")</f>
        <v/>
      </c>
      <c r="J504" s="30">
        <f>COUNTIF(E504:H504,"à faire")</f>
        <v/>
      </c>
    </row>
    <row r="505">
      <c r="A505" s="30" t="inlineStr">
        <is>
          <t>brosse_a_dents</t>
        </is>
      </c>
      <c r="B505" s="30">
        <f>IFERROR(INDEX(Mots!$B:$B,MATCH($A505,Mots!$A:$A,0)),"introuvable")</f>
        <v/>
      </c>
      <c r="C505" s="30">
        <f>IFERROR(INDEX(Mots!$S:$S,MATCH($A505,Mots!$A:$A,0)),"")</f>
        <v/>
      </c>
      <c r="D505" s="30">
        <f>IFERROR(COUNTA(INDEX(Mots!$J:$J,MATCH($A505,Mots!$A:$A,0)):INDEX(Mots!$P:$P,MATCH($A505,Mots!$A:$A,0))),0)</f>
        <v/>
      </c>
      <c r="E505" s="30">
        <f>IF(COUNTIF(Classement!$A:$A,$A505)&gt;0,"ok","à faire")</f>
        <v/>
      </c>
      <c r="F505" s="30">
        <f>IF(COUNTIF(Tags!$A:$A,$A505)&gt;0,"ok","à faire")</f>
        <v/>
      </c>
      <c r="G505" s="30">
        <f>IF(COUNTIF(Phrases!$A:$A,$A505)&gt;0,"ok","à faire")</f>
        <v/>
      </c>
      <c r="H505" s="30">
        <f>IF(COUNTIFS(Phrases!$A:$A,$A505,Phrases!$I:$I,"&lt;&gt;")&gt;0,"ok","à faire")</f>
        <v/>
      </c>
      <c r="I505" s="30">
        <f>IF(COUNTIF(Synonymes!$A:$A,$A505)&gt;0,"ok","")</f>
        <v/>
      </c>
      <c r="J505" s="30">
        <f>COUNTIF(E505:H505,"à faire")</f>
        <v/>
      </c>
    </row>
    <row r="506">
      <c r="A506" s="30" t="inlineStr">
        <is>
          <t>branche</t>
        </is>
      </c>
      <c r="B506" s="30">
        <f>IFERROR(INDEX(Mots!$B:$B,MATCH($A506,Mots!$A:$A,0)),"introuvable")</f>
        <v/>
      </c>
      <c r="C506" s="30">
        <f>IFERROR(INDEX(Mots!$S:$S,MATCH($A506,Mots!$A:$A,0)),"")</f>
        <v/>
      </c>
      <c r="D506" s="30">
        <f>IFERROR(COUNTA(INDEX(Mots!$J:$J,MATCH($A506,Mots!$A:$A,0)):INDEX(Mots!$P:$P,MATCH($A506,Mots!$A:$A,0))),0)</f>
        <v/>
      </c>
      <c r="E506" s="30">
        <f>IF(COUNTIF(Classement!$A:$A,$A506)&gt;0,"ok","à faire")</f>
        <v/>
      </c>
      <c r="F506" s="30">
        <f>IF(COUNTIF(Tags!$A:$A,$A506)&gt;0,"ok","à faire")</f>
        <v/>
      </c>
      <c r="G506" s="30">
        <f>IF(COUNTIF(Phrases!$A:$A,$A506)&gt;0,"ok","à faire")</f>
        <v/>
      </c>
      <c r="H506" s="30">
        <f>IF(COUNTIFS(Phrases!$A:$A,$A506,Phrases!$I:$I,"&lt;&gt;")&gt;0,"ok","à faire")</f>
        <v/>
      </c>
      <c r="I506" s="30">
        <f>IF(COUNTIF(Synonymes!$A:$A,$A506)&gt;0,"ok","")</f>
        <v/>
      </c>
      <c r="J506" s="30">
        <f>COUNTIF(E506:H506,"à faire")</f>
        <v/>
      </c>
    </row>
    <row r="507">
      <c r="A507" s="30" t="inlineStr">
        <is>
          <t>fleur</t>
        </is>
      </c>
      <c r="B507" s="30">
        <f>IFERROR(INDEX(Mots!$B:$B,MATCH($A507,Mots!$A:$A,0)),"introuvable")</f>
        <v/>
      </c>
      <c r="C507" s="30">
        <f>IFERROR(INDEX(Mots!$S:$S,MATCH($A507,Mots!$A:$A,0)),"")</f>
        <v/>
      </c>
      <c r="D507" s="30">
        <f>IFERROR(COUNTA(INDEX(Mots!$J:$J,MATCH($A507,Mots!$A:$A,0)):INDEX(Mots!$P:$P,MATCH($A507,Mots!$A:$A,0))),0)</f>
        <v/>
      </c>
      <c r="E507" s="30">
        <f>IF(COUNTIF(Classement!$A:$A,$A507)&gt;0,"ok","à faire")</f>
        <v/>
      </c>
      <c r="F507" s="30">
        <f>IF(COUNTIF(Tags!$A:$A,$A507)&gt;0,"ok","à faire")</f>
        <v/>
      </c>
      <c r="G507" s="30">
        <f>IF(COUNTIF(Phrases!$A:$A,$A507)&gt;0,"ok","à faire")</f>
        <v/>
      </c>
      <c r="H507" s="30">
        <f>IF(COUNTIFS(Phrases!$A:$A,$A507,Phrases!$I:$I,"&lt;&gt;")&gt;0,"ok","à faire")</f>
        <v/>
      </c>
      <c r="I507" s="30">
        <f>IF(COUNTIF(Synonymes!$A:$A,$A507)&gt;0,"ok","")</f>
        <v/>
      </c>
      <c r="J507" s="30">
        <f>COUNTIF(E507:H507,"à faire")</f>
        <v/>
      </c>
    </row>
    <row r="508">
      <c r="A508" s="30" t="inlineStr">
        <is>
          <t>plante</t>
        </is>
      </c>
      <c r="B508" s="30">
        <f>IFERROR(INDEX(Mots!$B:$B,MATCH($A508,Mots!$A:$A,0)),"introuvable")</f>
        <v/>
      </c>
      <c r="C508" s="30">
        <f>IFERROR(INDEX(Mots!$S:$S,MATCH($A508,Mots!$A:$A,0)),"")</f>
        <v/>
      </c>
      <c r="D508" s="30">
        <f>IFERROR(COUNTA(INDEX(Mots!$J:$J,MATCH($A508,Mots!$A:$A,0)):INDEX(Mots!$P:$P,MATCH($A508,Mots!$A:$A,0))),0)</f>
        <v/>
      </c>
      <c r="E508" s="30">
        <f>IF(COUNTIF(Classement!$A:$A,$A508)&gt;0,"ok","à faire")</f>
        <v/>
      </c>
      <c r="F508" s="30">
        <f>IF(COUNTIF(Tags!$A:$A,$A508)&gt;0,"ok","à faire")</f>
        <v/>
      </c>
      <c r="G508" s="30">
        <f>IF(COUNTIF(Phrases!$A:$A,$A508)&gt;0,"ok","à faire")</f>
        <v/>
      </c>
      <c r="H508" s="30">
        <f>IF(COUNTIFS(Phrases!$A:$A,$A508,Phrases!$I:$I,"&lt;&gt;")&gt;0,"ok","à faire")</f>
        <v/>
      </c>
      <c r="I508" s="30">
        <f>IF(COUNTIF(Synonymes!$A:$A,$A508)&gt;0,"ok","")</f>
        <v/>
      </c>
      <c r="J508" s="30">
        <f>COUNTIF(E508:H508,"à faire")</f>
        <v/>
      </c>
    </row>
    <row r="509">
      <c r="A509" s="30" t="inlineStr">
        <is>
          <t>arbre</t>
        </is>
      </c>
      <c r="B509" s="30">
        <f>IFERROR(INDEX(Mots!$B:$B,MATCH($A509,Mots!$A:$A,0)),"introuvable")</f>
        <v/>
      </c>
      <c r="C509" s="30">
        <f>IFERROR(INDEX(Mots!$S:$S,MATCH($A509,Mots!$A:$A,0)),"")</f>
        <v/>
      </c>
      <c r="D509" s="30">
        <f>IFERROR(COUNTA(INDEX(Mots!$J:$J,MATCH($A509,Mots!$A:$A,0)):INDEX(Mots!$P:$P,MATCH($A509,Mots!$A:$A,0))),0)</f>
        <v/>
      </c>
      <c r="E509" s="30">
        <f>IF(COUNTIF(Classement!$A:$A,$A509)&gt;0,"ok","à faire")</f>
        <v/>
      </c>
      <c r="F509" s="30">
        <f>IF(COUNTIF(Tags!$A:$A,$A509)&gt;0,"ok","à faire")</f>
        <v/>
      </c>
      <c r="G509" s="30">
        <f>IF(COUNTIF(Phrases!$A:$A,$A509)&gt;0,"ok","à faire")</f>
        <v/>
      </c>
      <c r="H509" s="30">
        <f>IF(COUNTIFS(Phrases!$A:$A,$A509,Phrases!$I:$I,"&lt;&gt;")&gt;0,"ok","à faire")</f>
        <v/>
      </c>
      <c r="I509" s="30">
        <f>IF(COUNTIF(Synonymes!$A:$A,$A509)&gt;0,"ok","")</f>
        <v/>
      </c>
      <c r="J509" s="30">
        <f>COUNTIF(E509:H509,"à faire")</f>
        <v/>
      </c>
    </row>
    <row r="510">
      <c r="A510" s="30" t="inlineStr">
        <is>
          <t>feuilles</t>
        </is>
      </c>
      <c r="B510" s="30">
        <f>IFERROR(INDEX(Mots!$B:$B,MATCH($A510,Mots!$A:$A,0)),"introuvable")</f>
        <v/>
      </c>
      <c r="C510" s="30">
        <f>IFERROR(INDEX(Mots!$S:$S,MATCH($A510,Mots!$A:$A,0)),"")</f>
        <v/>
      </c>
      <c r="D510" s="30">
        <f>IFERROR(COUNTA(INDEX(Mots!$J:$J,MATCH($A510,Mots!$A:$A,0)):INDEX(Mots!$P:$P,MATCH($A510,Mots!$A:$A,0))),0)</f>
        <v/>
      </c>
      <c r="E510" s="30">
        <f>IF(COUNTIF(Classement!$A:$A,$A510)&gt;0,"ok","à faire")</f>
        <v/>
      </c>
      <c r="F510" s="30">
        <f>IF(COUNTIF(Tags!$A:$A,$A510)&gt;0,"ok","à faire")</f>
        <v/>
      </c>
      <c r="G510" s="30">
        <f>IF(COUNTIF(Phrases!$A:$A,$A510)&gt;0,"ok","à faire")</f>
        <v/>
      </c>
      <c r="H510" s="30">
        <f>IF(COUNTIFS(Phrases!$A:$A,$A510,Phrases!$I:$I,"&lt;&gt;")&gt;0,"ok","à faire")</f>
        <v/>
      </c>
      <c r="I510" s="30">
        <f>IF(COUNTIF(Synonymes!$A:$A,$A510)&gt;0,"ok","")</f>
        <v/>
      </c>
      <c r="J510" s="30">
        <f>COUNTIF(E510:H510,"à faire")</f>
        <v/>
      </c>
    </row>
    <row r="511">
      <c r="A511" s="30" t="inlineStr">
        <is>
          <t>herbe</t>
        </is>
      </c>
      <c r="B511" s="30">
        <f>IFERROR(INDEX(Mots!$B:$B,MATCH($A511,Mots!$A:$A,0)),"introuvable")</f>
        <v/>
      </c>
      <c r="C511" s="30">
        <f>IFERROR(INDEX(Mots!$S:$S,MATCH($A511,Mots!$A:$A,0)),"")</f>
        <v/>
      </c>
      <c r="D511" s="30">
        <f>IFERROR(COUNTA(INDEX(Mots!$J:$J,MATCH($A511,Mots!$A:$A,0)):INDEX(Mots!$P:$P,MATCH($A511,Mots!$A:$A,0))),0)</f>
        <v/>
      </c>
      <c r="E511" s="30">
        <f>IF(COUNTIF(Classement!$A:$A,$A511)&gt;0,"ok","à faire")</f>
        <v/>
      </c>
      <c r="F511" s="30">
        <f>IF(COUNTIF(Tags!$A:$A,$A511)&gt;0,"ok","à faire")</f>
        <v/>
      </c>
      <c r="G511" s="30">
        <f>IF(COUNTIF(Phrases!$A:$A,$A511)&gt;0,"ok","à faire")</f>
        <v/>
      </c>
      <c r="H511" s="30">
        <f>IF(COUNTIFS(Phrases!$A:$A,$A511,Phrases!$I:$I,"&lt;&gt;")&gt;0,"ok","à faire")</f>
        <v/>
      </c>
      <c r="I511" s="30">
        <f>IF(COUNTIF(Synonymes!$A:$A,$A511)&gt;0,"ok","")</f>
        <v/>
      </c>
      <c r="J511" s="30">
        <f>COUNTIF(E511:H511,"à faire")</f>
        <v/>
      </c>
    </row>
    <row r="512">
      <c r="A512" s="30" t="inlineStr">
        <is>
          <t>velo</t>
        </is>
      </c>
      <c r="B512" s="30">
        <f>IFERROR(INDEX(Mots!$B:$B,MATCH($A512,Mots!$A:$A,0)),"introuvable")</f>
        <v/>
      </c>
      <c r="C512" s="30">
        <f>IFERROR(INDEX(Mots!$S:$S,MATCH($A512,Mots!$A:$A,0)),"")</f>
        <v/>
      </c>
      <c r="D512" s="30">
        <f>IFERROR(COUNTA(INDEX(Mots!$J:$J,MATCH($A512,Mots!$A:$A,0)):INDEX(Mots!$P:$P,MATCH($A512,Mots!$A:$A,0))),0)</f>
        <v/>
      </c>
      <c r="E512" s="30">
        <f>IF(COUNTIF(Classement!$A:$A,$A512)&gt;0,"ok","à faire")</f>
        <v/>
      </c>
      <c r="F512" s="30">
        <f>IF(COUNTIF(Tags!$A:$A,$A512)&gt;0,"ok","à faire")</f>
        <v/>
      </c>
      <c r="G512" s="30">
        <f>IF(COUNTIF(Phrases!$A:$A,$A512)&gt;0,"ok","à faire")</f>
        <v/>
      </c>
      <c r="H512" s="30">
        <f>IF(COUNTIFS(Phrases!$A:$A,$A512,Phrases!$I:$I,"&lt;&gt;")&gt;0,"ok","à faire")</f>
        <v/>
      </c>
      <c r="I512" s="30">
        <f>IF(COUNTIF(Synonymes!$A:$A,$A512)&gt;0,"ok","")</f>
        <v/>
      </c>
      <c r="J512" s="30">
        <f>COUNTIF(E512:H512,"à faire")</f>
        <v/>
      </c>
    </row>
    <row r="513">
      <c r="A513" s="30" t="inlineStr">
        <is>
          <t>moto</t>
        </is>
      </c>
      <c r="B513" s="30">
        <f>IFERROR(INDEX(Mots!$B:$B,MATCH($A513,Mots!$A:$A,0)),"introuvable")</f>
        <v/>
      </c>
      <c r="C513" s="30">
        <f>IFERROR(INDEX(Mots!$S:$S,MATCH($A513,Mots!$A:$A,0)),"")</f>
        <v/>
      </c>
      <c r="D513" s="30">
        <f>IFERROR(COUNTA(INDEX(Mots!$J:$J,MATCH($A513,Mots!$A:$A,0)):INDEX(Mots!$P:$P,MATCH($A513,Mots!$A:$A,0))),0)</f>
        <v/>
      </c>
      <c r="E513" s="30">
        <f>IF(COUNTIF(Classement!$A:$A,$A513)&gt;0,"ok","à faire")</f>
        <v/>
      </c>
      <c r="F513" s="30">
        <f>IF(COUNTIF(Tags!$A:$A,$A513)&gt;0,"ok","à faire")</f>
        <v/>
      </c>
      <c r="G513" s="30">
        <f>IF(COUNTIF(Phrases!$A:$A,$A513)&gt;0,"ok","à faire")</f>
        <v/>
      </c>
      <c r="H513" s="30">
        <f>IF(COUNTIFS(Phrases!$A:$A,$A513,Phrases!$I:$I,"&lt;&gt;")&gt;0,"ok","à faire")</f>
        <v/>
      </c>
      <c r="I513" s="30">
        <f>IF(COUNTIF(Synonymes!$A:$A,$A513)&gt;0,"ok","")</f>
        <v/>
      </c>
      <c r="J513" s="30">
        <f>COUNTIF(E513:H513,"à faire")</f>
        <v/>
      </c>
    </row>
    <row r="514">
      <c r="A514" s="30" t="inlineStr">
        <is>
          <t>voiture</t>
        </is>
      </c>
      <c r="B514" s="30">
        <f>IFERROR(INDEX(Mots!$B:$B,MATCH($A514,Mots!$A:$A,0)),"introuvable")</f>
        <v/>
      </c>
      <c r="C514" s="30">
        <f>IFERROR(INDEX(Mots!$S:$S,MATCH($A514,Mots!$A:$A,0)),"")</f>
        <v/>
      </c>
      <c r="D514" s="30">
        <f>IFERROR(COUNTA(INDEX(Mots!$J:$J,MATCH($A514,Mots!$A:$A,0)):INDEX(Mots!$P:$P,MATCH($A514,Mots!$A:$A,0))),0)</f>
        <v/>
      </c>
      <c r="E514" s="30">
        <f>IF(COUNTIF(Classement!$A:$A,$A514)&gt;0,"ok","à faire")</f>
        <v/>
      </c>
      <c r="F514" s="30">
        <f>IF(COUNTIF(Tags!$A:$A,$A514)&gt;0,"ok","à faire")</f>
        <v/>
      </c>
      <c r="G514" s="30">
        <f>IF(COUNTIF(Phrases!$A:$A,$A514)&gt;0,"ok","à faire")</f>
        <v/>
      </c>
      <c r="H514" s="30">
        <f>IF(COUNTIFS(Phrases!$A:$A,$A514,Phrases!$I:$I,"&lt;&gt;")&gt;0,"ok","à faire")</f>
        <v/>
      </c>
      <c r="I514" s="30">
        <f>IF(COUNTIF(Synonymes!$A:$A,$A514)&gt;0,"ok","")</f>
        <v/>
      </c>
      <c r="J514" s="30">
        <f>COUNTIF(E514:H514,"à faire")</f>
        <v/>
      </c>
    </row>
    <row r="515">
      <c r="A515" s="30" t="inlineStr">
        <is>
          <t>pickup</t>
        </is>
      </c>
      <c r="B515" s="30">
        <f>IFERROR(INDEX(Mots!$B:$B,MATCH($A515,Mots!$A:$A,0)),"introuvable")</f>
        <v/>
      </c>
      <c r="C515" s="30">
        <f>IFERROR(INDEX(Mots!$S:$S,MATCH($A515,Mots!$A:$A,0)),"")</f>
        <v/>
      </c>
      <c r="D515" s="30">
        <f>IFERROR(COUNTA(INDEX(Mots!$J:$J,MATCH($A515,Mots!$A:$A,0)):INDEX(Mots!$P:$P,MATCH($A515,Mots!$A:$A,0))),0)</f>
        <v/>
      </c>
      <c r="E515" s="30">
        <f>IF(COUNTIF(Classement!$A:$A,$A515)&gt;0,"ok","à faire")</f>
        <v/>
      </c>
      <c r="F515" s="30">
        <f>IF(COUNTIF(Tags!$A:$A,$A515)&gt;0,"ok","à faire")</f>
        <v/>
      </c>
      <c r="G515" s="30">
        <f>IF(COUNTIF(Phrases!$A:$A,$A515)&gt;0,"ok","à faire")</f>
        <v/>
      </c>
      <c r="H515" s="30">
        <f>IF(COUNTIFS(Phrases!$A:$A,$A515,Phrases!$I:$I,"&lt;&gt;")&gt;0,"ok","à faire")</f>
        <v/>
      </c>
      <c r="I515" s="30">
        <f>IF(COUNTIF(Synonymes!$A:$A,$A515)&gt;0,"ok","")</f>
        <v/>
      </c>
      <c r="J515" s="30">
        <f>COUNTIF(E515:H515,"à faire")</f>
        <v/>
      </c>
    </row>
    <row r="516">
      <c r="A516" s="30" t="inlineStr">
        <is>
          <t>car_postal</t>
        </is>
      </c>
      <c r="B516" s="30">
        <f>IFERROR(INDEX(Mots!$B:$B,MATCH($A516,Mots!$A:$A,0)),"introuvable")</f>
        <v/>
      </c>
      <c r="C516" s="30">
        <f>IFERROR(INDEX(Mots!$S:$S,MATCH($A516,Mots!$A:$A,0)),"")</f>
        <v/>
      </c>
      <c r="D516" s="30">
        <f>IFERROR(COUNTA(INDEX(Mots!$J:$J,MATCH($A516,Mots!$A:$A,0)):INDEX(Mots!$P:$P,MATCH($A516,Mots!$A:$A,0))),0)</f>
        <v/>
      </c>
      <c r="E516" s="30">
        <f>IF(COUNTIF(Classement!$A:$A,$A516)&gt;0,"ok","à faire")</f>
        <v/>
      </c>
      <c r="F516" s="30">
        <f>IF(COUNTIF(Tags!$A:$A,$A516)&gt;0,"ok","à faire")</f>
        <v/>
      </c>
      <c r="G516" s="30">
        <f>IF(COUNTIF(Phrases!$A:$A,$A516)&gt;0,"ok","à faire")</f>
        <v/>
      </c>
      <c r="H516" s="30">
        <f>IF(COUNTIFS(Phrases!$A:$A,$A516,Phrases!$I:$I,"&lt;&gt;")&gt;0,"ok","à faire")</f>
        <v/>
      </c>
      <c r="I516" s="30">
        <f>IF(COUNTIF(Synonymes!$A:$A,$A516)&gt;0,"ok","")</f>
        <v/>
      </c>
      <c r="J516" s="30">
        <f>COUNTIF(E516:H516,"à faire")</f>
        <v/>
      </c>
    </row>
    <row r="517">
      <c r="A517" s="30" t="inlineStr">
        <is>
          <t>camion</t>
        </is>
      </c>
      <c r="B517" s="30">
        <f>IFERROR(INDEX(Mots!$B:$B,MATCH($A517,Mots!$A:$A,0)),"introuvable")</f>
        <v/>
      </c>
      <c r="C517" s="30">
        <f>IFERROR(INDEX(Mots!$S:$S,MATCH($A517,Mots!$A:$A,0)),"")</f>
        <v/>
      </c>
      <c r="D517" s="30">
        <f>IFERROR(COUNTA(INDEX(Mots!$J:$J,MATCH($A517,Mots!$A:$A,0)):INDEX(Mots!$P:$P,MATCH($A517,Mots!$A:$A,0))),0)</f>
        <v/>
      </c>
      <c r="E517" s="30">
        <f>IF(COUNTIF(Classement!$A:$A,$A517)&gt;0,"ok","à faire")</f>
        <v/>
      </c>
      <c r="F517" s="30">
        <f>IF(COUNTIF(Tags!$A:$A,$A517)&gt;0,"ok","à faire")</f>
        <v/>
      </c>
      <c r="G517" s="30">
        <f>IF(COUNTIF(Phrases!$A:$A,$A517)&gt;0,"ok","à faire")</f>
        <v/>
      </c>
      <c r="H517" s="30">
        <f>IF(COUNTIFS(Phrases!$A:$A,$A517,Phrases!$I:$I,"&lt;&gt;")&gt;0,"ok","à faire")</f>
        <v/>
      </c>
      <c r="I517" s="30">
        <f>IF(COUNTIF(Synonymes!$A:$A,$A517)&gt;0,"ok","")</f>
        <v/>
      </c>
      <c r="J517" s="30">
        <f>COUNTIF(E517:H517,"à faire")</f>
        <v/>
      </c>
    </row>
    <row r="518">
      <c r="A518" s="30" t="inlineStr">
        <is>
          <t>tracteur</t>
        </is>
      </c>
      <c r="B518" s="30">
        <f>IFERROR(INDEX(Mots!$B:$B,MATCH($A518,Mots!$A:$A,0)),"introuvable")</f>
        <v/>
      </c>
      <c r="C518" s="30">
        <f>IFERROR(INDEX(Mots!$S:$S,MATCH($A518,Mots!$A:$A,0)),"")</f>
        <v/>
      </c>
      <c r="D518" s="30">
        <f>IFERROR(COUNTA(INDEX(Mots!$J:$J,MATCH($A518,Mots!$A:$A,0)):INDEX(Mots!$P:$P,MATCH($A518,Mots!$A:$A,0))),0)</f>
        <v/>
      </c>
      <c r="E518" s="30">
        <f>IF(COUNTIF(Classement!$A:$A,$A518)&gt;0,"ok","à faire")</f>
        <v/>
      </c>
      <c r="F518" s="30">
        <f>IF(COUNTIF(Tags!$A:$A,$A518)&gt;0,"ok","à faire")</f>
        <v/>
      </c>
      <c r="G518" s="30">
        <f>IF(COUNTIF(Phrases!$A:$A,$A518)&gt;0,"ok","à faire")</f>
        <v/>
      </c>
      <c r="H518" s="30">
        <f>IF(COUNTIFS(Phrases!$A:$A,$A518,Phrases!$I:$I,"&lt;&gt;")&gt;0,"ok","à faire")</f>
        <v/>
      </c>
      <c r="I518" s="30">
        <f>IF(COUNTIF(Synonymes!$A:$A,$A518)&gt;0,"ok","")</f>
        <v/>
      </c>
      <c r="J518" s="30">
        <f>COUNTIF(E518:H518,"à faire")</f>
        <v/>
      </c>
    </row>
    <row r="519">
      <c r="A519" s="30" t="inlineStr">
        <is>
          <t>train</t>
        </is>
      </c>
      <c r="B519" s="30">
        <f>IFERROR(INDEX(Mots!$B:$B,MATCH($A519,Mots!$A:$A,0)),"introuvable")</f>
        <v/>
      </c>
      <c r="C519" s="30">
        <f>IFERROR(INDEX(Mots!$S:$S,MATCH($A519,Mots!$A:$A,0)),"")</f>
        <v/>
      </c>
      <c r="D519" s="30">
        <f>IFERROR(COUNTA(INDEX(Mots!$J:$J,MATCH($A519,Mots!$A:$A,0)):INDEX(Mots!$P:$P,MATCH($A519,Mots!$A:$A,0))),0)</f>
        <v/>
      </c>
      <c r="E519" s="30">
        <f>IF(COUNTIF(Classement!$A:$A,$A519)&gt;0,"ok","à faire")</f>
        <v/>
      </c>
      <c r="F519" s="30">
        <f>IF(COUNTIF(Tags!$A:$A,$A519)&gt;0,"ok","à faire")</f>
        <v/>
      </c>
      <c r="G519" s="30">
        <f>IF(COUNTIF(Phrases!$A:$A,$A519)&gt;0,"ok","à faire")</f>
        <v/>
      </c>
      <c r="H519" s="30">
        <f>IF(COUNTIFS(Phrases!$A:$A,$A519,Phrases!$I:$I,"&lt;&gt;")&gt;0,"ok","à faire")</f>
        <v/>
      </c>
      <c r="I519" s="30">
        <f>IF(COUNTIF(Synonymes!$A:$A,$A519)&gt;0,"ok","")</f>
        <v/>
      </c>
      <c r="J519" s="30">
        <f>COUNTIF(E519:H519,"à faire")</f>
        <v/>
      </c>
    </row>
    <row r="520">
      <c r="A520" s="30" t="inlineStr">
        <is>
          <t>route</t>
        </is>
      </c>
      <c r="B520" s="30">
        <f>IFERROR(INDEX(Mots!$B:$B,MATCH($A520,Mots!$A:$A,0)),"introuvable")</f>
        <v/>
      </c>
      <c r="C520" s="30">
        <f>IFERROR(INDEX(Mots!$S:$S,MATCH($A520,Mots!$A:$A,0)),"")</f>
        <v/>
      </c>
      <c r="D520" s="30">
        <f>IFERROR(COUNTA(INDEX(Mots!$J:$J,MATCH($A520,Mots!$A:$A,0)):INDEX(Mots!$P:$P,MATCH($A520,Mots!$A:$A,0))),0)</f>
        <v/>
      </c>
      <c r="E520" s="30">
        <f>IF(COUNTIF(Classement!$A:$A,$A520)&gt;0,"ok","à faire")</f>
        <v/>
      </c>
      <c r="F520" s="30">
        <f>IF(COUNTIF(Tags!$A:$A,$A520)&gt;0,"ok","à faire")</f>
        <v/>
      </c>
      <c r="G520" s="30">
        <f>IF(COUNTIF(Phrases!$A:$A,$A520)&gt;0,"ok","à faire")</f>
        <v/>
      </c>
      <c r="H520" s="30">
        <f>IF(COUNTIFS(Phrases!$A:$A,$A520,Phrases!$I:$I,"&lt;&gt;")&gt;0,"ok","à faire")</f>
        <v/>
      </c>
      <c r="I520" s="30">
        <f>IF(COUNTIF(Synonymes!$A:$A,$A520)&gt;0,"ok","")</f>
        <v/>
      </c>
      <c r="J520" s="30">
        <f>COUNTIF(E520:H520,"à faire")</f>
        <v/>
      </c>
    </row>
    <row r="521">
      <c r="A521" s="30" t="inlineStr">
        <is>
          <t>feux_circulation</t>
        </is>
      </c>
      <c r="B521" s="30">
        <f>IFERROR(INDEX(Mots!$B:$B,MATCH($A521,Mots!$A:$A,0)),"introuvable")</f>
        <v/>
      </c>
      <c r="C521" s="30">
        <f>IFERROR(INDEX(Mots!$S:$S,MATCH($A521,Mots!$A:$A,0)),"")</f>
        <v/>
      </c>
      <c r="D521" s="30">
        <f>IFERROR(COUNTA(INDEX(Mots!$J:$J,MATCH($A521,Mots!$A:$A,0)):INDEX(Mots!$P:$P,MATCH($A521,Mots!$A:$A,0))),0)</f>
        <v/>
      </c>
      <c r="E521" s="30">
        <f>IF(COUNTIF(Classement!$A:$A,$A521)&gt;0,"ok","à faire")</f>
        <v/>
      </c>
      <c r="F521" s="30">
        <f>IF(COUNTIF(Tags!$A:$A,$A521)&gt;0,"ok","à faire")</f>
        <v/>
      </c>
      <c r="G521" s="30">
        <f>IF(COUNTIF(Phrases!$A:$A,$A521)&gt;0,"ok","à faire")</f>
        <v/>
      </c>
      <c r="H521" s="30">
        <f>IF(COUNTIFS(Phrases!$A:$A,$A521,Phrases!$I:$I,"&lt;&gt;")&gt;0,"ok","à faire")</f>
        <v/>
      </c>
      <c r="I521" s="30">
        <f>IF(COUNTIF(Synonymes!$A:$A,$A521)&gt;0,"ok","")</f>
        <v/>
      </c>
      <c r="J521" s="30">
        <f>COUNTIF(E521:H521,"à faire")</f>
        <v/>
      </c>
    </row>
    <row r="522">
      <c r="A522" s="30" t="inlineStr">
        <is>
          <t>avion</t>
        </is>
      </c>
      <c r="B522" s="30">
        <f>IFERROR(INDEX(Mots!$B:$B,MATCH($A522,Mots!$A:$A,0)),"introuvable")</f>
        <v/>
      </c>
      <c r="C522" s="30">
        <f>IFERROR(INDEX(Mots!$S:$S,MATCH($A522,Mots!$A:$A,0)),"")</f>
        <v/>
      </c>
      <c r="D522" s="30">
        <f>IFERROR(COUNTA(INDEX(Mots!$J:$J,MATCH($A522,Mots!$A:$A,0)):INDEX(Mots!$P:$P,MATCH($A522,Mots!$A:$A,0))),0)</f>
        <v/>
      </c>
      <c r="E522" s="30">
        <f>IF(COUNTIF(Classement!$A:$A,$A522)&gt;0,"ok","à faire")</f>
        <v/>
      </c>
      <c r="F522" s="30">
        <f>IF(COUNTIF(Tags!$A:$A,$A522)&gt;0,"ok","à faire")</f>
        <v/>
      </c>
      <c r="G522" s="30">
        <f>IF(COUNTIF(Phrases!$A:$A,$A522)&gt;0,"ok","à faire")</f>
        <v/>
      </c>
      <c r="H522" s="30">
        <f>IF(COUNTIFS(Phrases!$A:$A,$A522,Phrases!$I:$I,"&lt;&gt;")&gt;0,"ok","à faire")</f>
        <v/>
      </c>
      <c r="I522" s="30">
        <f>IF(COUNTIF(Synonymes!$A:$A,$A522)&gt;0,"ok","")</f>
        <v/>
      </c>
      <c r="J522" s="30">
        <f>COUNTIF(E522:H522,"à faire")</f>
        <v/>
      </c>
    </row>
    <row r="523">
      <c r="A523" s="30" t="inlineStr">
        <is>
          <t>helicoptere</t>
        </is>
      </c>
      <c r="B523" s="30">
        <f>IFERROR(INDEX(Mots!$B:$B,MATCH($A523,Mots!$A:$A,0)),"introuvable")</f>
        <v/>
      </c>
      <c r="C523" s="30">
        <f>IFERROR(INDEX(Mots!$S:$S,MATCH($A523,Mots!$A:$A,0)),"")</f>
        <v/>
      </c>
      <c r="D523" s="30">
        <f>IFERROR(COUNTA(INDEX(Mots!$J:$J,MATCH($A523,Mots!$A:$A,0)):INDEX(Mots!$P:$P,MATCH($A523,Mots!$A:$A,0))),0)</f>
        <v/>
      </c>
      <c r="E523" s="30">
        <f>IF(COUNTIF(Classement!$A:$A,$A523)&gt;0,"ok","à faire")</f>
        <v/>
      </c>
      <c r="F523" s="30">
        <f>IF(COUNTIF(Tags!$A:$A,$A523)&gt;0,"ok","à faire")</f>
        <v/>
      </c>
      <c r="G523" s="30">
        <f>IF(COUNTIF(Phrases!$A:$A,$A523)&gt;0,"ok","à faire")</f>
        <v/>
      </c>
      <c r="H523" s="30">
        <f>IF(COUNTIFS(Phrases!$A:$A,$A523,Phrases!$I:$I,"&lt;&gt;")&gt;0,"ok","à faire")</f>
        <v/>
      </c>
      <c r="I523" s="30">
        <f>IF(COUNTIF(Synonymes!$A:$A,$A523)&gt;0,"ok","")</f>
        <v/>
      </c>
      <c r="J523" s="30">
        <f>COUNTIF(E523:H523,"à faire")</f>
        <v/>
      </c>
    </row>
    <row r="524">
      <c r="A524" s="30" t="inlineStr">
        <is>
          <t>bateau</t>
        </is>
      </c>
      <c r="B524" s="30">
        <f>IFERROR(INDEX(Mots!$B:$B,MATCH($A524,Mots!$A:$A,0)),"introuvable")</f>
        <v/>
      </c>
      <c r="C524" s="30">
        <f>IFERROR(INDEX(Mots!$S:$S,MATCH($A524,Mots!$A:$A,0)),"")</f>
        <v/>
      </c>
      <c r="D524" s="30">
        <f>IFERROR(COUNTA(INDEX(Mots!$J:$J,MATCH($A524,Mots!$A:$A,0)):INDEX(Mots!$P:$P,MATCH($A524,Mots!$A:$A,0))),0)</f>
        <v/>
      </c>
      <c r="E524" s="30">
        <f>IF(COUNTIF(Classement!$A:$A,$A524)&gt;0,"ok","à faire")</f>
        <v/>
      </c>
      <c r="F524" s="30">
        <f>IF(COUNTIF(Tags!$A:$A,$A524)&gt;0,"ok","à faire")</f>
        <v/>
      </c>
      <c r="G524" s="30">
        <f>IF(COUNTIF(Phrases!$A:$A,$A524)&gt;0,"ok","à faire")</f>
        <v/>
      </c>
      <c r="H524" s="30">
        <f>IF(COUNTIFS(Phrases!$A:$A,$A524,Phrases!$I:$I,"&lt;&gt;")&gt;0,"ok","à faire")</f>
        <v/>
      </c>
      <c r="I524" s="30">
        <f>IF(COUNTIF(Synonymes!$A:$A,$A524)&gt;0,"ok","")</f>
        <v/>
      </c>
      <c r="J524" s="30">
        <f>COUNTIF(E524:H524,"à faire")</f>
        <v/>
      </c>
    </row>
    <row r="525">
      <c r="A525" s="30" t="inlineStr">
        <is>
          <t>roti_de_boeuf</t>
        </is>
      </c>
      <c r="B525" s="30">
        <f>IFERROR(INDEX(Mots!$B:$B,MATCH($A525,Mots!$A:$A,0)),"introuvable")</f>
        <v/>
      </c>
      <c r="C525" s="30">
        <f>IFERROR(INDEX(Mots!$S:$S,MATCH($A525,Mots!$A:$A,0)),"")</f>
        <v/>
      </c>
      <c r="D525" s="30">
        <f>IFERROR(COUNTA(INDEX(Mots!$J:$J,MATCH($A525,Mots!$A:$A,0)):INDEX(Mots!$P:$P,MATCH($A525,Mots!$A:$A,0))),0)</f>
        <v/>
      </c>
      <c r="E525" s="30">
        <f>IF(COUNTIF(Classement!$A:$A,$A525)&gt;0,"ok","à faire")</f>
        <v/>
      </c>
      <c r="F525" s="30">
        <f>IF(COUNTIF(Tags!$A:$A,$A525)&gt;0,"ok","à faire")</f>
        <v/>
      </c>
      <c r="G525" s="30">
        <f>IF(COUNTIF(Phrases!$A:$A,$A525)&gt;0,"ok","à faire")</f>
        <v/>
      </c>
      <c r="H525" s="30">
        <f>IF(COUNTIFS(Phrases!$A:$A,$A525,Phrases!$I:$I,"&lt;&gt;")&gt;0,"ok","à faire")</f>
        <v/>
      </c>
      <c r="I525" s="30">
        <f>IF(COUNTIF(Synonymes!$A:$A,$A525)&gt;0,"ok","")</f>
        <v/>
      </c>
      <c r="J525" s="30">
        <f>COUNTIF(E525:H525,"à faire")</f>
        <v/>
      </c>
    </row>
    <row r="526">
      <c r="A526" s="30" t="inlineStr">
        <is>
          <t>boeuf</t>
        </is>
      </c>
      <c r="B526" s="30">
        <f>IFERROR(INDEX(Mots!$B:$B,MATCH($A526,Mots!$A:$A,0)),"introuvable")</f>
        <v/>
      </c>
      <c r="C526" s="30">
        <f>IFERROR(INDEX(Mots!$S:$S,MATCH($A526,Mots!$A:$A,0)),"")</f>
        <v/>
      </c>
      <c r="D526" s="30">
        <f>IFERROR(COUNTA(INDEX(Mots!$J:$J,MATCH($A526,Mots!$A:$A,0)):INDEX(Mots!$P:$P,MATCH($A526,Mots!$A:$A,0))),0)</f>
        <v/>
      </c>
      <c r="E526" s="30">
        <f>IF(COUNTIF(Classement!$A:$A,$A526)&gt;0,"ok","à faire")</f>
        <v/>
      </c>
      <c r="F526" s="30">
        <f>IF(COUNTIF(Tags!$A:$A,$A526)&gt;0,"ok","à faire")</f>
        <v/>
      </c>
      <c r="G526" s="30">
        <f>IF(COUNTIF(Phrases!$A:$A,$A526)&gt;0,"ok","à faire")</f>
        <v/>
      </c>
      <c r="H526" s="30">
        <f>IF(COUNTIFS(Phrases!$A:$A,$A526,Phrases!$I:$I,"&lt;&gt;")&gt;0,"ok","à faire")</f>
        <v/>
      </c>
      <c r="I526" s="30">
        <f>IF(COUNTIF(Synonymes!$A:$A,$A526)&gt;0,"ok","")</f>
        <v/>
      </c>
      <c r="J526" s="30">
        <f>COUNTIF(E526:H526,"à faire")</f>
        <v/>
      </c>
    </row>
    <row r="527">
      <c r="A527" s="30" t="inlineStr">
        <is>
          <t>steack_de_boeuf_frites</t>
        </is>
      </c>
      <c r="B527" s="30">
        <f>IFERROR(INDEX(Mots!$B:$B,MATCH($A527,Mots!$A:$A,0)),"introuvable")</f>
        <v/>
      </c>
      <c r="C527" s="30">
        <f>IFERROR(INDEX(Mots!$S:$S,MATCH($A527,Mots!$A:$A,0)),"")</f>
        <v/>
      </c>
      <c r="D527" s="30">
        <f>IFERROR(COUNTA(INDEX(Mots!$J:$J,MATCH($A527,Mots!$A:$A,0)):INDEX(Mots!$P:$P,MATCH($A527,Mots!$A:$A,0))),0)</f>
        <v/>
      </c>
      <c r="E527" s="30">
        <f>IF(COUNTIF(Classement!$A:$A,$A527)&gt;0,"ok","à faire")</f>
        <v/>
      </c>
      <c r="F527" s="30">
        <f>IF(COUNTIF(Tags!$A:$A,$A527)&gt;0,"ok","à faire")</f>
        <v/>
      </c>
      <c r="G527" s="30">
        <f>IF(COUNTIF(Phrases!$A:$A,$A527)&gt;0,"ok","à faire")</f>
        <v/>
      </c>
      <c r="H527" s="30">
        <f>IF(COUNTIFS(Phrases!$A:$A,$A527,Phrases!$I:$I,"&lt;&gt;")&gt;0,"ok","à faire")</f>
        <v/>
      </c>
      <c r="I527" s="30">
        <f>IF(COUNTIF(Synonymes!$A:$A,$A527)&gt;0,"ok","")</f>
        <v/>
      </c>
      <c r="J527" s="30">
        <f>COUNTIF(E527:H527,"à faire")</f>
        <v/>
      </c>
    </row>
    <row r="528">
      <c r="A528" s="30" t="inlineStr">
        <is>
          <t>porc</t>
        </is>
      </c>
      <c r="B528" s="30">
        <f>IFERROR(INDEX(Mots!$B:$B,MATCH($A528,Mots!$A:$A,0)),"introuvable")</f>
        <v/>
      </c>
      <c r="C528" s="30">
        <f>IFERROR(INDEX(Mots!$S:$S,MATCH($A528,Mots!$A:$A,0)),"")</f>
        <v/>
      </c>
      <c r="D528" s="30">
        <f>IFERROR(COUNTA(INDEX(Mots!$J:$J,MATCH($A528,Mots!$A:$A,0)):INDEX(Mots!$P:$P,MATCH($A528,Mots!$A:$A,0))),0)</f>
        <v/>
      </c>
      <c r="E528" s="30">
        <f>IF(COUNTIF(Classement!$A:$A,$A528)&gt;0,"ok","à faire")</f>
        <v/>
      </c>
      <c r="F528" s="30">
        <f>IF(COUNTIF(Tags!$A:$A,$A528)&gt;0,"ok","à faire")</f>
        <v/>
      </c>
      <c r="G528" s="30">
        <f>IF(COUNTIF(Phrases!$A:$A,$A528)&gt;0,"ok","à faire")</f>
        <v/>
      </c>
      <c r="H528" s="30">
        <f>IF(COUNTIFS(Phrases!$A:$A,$A528,Phrases!$I:$I,"&lt;&gt;")&gt;0,"ok","à faire")</f>
        <v/>
      </c>
      <c r="I528" s="30">
        <f>IF(COUNTIF(Synonymes!$A:$A,$A528)&gt;0,"ok","")</f>
        <v/>
      </c>
      <c r="J528" s="30">
        <f>COUNTIF(E528:H528,"à faire")</f>
        <v/>
      </c>
    </row>
    <row r="529">
      <c r="A529" s="30" t="inlineStr">
        <is>
          <t>filet_mignon_de_porc</t>
        </is>
      </c>
      <c r="B529" s="30">
        <f>IFERROR(INDEX(Mots!$B:$B,MATCH($A529,Mots!$A:$A,0)),"introuvable")</f>
        <v/>
      </c>
      <c r="C529" s="30">
        <f>IFERROR(INDEX(Mots!$S:$S,MATCH($A529,Mots!$A:$A,0)),"")</f>
        <v/>
      </c>
      <c r="D529" s="30">
        <f>IFERROR(COUNTA(INDEX(Mots!$J:$J,MATCH($A529,Mots!$A:$A,0)):INDEX(Mots!$P:$P,MATCH($A529,Mots!$A:$A,0))),0)</f>
        <v/>
      </c>
      <c r="E529" s="30">
        <f>IF(COUNTIF(Classement!$A:$A,$A529)&gt;0,"ok","à faire")</f>
        <v/>
      </c>
      <c r="F529" s="30">
        <f>IF(COUNTIF(Tags!$A:$A,$A529)&gt;0,"ok","à faire")</f>
        <v/>
      </c>
      <c r="G529" s="30">
        <f>IF(COUNTIF(Phrases!$A:$A,$A529)&gt;0,"ok","à faire")</f>
        <v/>
      </c>
      <c r="H529" s="30">
        <f>IF(COUNTIFS(Phrases!$A:$A,$A529,Phrases!$I:$I,"&lt;&gt;")&gt;0,"ok","à faire")</f>
        <v/>
      </c>
      <c r="I529" s="30">
        <f>IF(COUNTIF(Synonymes!$A:$A,$A529)&gt;0,"ok","")</f>
        <v/>
      </c>
      <c r="J529" s="30">
        <f>COUNTIF(E529:H529,"à faire")</f>
        <v/>
      </c>
    </row>
    <row r="530">
      <c r="A530" s="30" t="inlineStr">
        <is>
          <t>roti_de_porc</t>
        </is>
      </c>
      <c r="B530" s="30">
        <f>IFERROR(INDEX(Mots!$B:$B,MATCH($A530,Mots!$A:$A,0)),"introuvable")</f>
        <v/>
      </c>
      <c r="C530" s="30">
        <f>IFERROR(INDEX(Mots!$S:$S,MATCH($A530,Mots!$A:$A,0)),"")</f>
        <v/>
      </c>
      <c r="D530" s="30">
        <f>IFERROR(COUNTA(INDEX(Mots!$J:$J,MATCH($A530,Mots!$A:$A,0)):INDEX(Mots!$P:$P,MATCH($A530,Mots!$A:$A,0))),0)</f>
        <v/>
      </c>
      <c r="E530" s="30">
        <f>IF(COUNTIF(Classement!$A:$A,$A530)&gt;0,"ok","à faire")</f>
        <v/>
      </c>
      <c r="F530" s="30">
        <f>IF(COUNTIF(Tags!$A:$A,$A530)&gt;0,"ok","à faire")</f>
        <v/>
      </c>
      <c r="G530" s="30">
        <f>IF(COUNTIF(Phrases!$A:$A,$A530)&gt;0,"ok","à faire")</f>
        <v/>
      </c>
      <c r="H530" s="30">
        <f>IF(COUNTIFS(Phrases!$A:$A,$A530,Phrases!$I:$I,"&lt;&gt;")&gt;0,"ok","à faire")</f>
        <v/>
      </c>
      <c r="I530" s="30">
        <f>IF(COUNTIF(Synonymes!$A:$A,$A530)&gt;0,"ok","")</f>
        <v/>
      </c>
      <c r="J530" s="30">
        <f>COUNTIF(E530:H530,"à faire")</f>
        <v/>
      </c>
    </row>
    <row r="531">
      <c r="A531" s="30" t="inlineStr">
        <is>
          <t>cotelette_de_porc</t>
        </is>
      </c>
      <c r="B531" s="30">
        <f>IFERROR(INDEX(Mots!$B:$B,MATCH($A531,Mots!$A:$A,0)),"introuvable")</f>
        <v/>
      </c>
      <c r="C531" s="30">
        <f>IFERROR(INDEX(Mots!$S:$S,MATCH($A531,Mots!$A:$A,0)),"")</f>
        <v/>
      </c>
      <c r="D531" s="30">
        <f>IFERROR(COUNTA(INDEX(Mots!$J:$J,MATCH($A531,Mots!$A:$A,0)):INDEX(Mots!$P:$P,MATCH($A531,Mots!$A:$A,0))),0)</f>
        <v/>
      </c>
      <c r="E531" s="30">
        <f>IF(COUNTIF(Classement!$A:$A,$A531)&gt;0,"ok","à faire")</f>
        <v/>
      </c>
      <c r="F531" s="30">
        <f>IF(COUNTIF(Tags!$A:$A,$A531)&gt;0,"ok","à faire")</f>
        <v/>
      </c>
      <c r="G531" s="30">
        <f>IF(COUNTIF(Phrases!$A:$A,$A531)&gt;0,"ok","à faire")</f>
        <v/>
      </c>
      <c r="H531" s="30">
        <f>IF(COUNTIFS(Phrases!$A:$A,$A531,Phrases!$I:$I,"&lt;&gt;")&gt;0,"ok","à faire")</f>
        <v/>
      </c>
      <c r="I531" s="30">
        <f>IF(COUNTIF(Synonymes!$A:$A,$A531)&gt;0,"ok","")</f>
        <v/>
      </c>
      <c r="J531" s="30">
        <f>COUNTIF(E531:H531,"à faire")</f>
        <v/>
      </c>
    </row>
    <row r="532">
      <c r="A532" s="30" t="inlineStr">
        <is>
          <t>poulet</t>
        </is>
      </c>
      <c r="B532" s="30">
        <f>IFERROR(INDEX(Mots!$B:$B,MATCH($A532,Mots!$A:$A,0)),"introuvable")</f>
        <v/>
      </c>
      <c r="C532" s="30">
        <f>IFERROR(INDEX(Mots!$S:$S,MATCH($A532,Mots!$A:$A,0)),"")</f>
        <v/>
      </c>
      <c r="D532" s="30">
        <f>IFERROR(COUNTA(INDEX(Mots!$J:$J,MATCH($A532,Mots!$A:$A,0)):INDEX(Mots!$P:$P,MATCH($A532,Mots!$A:$A,0))),0)</f>
        <v/>
      </c>
      <c r="E532" s="30">
        <f>IF(COUNTIF(Classement!$A:$A,$A532)&gt;0,"ok","à faire")</f>
        <v/>
      </c>
      <c r="F532" s="30">
        <f>IF(COUNTIF(Tags!$A:$A,$A532)&gt;0,"ok","à faire")</f>
        <v/>
      </c>
      <c r="G532" s="30">
        <f>IF(COUNTIF(Phrases!$A:$A,$A532)&gt;0,"ok","à faire")</f>
        <v/>
      </c>
      <c r="H532" s="30">
        <f>IF(COUNTIFS(Phrases!$A:$A,$A532,Phrases!$I:$I,"&lt;&gt;")&gt;0,"ok","à faire")</f>
        <v/>
      </c>
      <c r="I532" s="30">
        <f>IF(COUNTIF(Synonymes!$A:$A,$A532)&gt;0,"ok","")</f>
        <v/>
      </c>
      <c r="J532" s="30">
        <f>COUNTIF(E532:H532,"à faire")</f>
        <v/>
      </c>
    </row>
    <row r="533">
      <c r="A533" s="30" t="inlineStr">
        <is>
          <t>blanc_de_poulet</t>
        </is>
      </c>
      <c r="B533" s="30">
        <f>IFERROR(INDEX(Mots!$B:$B,MATCH($A533,Mots!$A:$A,0)),"introuvable")</f>
        <v/>
      </c>
      <c r="C533" s="30">
        <f>IFERROR(INDEX(Mots!$S:$S,MATCH($A533,Mots!$A:$A,0)),"")</f>
        <v/>
      </c>
      <c r="D533" s="30">
        <f>IFERROR(COUNTA(INDEX(Mots!$J:$J,MATCH($A533,Mots!$A:$A,0)):INDEX(Mots!$P:$P,MATCH($A533,Mots!$A:$A,0))),0)</f>
        <v/>
      </c>
      <c r="E533" s="30">
        <f>IF(COUNTIF(Classement!$A:$A,$A533)&gt;0,"ok","à faire")</f>
        <v/>
      </c>
      <c r="F533" s="30">
        <f>IF(COUNTIF(Tags!$A:$A,$A533)&gt;0,"ok","à faire")</f>
        <v/>
      </c>
      <c r="G533" s="30">
        <f>IF(COUNTIF(Phrases!$A:$A,$A533)&gt;0,"ok","à faire")</f>
        <v/>
      </c>
      <c r="H533" s="30">
        <f>IF(COUNTIFS(Phrases!$A:$A,$A533,Phrases!$I:$I,"&lt;&gt;")&gt;0,"ok","à faire")</f>
        <v/>
      </c>
      <c r="I533" s="30">
        <f>IF(COUNTIF(Synonymes!$A:$A,$A533)&gt;0,"ok","")</f>
        <v/>
      </c>
      <c r="J533" s="30">
        <f>COUNTIF(E533:H533,"à faire")</f>
        <v/>
      </c>
    </row>
    <row r="534">
      <c r="A534" s="30" t="inlineStr">
        <is>
          <t>cuisse_de_poulet</t>
        </is>
      </c>
      <c r="B534" s="30">
        <f>IFERROR(INDEX(Mots!$B:$B,MATCH($A534,Mots!$A:$A,0)),"introuvable")</f>
        <v/>
      </c>
      <c r="C534" s="30">
        <f>IFERROR(INDEX(Mots!$S:$S,MATCH($A534,Mots!$A:$A,0)),"")</f>
        <v/>
      </c>
      <c r="D534" s="30">
        <f>IFERROR(COUNTA(INDEX(Mots!$J:$J,MATCH($A534,Mots!$A:$A,0)):INDEX(Mots!$P:$P,MATCH($A534,Mots!$A:$A,0))),0)</f>
        <v/>
      </c>
      <c r="E534" s="30">
        <f>IF(COUNTIF(Classement!$A:$A,$A534)&gt;0,"ok","à faire")</f>
        <v/>
      </c>
      <c r="F534" s="30">
        <f>IF(COUNTIF(Tags!$A:$A,$A534)&gt;0,"ok","à faire")</f>
        <v/>
      </c>
      <c r="G534" s="30">
        <f>IF(COUNTIF(Phrases!$A:$A,$A534)&gt;0,"ok","à faire")</f>
        <v/>
      </c>
      <c r="H534" s="30">
        <f>IF(COUNTIFS(Phrases!$A:$A,$A534,Phrases!$I:$I,"&lt;&gt;")&gt;0,"ok","à faire")</f>
        <v/>
      </c>
      <c r="I534" s="30">
        <f>IF(COUNTIF(Synonymes!$A:$A,$A534)&gt;0,"ok","")</f>
        <v/>
      </c>
      <c r="J534" s="30">
        <f>COUNTIF(E534:H534,"à faire")</f>
        <v/>
      </c>
    </row>
    <row r="535">
      <c r="A535" s="30" t="inlineStr">
        <is>
          <t>poulet_au_curry</t>
        </is>
      </c>
      <c r="B535" s="30">
        <f>IFERROR(INDEX(Mots!$B:$B,MATCH($A535,Mots!$A:$A,0)),"introuvable")</f>
        <v/>
      </c>
      <c r="C535" s="30">
        <f>IFERROR(INDEX(Mots!$S:$S,MATCH($A535,Mots!$A:$A,0)),"")</f>
        <v/>
      </c>
      <c r="D535" s="30">
        <f>IFERROR(COUNTA(INDEX(Mots!$J:$J,MATCH($A535,Mots!$A:$A,0)):INDEX(Mots!$P:$P,MATCH($A535,Mots!$A:$A,0))),0)</f>
        <v/>
      </c>
      <c r="E535" s="30">
        <f>IF(COUNTIF(Classement!$A:$A,$A535)&gt;0,"ok","à faire")</f>
        <v/>
      </c>
      <c r="F535" s="30">
        <f>IF(COUNTIF(Tags!$A:$A,$A535)&gt;0,"ok","à faire")</f>
        <v/>
      </c>
      <c r="G535" s="30">
        <f>IF(COUNTIF(Phrases!$A:$A,$A535)&gt;0,"ok","à faire")</f>
        <v/>
      </c>
      <c r="H535" s="30">
        <f>IF(COUNTIFS(Phrases!$A:$A,$A535,Phrases!$I:$I,"&lt;&gt;")&gt;0,"ok","à faire")</f>
        <v/>
      </c>
      <c r="I535" s="30">
        <f>IF(COUNTIF(Synonymes!$A:$A,$A535)&gt;0,"ok","")</f>
        <v/>
      </c>
      <c r="J535" s="30">
        <f>COUNTIF(E535:H535,"à faire")</f>
        <v/>
      </c>
    </row>
    <row r="536">
      <c r="A536" s="30" t="inlineStr">
        <is>
          <t>dacia_duster</t>
        </is>
      </c>
      <c r="B536" s="30">
        <f>IFERROR(INDEX(Mots!$B:$B,MATCH($A536,Mots!$A:$A,0)),"introuvable")</f>
        <v/>
      </c>
      <c r="C536" s="30">
        <f>IFERROR(INDEX(Mots!$S:$S,MATCH($A536,Mots!$A:$A,0)),"")</f>
        <v/>
      </c>
      <c r="D536" s="30">
        <f>IFERROR(COUNTA(INDEX(Mots!$J:$J,MATCH($A536,Mots!$A:$A,0)):INDEX(Mots!$P:$P,MATCH($A536,Mots!$A:$A,0))),0)</f>
        <v/>
      </c>
      <c r="E536" s="30">
        <f>IF(COUNTIF(Classement!$A:$A,$A536)&gt;0,"ok","à faire")</f>
        <v/>
      </c>
      <c r="F536" s="30">
        <f>IF(COUNTIF(Tags!$A:$A,$A536)&gt;0,"ok","à faire")</f>
        <v/>
      </c>
      <c r="G536" s="30">
        <f>IF(COUNTIF(Phrases!$A:$A,$A536)&gt;0,"ok","à faire")</f>
        <v/>
      </c>
      <c r="H536" s="30">
        <f>IF(COUNTIFS(Phrases!$A:$A,$A536,Phrases!$I:$I,"&lt;&gt;")&gt;0,"ok","à faire")</f>
        <v/>
      </c>
      <c r="I536" s="30">
        <f>IF(COUNTIF(Synonymes!$A:$A,$A536)&gt;0,"ok","")</f>
        <v/>
      </c>
      <c r="J536" s="30">
        <f>COUNTIF(E536:H536,"à faire")</f>
        <v/>
      </c>
    </row>
    <row r="537">
      <c r="A537" s="30" t="inlineStr">
        <is>
          <t>pare_brise</t>
        </is>
      </c>
      <c r="B537" s="30">
        <f>IFERROR(INDEX(Mots!$B:$B,MATCH($A537,Mots!$A:$A,0)),"introuvable")</f>
        <v/>
      </c>
      <c r="C537" s="30">
        <f>IFERROR(INDEX(Mots!$S:$S,MATCH($A537,Mots!$A:$A,0)),"")</f>
        <v/>
      </c>
      <c r="D537" s="30">
        <f>IFERROR(COUNTA(INDEX(Mots!$J:$J,MATCH($A537,Mots!$A:$A,0)):INDEX(Mots!$P:$P,MATCH($A537,Mots!$A:$A,0))),0)</f>
        <v/>
      </c>
      <c r="E537" s="30">
        <f>IF(COUNTIF(Classement!$A:$A,$A537)&gt;0,"ok","à faire")</f>
        <v/>
      </c>
      <c r="F537" s="30">
        <f>IF(COUNTIF(Tags!$A:$A,$A537)&gt;0,"ok","à faire")</f>
        <v/>
      </c>
      <c r="G537" s="30">
        <f>IF(COUNTIF(Phrases!$A:$A,$A537)&gt;0,"ok","à faire")</f>
        <v/>
      </c>
      <c r="H537" s="30">
        <f>IF(COUNTIFS(Phrases!$A:$A,$A537,Phrases!$I:$I,"&lt;&gt;")&gt;0,"ok","à faire")</f>
        <v/>
      </c>
      <c r="I537" s="30">
        <f>IF(COUNTIF(Synonymes!$A:$A,$A537)&gt;0,"ok","")</f>
        <v/>
      </c>
      <c r="J537" s="30">
        <f>COUNTIF(E537:H537,"à faire")</f>
        <v/>
      </c>
    </row>
    <row r="538">
      <c r="A538" s="30" t="inlineStr">
        <is>
          <t>essuie_glace</t>
        </is>
      </c>
      <c r="B538" s="30">
        <f>IFERROR(INDEX(Mots!$B:$B,MATCH($A538,Mots!$A:$A,0)),"introuvable")</f>
        <v/>
      </c>
      <c r="C538" s="30">
        <f>IFERROR(INDEX(Mots!$S:$S,MATCH($A538,Mots!$A:$A,0)),"")</f>
        <v/>
      </c>
      <c r="D538" s="30">
        <f>IFERROR(COUNTA(INDEX(Mots!$J:$J,MATCH($A538,Mots!$A:$A,0)):INDEX(Mots!$P:$P,MATCH($A538,Mots!$A:$A,0))),0)</f>
        <v/>
      </c>
      <c r="E538" s="30">
        <f>IF(COUNTIF(Classement!$A:$A,$A538)&gt;0,"ok","à faire")</f>
        <v/>
      </c>
      <c r="F538" s="30">
        <f>IF(COUNTIF(Tags!$A:$A,$A538)&gt;0,"ok","à faire")</f>
        <v/>
      </c>
      <c r="G538" s="30">
        <f>IF(COUNTIF(Phrases!$A:$A,$A538)&gt;0,"ok","à faire")</f>
        <v/>
      </c>
      <c r="H538" s="30">
        <f>IF(COUNTIFS(Phrases!$A:$A,$A538,Phrases!$I:$I,"&lt;&gt;")&gt;0,"ok","à faire")</f>
        <v/>
      </c>
      <c r="I538" s="30">
        <f>IF(COUNTIF(Synonymes!$A:$A,$A538)&gt;0,"ok","")</f>
        <v/>
      </c>
      <c r="J538" s="30">
        <f>COUNTIF(E538:H538,"à faire")</f>
        <v/>
      </c>
    </row>
    <row r="539">
      <c r="A539" s="30" t="inlineStr">
        <is>
          <t>capot</t>
        </is>
      </c>
      <c r="B539" s="30">
        <f>IFERROR(INDEX(Mots!$B:$B,MATCH($A539,Mots!$A:$A,0)),"introuvable")</f>
        <v/>
      </c>
      <c r="C539" s="30">
        <f>IFERROR(INDEX(Mots!$S:$S,MATCH($A539,Mots!$A:$A,0)),"")</f>
        <v/>
      </c>
      <c r="D539" s="30">
        <f>IFERROR(COUNTA(INDEX(Mots!$J:$J,MATCH($A539,Mots!$A:$A,0)):INDEX(Mots!$P:$P,MATCH($A539,Mots!$A:$A,0))),0)</f>
        <v/>
      </c>
      <c r="E539" s="30">
        <f>IF(COUNTIF(Classement!$A:$A,$A539)&gt;0,"ok","à faire")</f>
        <v/>
      </c>
      <c r="F539" s="30">
        <f>IF(COUNTIF(Tags!$A:$A,$A539)&gt;0,"ok","à faire")</f>
        <v/>
      </c>
      <c r="G539" s="30">
        <f>IF(COUNTIF(Phrases!$A:$A,$A539)&gt;0,"ok","à faire")</f>
        <v/>
      </c>
      <c r="H539" s="30">
        <f>IF(COUNTIFS(Phrases!$A:$A,$A539,Phrases!$I:$I,"&lt;&gt;")&gt;0,"ok","à faire")</f>
        <v/>
      </c>
      <c r="I539" s="30">
        <f>IF(COUNTIF(Synonymes!$A:$A,$A539)&gt;0,"ok","")</f>
        <v/>
      </c>
      <c r="J539" s="30">
        <f>COUNTIF(E539:H539,"à faire")</f>
        <v/>
      </c>
    </row>
    <row r="540">
      <c r="A540" s="30" t="inlineStr">
        <is>
          <t>pv_aile</t>
        </is>
      </c>
      <c r="B540" s="30">
        <f>IFERROR(INDEX(Mots!$B:$B,MATCH($A540,Mots!$A:$A,0)),"introuvable")</f>
        <v/>
      </c>
      <c r="C540" s="30">
        <f>IFERROR(INDEX(Mots!$S:$S,MATCH($A540,Mots!$A:$A,0)),"")</f>
        <v/>
      </c>
      <c r="D540" s="30">
        <f>IFERROR(COUNTA(INDEX(Mots!$J:$J,MATCH($A540,Mots!$A:$A,0)):INDEX(Mots!$P:$P,MATCH($A540,Mots!$A:$A,0))),0)</f>
        <v/>
      </c>
      <c r="E540" s="30">
        <f>IF(COUNTIF(Classement!$A:$A,$A540)&gt;0,"ok","à faire")</f>
        <v/>
      </c>
      <c r="F540" s="30">
        <f>IF(COUNTIF(Tags!$A:$A,$A540)&gt;0,"ok","à faire")</f>
        <v/>
      </c>
      <c r="G540" s="30">
        <f>IF(COUNTIF(Phrases!$A:$A,$A540)&gt;0,"ok","à faire")</f>
        <v/>
      </c>
      <c r="H540" s="30">
        <f>IF(COUNTIFS(Phrases!$A:$A,$A540,Phrases!$I:$I,"&lt;&gt;")&gt;0,"ok","à faire")</f>
        <v/>
      </c>
      <c r="I540" s="30">
        <f>IF(COUNTIF(Synonymes!$A:$A,$A540)&gt;0,"ok","")</f>
        <v/>
      </c>
      <c r="J540" s="30">
        <f>COUNTIF(E540:H540,"à faire")</f>
        <v/>
      </c>
    </row>
    <row r="541">
      <c r="A541" s="30" t="inlineStr">
        <is>
          <t>pare_chocs</t>
        </is>
      </c>
      <c r="B541" s="30">
        <f>IFERROR(INDEX(Mots!$B:$B,MATCH($A541,Mots!$A:$A,0)),"introuvable")</f>
        <v/>
      </c>
      <c r="C541" s="30">
        <f>IFERROR(INDEX(Mots!$S:$S,MATCH($A541,Mots!$A:$A,0)),"")</f>
        <v/>
      </c>
      <c r="D541" s="30">
        <f>IFERROR(COUNTA(INDEX(Mots!$J:$J,MATCH($A541,Mots!$A:$A,0)):INDEX(Mots!$P:$P,MATCH($A541,Mots!$A:$A,0))),0)</f>
        <v/>
      </c>
      <c r="E541" s="30">
        <f>IF(COUNTIF(Classement!$A:$A,$A541)&gt;0,"ok","à faire")</f>
        <v/>
      </c>
      <c r="F541" s="30">
        <f>IF(COUNTIF(Tags!$A:$A,$A541)&gt;0,"ok","à faire")</f>
        <v/>
      </c>
      <c r="G541" s="30">
        <f>IF(COUNTIF(Phrases!$A:$A,$A541)&gt;0,"ok","à faire")</f>
        <v/>
      </c>
      <c r="H541" s="30">
        <f>IF(COUNTIFS(Phrases!$A:$A,$A541,Phrases!$I:$I,"&lt;&gt;")&gt;0,"ok","à faire")</f>
        <v/>
      </c>
      <c r="I541" s="30">
        <f>IF(COUNTIF(Synonymes!$A:$A,$A541)&gt;0,"ok","")</f>
        <v/>
      </c>
      <c r="J541" s="30">
        <f>COUNTIF(E541:H541,"à faire")</f>
        <v/>
      </c>
    </row>
    <row r="542">
      <c r="A542" s="30" t="inlineStr">
        <is>
          <t>jantes</t>
        </is>
      </c>
      <c r="B542" s="30">
        <f>IFERROR(INDEX(Mots!$B:$B,MATCH($A542,Mots!$A:$A,0)),"introuvable")</f>
        <v/>
      </c>
      <c r="C542" s="30">
        <f>IFERROR(INDEX(Mots!$S:$S,MATCH($A542,Mots!$A:$A,0)),"")</f>
        <v/>
      </c>
      <c r="D542" s="30">
        <f>IFERROR(COUNTA(INDEX(Mots!$J:$J,MATCH($A542,Mots!$A:$A,0)):INDEX(Mots!$P:$P,MATCH($A542,Mots!$A:$A,0))),0)</f>
        <v/>
      </c>
      <c r="E542" s="30">
        <f>IF(COUNTIF(Classement!$A:$A,$A542)&gt;0,"ok","à faire")</f>
        <v/>
      </c>
      <c r="F542" s="30">
        <f>IF(COUNTIF(Tags!$A:$A,$A542)&gt;0,"ok","à faire")</f>
        <v/>
      </c>
      <c r="G542" s="30">
        <f>IF(COUNTIF(Phrases!$A:$A,$A542)&gt;0,"ok","à faire")</f>
        <v/>
      </c>
      <c r="H542" s="30">
        <f>IF(COUNTIFS(Phrases!$A:$A,$A542,Phrases!$I:$I,"&lt;&gt;")&gt;0,"ok","à faire")</f>
        <v/>
      </c>
      <c r="I542" s="30">
        <f>IF(COUNTIF(Synonymes!$A:$A,$A542)&gt;0,"ok","")</f>
        <v/>
      </c>
      <c r="J542" s="30">
        <f>COUNTIF(E542:H542,"à faire")</f>
        <v/>
      </c>
    </row>
    <row r="543">
      <c r="A543" s="30" t="inlineStr">
        <is>
          <t>pneus</t>
        </is>
      </c>
      <c r="B543" s="30">
        <f>IFERROR(INDEX(Mots!$B:$B,MATCH($A543,Mots!$A:$A,0)),"introuvable")</f>
        <v/>
      </c>
      <c r="C543" s="30">
        <f>IFERROR(INDEX(Mots!$S:$S,MATCH($A543,Mots!$A:$A,0)),"")</f>
        <v/>
      </c>
      <c r="D543" s="30">
        <f>IFERROR(COUNTA(INDEX(Mots!$J:$J,MATCH($A543,Mots!$A:$A,0)):INDEX(Mots!$P:$P,MATCH($A543,Mots!$A:$A,0))),0)</f>
        <v/>
      </c>
      <c r="E543" s="30">
        <f>IF(COUNTIF(Classement!$A:$A,$A543)&gt;0,"ok","à faire")</f>
        <v/>
      </c>
      <c r="F543" s="30">
        <f>IF(COUNTIF(Tags!$A:$A,$A543)&gt;0,"ok","à faire")</f>
        <v/>
      </c>
      <c r="G543" s="30">
        <f>IF(COUNTIF(Phrases!$A:$A,$A543)&gt;0,"ok","à faire")</f>
        <v/>
      </c>
      <c r="H543" s="30">
        <f>IF(COUNTIFS(Phrases!$A:$A,$A543,Phrases!$I:$I,"&lt;&gt;")&gt;0,"ok","à faire")</f>
        <v/>
      </c>
      <c r="I543" s="30">
        <f>IF(COUNTIF(Synonymes!$A:$A,$A543)&gt;0,"ok","")</f>
        <v/>
      </c>
      <c r="J543" s="30">
        <f>COUNTIF(E543:H543,"à faire")</f>
        <v/>
      </c>
    </row>
    <row r="544">
      <c r="A544" s="30" t="inlineStr">
        <is>
          <t>portiere</t>
        </is>
      </c>
      <c r="B544" s="30">
        <f>IFERROR(INDEX(Mots!$B:$B,MATCH($A544,Mots!$A:$A,0)),"introuvable")</f>
        <v/>
      </c>
      <c r="C544" s="30">
        <f>IFERROR(INDEX(Mots!$S:$S,MATCH($A544,Mots!$A:$A,0)),"")</f>
        <v/>
      </c>
      <c r="D544" s="30">
        <f>IFERROR(COUNTA(INDEX(Mots!$J:$J,MATCH($A544,Mots!$A:$A,0)):INDEX(Mots!$P:$P,MATCH($A544,Mots!$A:$A,0))),0)</f>
        <v/>
      </c>
      <c r="E544" s="30">
        <f>IF(COUNTIF(Classement!$A:$A,$A544)&gt;0,"ok","à faire")</f>
        <v/>
      </c>
      <c r="F544" s="30">
        <f>IF(COUNTIF(Tags!$A:$A,$A544)&gt;0,"ok","à faire")</f>
        <v/>
      </c>
      <c r="G544" s="30">
        <f>IF(COUNTIF(Phrases!$A:$A,$A544)&gt;0,"ok","à faire")</f>
        <v/>
      </c>
      <c r="H544" s="30">
        <f>IF(COUNTIFS(Phrases!$A:$A,$A544,Phrases!$I:$I,"&lt;&gt;")&gt;0,"ok","à faire")</f>
        <v/>
      </c>
      <c r="I544" s="30">
        <f>IF(COUNTIF(Synonymes!$A:$A,$A544)&gt;0,"ok","")</f>
        <v/>
      </c>
      <c r="J544" s="30">
        <f>COUNTIF(E544:H544,"à faire")</f>
        <v/>
      </c>
    </row>
    <row r="545">
      <c r="A545" s="30" t="inlineStr">
        <is>
          <t>clignotant</t>
        </is>
      </c>
      <c r="B545" s="30">
        <f>IFERROR(INDEX(Mots!$B:$B,MATCH($A545,Mots!$A:$A,0)),"introuvable")</f>
        <v/>
      </c>
      <c r="C545" s="30">
        <f>IFERROR(INDEX(Mots!$S:$S,MATCH($A545,Mots!$A:$A,0)),"")</f>
        <v/>
      </c>
      <c r="D545" s="30">
        <f>IFERROR(COUNTA(INDEX(Mots!$J:$J,MATCH($A545,Mots!$A:$A,0)):INDEX(Mots!$P:$P,MATCH($A545,Mots!$A:$A,0))),0)</f>
        <v/>
      </c>
      <c r="E545" s="30">
        <f>IF(COUNTIF(Classement!$A:$A,$A545)&gt;0,"ok","à faire")</f>
        <v/>
      </c>
      <c r="F545" s="30">
        <f>IF(COUNTIF(Tags!$A:$A,$A545)&gt;0,"ok","à faire")</f>
        <v/>
      </c>
      <c r="G545" s="30">
        <f>IF(COUNTIF(Phrases!$A:$A,$A545)&gt;0,"ok","à faire")</f>
        <v/>
      </c>
      <c r="H545" s="30">
        <f>IF(COUNTIFS(Phrases!$A:$A,$A545,Phrases!$I:$I,"&lt;&gt;")&gt;0,"ok","à faire")</f>
        <v/>
      </c>
      <c r="I545" s="30">
        <f>IF(COUNTIF(Synonymes!$A:$A,$A545)&gt;0,"ok","")</f>
        <v/>
      </c>
      <c r="J545" s="30">
        <f>COUNTIF(E545:H545,"à faire")</f>
        <v/>
      </c>
    </row>
    <row r="546">
      <c r="A546" s="30" t="inlineStr">
        <is>
          <t>klaxon</t>
        </is>
      </c>
      <c r="B546" s="30">
        <f>IFERROR(INDEX(Mots!$B:$B,MATCH($A546,Mots!$A:$A,0)),"introuvable")</f>
        <v/>
      </c>
      <c r="C546" s="30">
        <f>IFERROR(INDEX(Mots!$S:$S,MATCH($A546,Mots!$A:$A,0)),"")</f>
        <v/>
      </c>
      <c r="D546" s="30">
        <f>IFERROR(COUNTA(INDEX(Mots!$J:$J,MATCH($A546,Mots!$A:$A,0)):INDEX(Mots!$P:$P,MATCH($A546,Mots!$A:$A,0))),0)</f>
        <v/>
      </c>
      <c r="E546" s="30">
        <f>IF(COUNTIF(Classement!$A:$A,$A546)&gt;0,"ok","à faire")</f>
        <v/>
      </c>
      <c r="F546" s="30">
        <f>IF(COUNTIF(Tags!$A:$A,$A546)&gt;0,"ok","à faire")</f>
        <v/>
      </c>
      <c r="G546" s="30">
        <f>IF(COUNTIF(Phrases!$A:$A,$A546)&gt;0,"ok","à faire")</f>
        <v/>
      </c>
      <c r="H546" s="30">
        <f>IF(COUNTIFS(Phrases!$A:$A,$A546,Phrases!$I:$I,"&lt;&gt;")&gt;0,"ok","à faire")</f>
        <v/>
      </c>
      <c r="I546" s="30">
        <f>IF(COUNTIF(Synonymes!$A:$A,$A546)&gt;0,"ok","")</f>
        <v/>
      </c>
      <c r="J546" s="30">
        <f>COUNTIF(E546:H546,"à faire")</f>
        <v/>
      </c>
    </row>
    <row r="547">
      <c r="A547" s="30" t="inlineStr">
        <is>
          <t>phare</t>
        </is>
      </c>
      <c r="B547" s="30">
        <f>IFERROR(INDEX(Mots!$B:$B,MATCH($A547,Mots!$A:$A,0)),"introuvable")</f>
        <v/>
      </c>
      <c r="C547" s="30">
        <f>IFERROR(INDEX(Mots!$S:$S,MATCH($A547,Mots!$A:$A,0)),"")</f>
        <v/>
      </c>
      <c r="D547" s="30">
        <f>IFERROR(COUNTA(INDEX(Mots!$J:$J,MATCH($A547,Mots!$A:$A,0)):INDEX(Mots!$P:$P,MATCH($A547,Mots!$A:$A,0))),0)</f>
        <v/>
      </c>
      <c r="E547" s="30">
        <f>IF(COUNTIF(Classement!$A:$A,$A547)&gt;0,"ok","à faire")</f>
        <v/>
      </c>
      <c r="F547" s="30">
        <f>IF(COUNTIF(Tags!$A:$A,$A547)&gt;0,"ok","à faire")</f>
        <v/>
      </c>
      <c r="G547" s="30">
        <f>IF(COUNTIF(Phrases!$A:$A,$A547)&gt;0,"ok","à faire")</f>
        <v/>
      </c>
      <c r="H547" s="30">
        <f>IF(COUNTIFS(Phrases!$A:$A,$A547,Phrases!$I:$I,"&lt;&gt;")&gt;0,"ok","à faire")</f>
        <v/>
      </c>
      <c r="I547" s="30">
        <f>IF(COUNTIF(Synonymes!$A:$A,$A547)&gt;0,"ok","")</f>
        <v/>
      </c>
      <c r="J547" s="30">
        <f>COUNTIF(E547:H547,"à faire")</f>
        <v/>
      </c>
    </row>
    <row r="548">
      <c r="A548" s="30" t="inlineStr">
        <is>
          <t>retroviseur</t>
        </is>
      </c>
      <c r="B548" s="30">
        <f>IFERROR(INDEX(Mots!$B:$B,MATCH($A548,Mots!$A:$A,0)),"introuvable")</f>
        <v/>
      </c>
      <c r="C548" s="30">
        <f>IFERROR(INDEX(Mots!$S:$S,MATCH($A548,Mots!$A:$A,0)),"")</f>
        <v/>
      </c>
      <c r="D548" s="30">
        <f>IFERROR(COUNTA(INDEX(Mots!$J:$J,MATCH($A548,Mots!$A:$A,0)):INDEX(Mots!$P:$P,MATCH($A548,Mots!$A:$A,0))),0)</f>
        <v/>
      </c>
      <c r="E548" s="30">
        <f>IF(COUNTIF(Classement!$A:$A,$A548)&gt;0,"ok","à faire")</f>
        <v/>
      </c>
      <c r="F548" s="30">
        <f>IF(COUNTIF(Tags!$A:$A,$A548)&gt;0,"ok","à faire")</f>
        <v/>
      </c>
      <c r="G548" s="30">
        <f>IF(COUNTIF(Phrases!$A:$A,$A548)&gt;0,"ok","à faire")</f>
        <v/>
      </c>
      <c r="H548" s="30">
        <f>IF(COUNTIFS(Phrases!$A:$A,$A548,Phrases!$I:$I,"&lt;&gt;")&gt;0,"ok","à faire")</f>
        <v/>
      </c>
      <c r="I548" s="30">
        <f>IF(COUNTIF(Synonymes!$A:$A,$A548)&gt;0,"ok","")</f>
        <v/>
      </c>
      <c r="J548" s="30">
        <f>COUNTIF(E548:H548,"à faire")</f>
        <v/>
      </c>
    </row>
    <row r="549">
      <c r="A549" s="30" t="inlineStr">
        <is>
          <t>siege</t>
        </is>
      </c>
      <c r="B549" s="30">
        <f>IFERROR(INDEX(Mots!$B:$B,MATCH($A549,Mots!$A:$A,0)),"introuvable")</f>
        <v/>
      </c>
      <c r="C549" s="30">
        <f>IFERROR(INDEX(Mots!$S:$S,MATCH($A549,Mots!$A:$A,0)),"")</f>
        <v/>
      </c>
      <c r="D549" s="30">
        <f>IFERROR(COUNTA(INDEX(Mots!$J:$J,MATCH($A549,Mots!$A:$A,0)):INDEX(Mots!$P:$P,MATCH($A549,Mots!$A:$A,0))),0)</f>
        <v/>
      </c>
      <c r="E549" s="30">
        <f>IF(COUNTIF(Classement!$A:$A,$A549)&gt;0,"ok","à faire")</f>
        <v/>
      </c>
      <c r="F549" s="30">
        <f>IF(COUNTIF(Tags!$A:$A,$A549)&gt;0,"ok","à faire")</f>
        <v/>
      </c>
      <c r="G549" s="30">
        <f>IF(COUNTIF(Phrases!$A:$A,$A549)&gt;0,"ok","à faire")</f>
        <v/>
      </c>
      <c r="H549" s="30">
        <f>IF(COUNTIFS(Phrases!$A:$A,$A549,Phrases!$I:$I,"&lt;&gt;")&gt;0,"ok","à faire")</f>
        <v/>
      </c>
      <c r="I549" s="30">
        <f>IF(COUNTIF(Synonymes!$A:$A,$A549)&gt;0,"ok","")</f>
        <v/>
      </c>
      <c r="J549" s="30">
        <f>COUNTIF(E549:H549,"à faire")</f>
        <v/>
      </c>
    </row>
    <row r="550">
      <c r="A550" s="30" t="inlineStr">
        <is>
          <t>volant</t>
        </is>
      </c>
      <c r="B550" s="30">
        <f>IFERROR(INDEX(Mots!$B:$B,MATCH($A550,Mots!$A:$A,0)),"introuvable")</f>
        <v/>
      </c>
      <c r="C550" s="30">
        <f>IFERROR(INDEX(Mots!$S:$S,MATCH($A550,Mots!$A:$A,0)),"")</f>
        <v/>
      </c>
      <c r="D550" s="30">
        <f>IFERROR(COUNTA(INDEX(Mots!$J:$J,MATCH($A550,Mots!$A:$A,0)):INDEX(Mots!$P:$P,MATCH($A550,Mots!$A:$A,0))),0)</f>
        <v/>
      </c>
      <c r="E550" s="30">
        <f>IF(COUNTIF(Classement!$A:$A,$A550)&gt;0,"ok","à faire")</f>
        <v/>
      </c>
      <c r="F550" s="30">
        <f>IF(COUNTIF(Tags!$A:$A,$A550)&gt;0,"ok","à faire")</f>
        <v/>
      </c>
      <c r="G550" s="30">
        <f>IF(COUNTIF(Phrases!$A:$A,$A550)&gt;0,"ok","à faire")</f>
        <v/>
      </c>
      <c r="H550" s="30">
        <f>IF(COUNTIFS(Phrases!$A:$A,$A550,Phrases!$I:$I,"&lt;&gt;")&gt;0,"ok","à faire")</f>
        <v/>
      </c>
      <c r="I550" s="30">
        <f>IF(COUNTIF(Synonymes!$A:$A,$A550)&gt;0,"ok","")</f>
        <v/>
      </c>
      <c r="J550" s="30">
        <f>COUNTIF(E550:H550,"à faire")</f>
        <v/>
      </c>
    </row>
    <row r="551">
      <c r="A551" s="30" t="inlineStr">
        <is>
          <t>tableau_de_bord</t>
        </is>
      </c>
      <c r="B551" s="30">
        <f>IFERROR(INDEX(Mots!$B:$B,MATCH($A551,Mots!$A:$A,0)),"introuvable")</f>
        <v/>
      </c>
      <c r="C551" s="30">
        <f>IFERROR(INDEX(Mots!$S:$S,MATCH($A551,Mots!$A:$A,0)),"")</f>
        <v/>
      </c>
      <c r="D551" s="30">
        <f>IFERROR(COUNTA(INDEX(Mots!$J:$J,MATCH($A551,Mots!$A:$A,0)):INDEX(Mots!$P:$P,MATCH($A551,Mots!$A:$A,0))),0)</f>
        <v/>
      </c>
      <c r="E551" s="30">
        <f>IF(COUNTIF(Classement!$A:$A,$A551)&gt;0,"ok","à faire")</f>
        <v/>
      </c>
      <c r="F551" s="30">
        <f>IF(COUNTIF(Tags!$A:$A,$A551)&gt;0,"ok","à faire")</f>
        <v/>
      </c>
      <c r="G551" s="30">
        <f>IF(COUNTIF(Phrases!$A:$A,$A551)&gt;0,"ok","à faire")</f>
        <v/>
      </c>
      <c r="H551" s="30">
        <f>IF(COUNTIFS(Phrases!$A:$A,$A551,Phrases!$I:$I,"&lt;&gt;")&gt;0,"ok","à faire")</f>
        <v/>
      </c>
      <c r="I551" s="30">
        <f>IF(COUNTIF(Synonymes!$A:$A,$A551)&gt;0,"ok","")</f>
        <v/>
      </c>
      <c r="J551" s="30">
        <f>COUNTIF(E551:H551,"à faire")</f>
        <v/>
      </c>
    </row>
    <row r="552">
      <c r="A552" s="30" t="inlineStr">
        <is>
          <t>coffre</t>
        </is>
      </c>
      <c r="B552" s="30">
        <f>IFERROR(INDEX(Mots!$B:$B,MATCH($A552,Mots!$A:$A,0)),"introuvable")</f>
        <v/>
      </c>
      <c r="C552" s="30">
        <f>IFERROR(INDEX(Mots!$S:$S,MATCH($A552,Mots!$A:$A,0)),"")</f>
        <v/>
      </c>
      <c r="D552" s="30">
        <f>IFERROR(COUNTA(INDEX(Mots!$J:$J,MATCH($A552,Mots!$A:$A,0)):INDEX(Mots!$P:$P,MATCH($A552,Mots!$A:$A,0))),0)</f>
        <v/>
      </c>
      <c r="E552" s="30">
        <f>IF(COUNTIF(Classement!$A:$A,$A552)&gt;0,"ok","à faire")</f>
        <v/>
      </c>
      <c r="F552" s="30">
        <f>IF(COUNTIF(Tags!$A:$A,$A552)&gt;0,"ok","à faire")</f>
        <v/>
      </c>
      <c r="G552" s="30">
        <f>IF(COUNTIF(Phrases!$A:$A,$A552)&gt;0,"ok","à faire")</f>
        <v/>
      </c>
      <c r="H552" s="30">
        <f>IF(COUNTIFS(Phrases!$A:$A,$A552,Phrases!$I:$I,"&lt;&gt;")&gt;0,"ok","à faire")</f>
        <v/>
      </c>
      <c r="I552" s="30">
        <f>IF(COUNTIF(Synonymes!$A:$A,$A552)&gt;0,"ok","")</f>
        <v/>
      </c>
      <c r="J552" s="30">
        <f>COUNTIF(E552:H552,"à faire")</f>
        <v/>
      </c>
    </row>
    <row r="553">
      <c r="A553" s="30" t="inlineStr">
        <is>
          <t>vitesse</t>
        </is>
      </c>
      <c r="B553" s="30">
        <f>IFERROR(INDEX(Mots!$B:$B,MATCH($A553,Mots!$A:$A,0)),"introuvable")</f>
        <v/>
      </c>
      <c r="C553" s="30">
        <f>IFERROR(INDEX(Mots!$S:$S,MATCH($A553,Mots!$A:$A,0)),"")</f>
        <v/>
      </c>
      <c r="D553" s="30">
        <f>IFERROR(COUNTA(INDEX(Mots!$J:$J,MATCH($A553,Mots!$A:$A,0)):INDEX(Mots!$P:$P,MATCH($A553,Mots!$A:$A,0))),0)</f>
        <v/>
      </c>
      <c r="E553" s="30">
        <f>IF(COUNTIF(Classement!$A:$A,$A553)&gt;0,"ok","à faire")</f>
        <v/>
      </c>
      <c r="F553" s="30">
        <f>IF(COUNTIF(Tags!$A:$A,$A553)&gt;0,"ok","à faire")</f>
        <v/>
      </c>
      <c r="G553" s="30">
        <f>IF(COUNTIF(Phrases!$A:$A,$A553)&gt;0,"ok","à faire")</f>
        <v/>
      </c>
      <c r="H553" s="30">
        <f>IF(COUNTIFS(Phrases!$A:$A,$A553,Phrases!$I:$I,"&lt;&gt;")&gt;0,"ok","à faire")</f>
        <v/>
      </c>
      <c r="I553" s="30">
        <f>IF(COUNTIF(Synonymes!$A:$A,$A553)&gt;0,"ok","")</f>
        <v/>
      </c>
      <c r="J553" s="30">
        <f>COUNTIF(E553:H553,"à faire")</f>
        <v/>
      </c>
    </row>
    <row r="554">
      <c r="A554" s="30" t="inlineStr">
        <is>
          <t>mes_enfants</t>
        </is>
      </c>
      <c r="B554" s="30">
        <f>IFERROR(INDEX(Mots!$B:$B,MATCH($A554,Mots!$A:$A,0)),"introuvable")</f>
        <v/>
      </c>
      <c r="C554" s="30">
        <f>IFERROR(INDEX(Mots!$S:$S,MATCH($A554,Mots!$A:$A,0)),"")</f>
        <v/>
      </c>
      <c r="D554" s="30">
        <f>IFERROR(COUNTA(INDEX(Mots!$J:$J,MATCH($A554,Mots!$A:$A,0)):INDEX(Mots!$P:$P,MATCH($A554,Mots!$A:$A,0))),0)</f>
        <v/>
      </c>
      <c r="E554" s="30">
        <f>IF(COUNTIF(Classement!$A:$A,$A554)&gt;0,"ok","à faire")</f>
        <v/>
      </c>
      <c r="F554" s="30">
        <f>IF(COUNTIF(Tags!$A:$A,$A554)&gt;0,"ok","à faire")</f>
        <v/>
      </c>
      <c r="G554" s="30">
        <f>IF(COUNTIF(Phrases!$A:$A,$A554)&gt;0,"ok","à faire")</f>
        <v/>
      </c>
      <c r="H554" s="30">
        <f>IF(COUNTIFS(Phrases!$A:$A,$A554,Phrases!$I:$I,"&lt;&gt;")&gt;0,"ok","à faire")</f>
        <v/>
      </c>
      <c r="I554" s="30">
        <f>IF(COUNTIF(Synonymes!$A:$A,$A554)&gt;0,"ok","")</f>
        <v/>
      </c>
      <c r="J554" s="30">
        <f>COUNTIF(E554:H554,"à faire")</f>
        <v/>
      </c>
    </row>
    <row r="555">
      <c r="A555" s="30" t="inlineStr">
        <is>
          <t>r_mathilde</t>
        </is>
      </c>
      <c r="B555" s="30">
        <f>IFERROR(INDEX(Mots!$B:$B,MATCH($A555,Mots!$A:$A,0)),"introuvable")</f>
        <v/>
      </c>
      <c r="C555" s="30">
        <f>IFERROR(INDEX(Mots!$S:$S,MATCH($A555,Mots!$A:$A,0)),"")</f>
        <v/>
      </c>
      <c r="D555" s="30">
        <f>IFERROR(COUNTA(INDEX(Mots!$J:$J,MATCH($A555,Mots!$A:$A,0)):INDEX(Mots!$P:$P,MATCH($A555,Mots!$A:$A,0))),0)</f>
        <v/>
      </c>
      <c r="E555" s="30">
        <f>IF(COUNTIF(Classement!$A:$A,$A555)&gt;0,"ok","à faire")</f>
        <v/>
      </c>
      <c r="F555" s="30">
        <f>IF(COUNTIF(Tags!$A:$A,$A555)&gt;0,"ok","à faire")</f>
        <v/>
      </c>
      <c r="G555" s="30">
        <f>IF(COUNTIF(Phrases!$A:$A,$A555)&gt;0,"ok","à faire")</f>
        <v/>
      </c>
      <c r="H555" s="30">
        <f>IF(COUNTIFS(Phrases!$A:$A,$A555,Phrases!$I:$I,"&lt;&gt;")&gt;0,"ok","à faire")</f>
        <v/>
      </c>
      <c r="I555" s="30">
        <f>IF(COUNTIF(Synonymes!$A:$A,$A555)&gt;0,"ok","")</f>
        <v/>
      </c>
      <c r="J555" s="30">
        <f>COUNTIF(E555:H555,"à faire")</f>
        <v/>
      </c>
    </row>
    <row r="556">
      <c r="A556" s="30" t="inlineStr">
        <is>
          <t>r_julien</t>
        </is>
      </c>
      <c r="B556" s="30">
        <f>IFERROR(INDEX(Mots!$B:$B,MATCH($A556,Mots!$A:$A,0)),"introuvable")</f>
        <v/>
      </c>
      <c r="C556" s="30">
        <f>IFERROR(INDEX(Mots!$S:$S,MATCH($A556,Mots!$A:$A,0)),"")</f>
        <v/>
      </c>
      <c r="D556" s="30">
        <f>IFERROR(COUNTA(INDEX(Mots!$J:$J,MATCH($A556,Mots!$A:$A,0)):INDEX(Mots!$P:$P,MATCH($A556,Mots!$A:$A,0))),0)</f>
        <v/>
      </c>
      <c r="E556" s="30">
        <f>IF(COUNTIF(Classement!$A:$A,$A556)&gt;0,"ok","à faire")</f>
        <v/>
      </c>
      <c r="F556" s="30">
        <f>IF(COUNTIF(Tags!$A:$A,$A556)&gt;0,"ok","à faire")</f>
        <v/>
      </c>
      <c r="G556" s="30">
        <f>IF(COUNTIF(Phrases!$A:$A,$A556)&gt;0,"ok","à faire")</f>
        <v/>
      </c>
      <c r="H556" s="30">
        <f>IF(COUNTIFS(Phrases!$A:$A,$A556,Phrases!$I:$I,"&lt;&gt;")&gt;0,"ok","à faire")</f>
        <v/>
      </c>
      <c r="I556" s="30">
        <f>IF(COUNTIF(Synonymes!$A:$A,$A556)&gt;0,"ok","")</f>
        <v/>
      </c>
      <c r="J556" s="30">
        <f>COUNTIF(E556:H556,"à faire")</f>
        <v/>
      </c>
    </row>
    <row r="557">
      <c r="A557" s="30" t="inlineStr">
        <is>
          <t>r_emma</t>
        </is>
      </c>
      <c r="B557" s="30">
        <f>IFERROR(INDEX(Mots!$B:$B,MATCH($A557,Mots!$A:$A,0)),"introuvable")</f>
        <v/>
      </c>
      <c r="C557" s="30">
        <f>IFERROR(INDEX(Mots!$S:$S,MATCH($A557,Mots!$A:$A,0)),"")</f>
        <v/>
      </c>
      <c r="D557" s="30">
        <f>IFERROR(COUNTA(INDEX(Mots!$J:$J,MATCH($A557,Mots!$A:$A,0)):INDEX(Mots!$P:$P,MATCH($A557,Mots!$A:$A,0))),0)</f>
        <v/>
      </c>
      <c r="E557" s="30">
        <f>IF(COUNTIF(Classement!$A:$A,$A557)&gt;0,"ok","à faire")</f>
        <v/>
      </c>
      <c r="F557" s="30">
        <f>IF(COUNTIF(Tags!$A:$A,$A557)&gt;0,"ok","à faire")</f>
        <v/>
      </c>
      <c r="G557" s="30">
        <f>IF(COUNTIF(Phrases!$A:$A,$A557)&gt;0,"ok","à faire")</f>
        <v/>
      </c>
      <c r="H557" s="30">
        <f>IF(COUNTIFS(Phrases!$A:$A,$A557,Phrases!$I:$I,"&lt;&gt;")&gt;0,"ok","à faire")</f>
        <v/>
      </c>
      <c r="I557" s="30">
        <f>IF(COUNTIF(Synonymes!$A:$A,$A557)&gt;0,"ok","")</f>
        <v/>
      </c>
      <c r="J557" s="30">
        <f>COUNTIF(E557:H557,"à faire")</f>
        <v/>
      </c>
    </row>
    <row r="558">
      <c r="A558" s="30" t="inlineStr">
        <is>
          <t>r_loic</t>
        </is>
      </c>
      <c r="B558" s="30">
        <f>IFERROR(INDEX(Mots!$B:$B,MATCH($A558,Mots!$A:$A,0)),"introuvable")</f>
        <v/>
      </c>
      <c r="C558" s="30">
        <f>IFERROR(INDEX(Mots!$S:$S,MATCH($A558,Mots!$A:$A,0)),"")</f>
        <v/>
      </c>
      <c r="D558" s="30">
        <f>IFERROR(COUNTA(INDEX(Mots!$J:$J,MATCH($A558,Mots!$A:$A,0)):INDEX(Mots!$P:$P,MATCH($A558,Mots!$A:$A,0))),0)</f>
        <v/>
      </c>
      <c r="E558" s="30">
        <f>IF(COUNTIF(Classement!$A:$A,$A558)&gt;0,"ok","à faire")</f>
        <v/>
      </c>
      <c r="F558" s="30">
        <f>IF(COUNTIF(Tags!$A:$A,$A558)&gt;0,"ok","à faire")</f>
        <v/>
      </c>
      <c r="G558" s="30">
        <f>IF(COUNTIF(Phrases!$A:$A,$A558)&gt;0,"ok","à faire")</f>
        <v/>
      </c>
      <c r="H558" s="30">
        <f>IF(COUNTIFS(Phrases!$A:$A,$A558,Phrases!$I:$I,"&lt;&gt;")&gt;0,"ok","à faire")</f>
        <v/>
      </c>
      <c r="I558" s="30">
        <f>IF(COUNTIF(Synonymes!$A:$A,$A558)&gt;0,"ok","")</f>
        <v/>
      </c>
      <c r="J558" s="30">
        <f>COUNTIF(E558:H558,"à faire")</f>
        <v/>
      </c>
    </row>
    <row r="559">
      <c r="A559" s="30" t="inlineStr">
        <is>
          <t>r_emile</t>
        </is>
      </c>
      <c r="B559" s="30">
        <f>IFERROR(INDEX(Mots!$B:$B,MATCH($A559,Mots!$A:$A,0)),"introuvable")</f>
        <v/>
      </c>
      <c r="C559" s="30">
        <f>IFERROR(INDEX(Mots!$S:$S,MATCH($A559,Mots!$A:$A,0)),"")</f>
        <v/>
      </c>
      <c r="D559" s="30">
        <f>IFERROR(COUNTA(INDEX(Mots!$J:$J,MATCH($A559,Mots!$A:$A,0)):INDEX(Mots!$P:$P,MATCH($A559,Mots!$A:$A,0))),0)</f>
        <v/>
      </c>
      <c r="E559" s="30">
        <f>IF(COUNTIF(Classement!$A:$A,$A559)&gt;0,"ok","à faire")</f>
        <v/>
      </c>
      <c r="F559" s="30">
        <f>IF(COUNTIF(Tags!$A:$A,$A559)&gt;0,"ok","à faire")</f>
        <v/>
      </c>
      <c r="G559" s="30">
        <f>IF(COUNTIF(Phrases!$A:$A,$A559)&gt;0,"ok","à faire")</f>
        <v/>
      </c>
      <c r="H559" s="30">
        <f>IF(COUNTIFS(Phrases!$A:$A,$A559,Phrases!$I:$I,"&lt;&gt;")&gt;0,"ok","à faire")</f>
        <v/>
      </c>
      <c r="I559" s="30">
        <f>IF(COUNTIF(Synonymes!$A:$A,$A559)&gt;0,"ok","")</f>
        <v/>
      </c>
      <c r="J559" s="30">
        <f>COUNTIF(E559:H559,"à faire")</f>
        <v/>
      </c>
    </row>
    <row r="560">
      <c r="A560" s="30" t="inlineStr">
        <is>
          <t>r_eva</t>
        </is>
      </c>
      <c r="B560" s="30">
        <f>IFERROR(INDEX(Mots!$B:$B,MATCH($A560,Mots!$A:$A,0)),"introuvable")</f>
        <v/>
      </c>
      <c r="C560" s="30">
        <f>IFERROR(INDEX(Mots!$S:$S,MATCH($A560,Mots!$A:$A,0)),"")</f>
        <v/>
      </c>
      <c r="D560" s="30">
        <f>IFERROR(COUNTA(INDEX(Mots!$J:$J,MATCH($A560,Mots!$A:$A,0)):INDEX(Mots!$P:$P,MATCH($A560,Mots!$A:$A,0))),0)</f>
        <v/>
      </c>
      <c r="E560" s="30">
        <f>IF(COUNTIF(Classement!$A:$A,$A560)&gt;0,"ok","à faire")</f>
        <v/>
      </c>
      <c r="F560" s="30">
        <f>IF(COUNTIF(Tags!$A:$A,$A560)&gt;0,"ok","à faire")</f>
        <v/>
      </c>
      <c r="G560" s="30">
        <f>IF(COUNTIF(Phrases!$A:$A,$A560)&gt;0,"ok","à faire")</f>
        <v/>
      </c>
      <c r="H560" s="30">
        <f>IF(COUNTIFS(Phrases!$A:$A,$A560,Phrases!$I:$I,"&lt;&gt;")&gt;0,"ok","à faire")</f>
        <v/>
      </c>
      <c r="I560" s="30">
        <f>IF(COUNTIF(Synonymes!$A:$A,$A560)&gt;0,"ok","")</f>
        <v/>
      </c>
      <c r="J560" s="30">
        <f>COUNTIF(E560:H560,"à faire")</f>
        <v/>
      </c>
    </row>
    <row r="561">
      <c r="A561" s="30" t="inlineStr">
        <is>
          <t>r_paul</t>
        </is>
      </c>
      <c r="B561" s="30">
        <f>IFERROR(INDEX(Mots!$B:$B,MATCH($A561,Mots!$A:$A,0)),"introuvable")</f>
        <v/>
      </c>
      <c r="C561" s="30">
        <f>IFERROR(INDEX(Mots!$S:$S,MATCH($A561,Mots!$A:$A,0)),"")</f>
        <v/>
      </c>
      <c r="D561" s="30">
        <f>IFERROR(COUNTA(INDEX(Mots!$J:$J,MATCH($A561,Mots!$A:$A,0)):INDEX(Mots!$P:$P,MATCH($A561,Mots!$A:$A,0))),0)</f>
        <v/>
      </c>
      <c r="E561" s="30">
        <f>IF(COUNTIF(Classement!$A:$A,$A561)&gt;0,"ok","à faire")</f>
        <v/>
      </c>
      <c r="F561" s="30">
        <f>IF(COUNTIF(Tags!$A:$A,$A561)&gt;0,"ok","à faire")</f>
        <v/>
      </c>
      <c r="G561" s="30">
        <f>IF(COUNTIF(Phrases!$A:$A,$A561)&gt;0,"ok","à faire")</f>
        <v/>
      </c>
      <c r="H561" s="30">
        <f>IF(COUNTIFS(Phrases!$A:$A,$A561,Phrases!$I:$I,"&lt;&gt;")&gt;0,"ok","à faire")</f>
        <v/>
      </c>
      <c r="I561" s="30">
        <f>IF(COUNTIF(Synonymes!$A:$A,$A561)&gt;0,"ok","")</f>
        <v/>
      </c>
      <c r="J561" s="30">
        <f>COUNTIF(E561:H561,"à faire")</f>
        <v/>
      </c>
    </row>
    <row r="562">
      <c r="A562" s="30" t="inlineStr">
        <is>
          <t>n_claudia</t>
        </is>
      </c>
      <c r="B562" s="30">
        <f>IFERROR(INDEX(Mots!$B:$B,MATCH($A562,Mots!$A:$A,0)),"introuvable")</f>
        <v/>
      </c>
      <c r="C562" s="30">
        <f>IFERROR(INDEX(Mots!$S:$S,MATCH($A562,Mots!$A:$A,0)),"")</f>
        <v/>
      </c>
      <c r="D562" s="30">
        <f>IFERROR(COUNTA(INDEX(Mots!$J:$J,MATCH($A562,Mots!$A:$A,0)):INDEX(Mots!$P:$P,MATCH($A562,Mots!$A:$A,0))),0)</f>
        <v/>
      </c>
      <c r="E562" s="30">
        <f>IF(COUNTIF(Classement!$A:$A,$A562)&gt;0,"ok","à faire")</f>
        <v/>
      </c>
      <c r="F562" s="30">
        <f>IF(COUNTIF(Tags!$A:$A,$A562)&gt;0,"ok","à faire")</f>
        <v/>
      </c>
      <c r="G562" s="30">
        <f>IF(COUNTIF(Phrases!$A:$A,$A562)&gt;0,"ok","à faire")</f>
        <v/>
      </c>
      <c r="H562" s="30">
        <f>IF(COUNTIFS(Phrases!$A:$A,$A562,Phrases!$I:$I,"&lt;&gt;")&gt;0,"ok","à faire")</f>
        <v/>
      </c>
      <c r="I562" s="30">
        <f>IF(COUNTIF(Synonymes!$A:$A,$A562)&gt;0,"ok","")</f>
        <v/>
      </c>
      <c r="J562" s="30">
        <f>COUNTIF(E562:H562,"à faire")</f>
        <v/>
      </c>
    </row>
    <row r="563">
      <c r="A563" s="30" t="inlineStr">
        <is>
          <t>n_patrick</t>
        </is>
      </c>
      <c r="B563" s="30">
        <f>IFERROR(INDEX(Mots!$B:$B,MATCH($A563,Mots!$A:$A,0)),"introuvable")</f>
        <v/>
      </c>
      <c r="C563" s="30">
        <f>IFERROR(INDEX(Mots!$S:$S,MATCH($A563,Mots!$A:$A,0)),"")</f>
        <v/>
      </c>
      <c r="D563" s="30">
        <f>IFERROR(COUNTA(INDEX(Mots!$J:$J,MATCH($A563,Mots!$A:$A,0)):INDEX(Mots!$P:$P,MATCH($A563,Mots!$A:$A,0))),0)</f>
        <v/>
      </c>
      <c r="E563" s="30">
        <f>IF(COUNTIF(Classement!$A:$A,$A563)&gt;0,"ok","à faire")</f>
        <v/>
      </c>
      <c r="F563" s="30">
        <f>IF(COUNTIF(Tags!$A:$A,$A563)&gt;0,"ok","à faire")</f>
        <v/>
      </c>
      <c r="G563" s="30">
        <f>IF(COUNTIF(Phrases!$A:$A,$A563)&gt;0,"ok","à faire")</f>
        <v/>
      </c>
      <c r="H563" s="30">
        <f>IF(COUNTIFS(Phrases!$A:$A,$A563,Phrases!$I:$I,"&lt;&gt;")&gt;0,"ok","à faire")</f>
        <v/>
      </c>
      <c r="I563" s="30">
        <f>IF(COUNTIF(Synonymes!$A:$A,$A563)&gt;0,"ok","")</f>
        <v/>
      </c>
      <c r="J563" s="30">
        <f>COUNTIF(E563:H563,"à faire")</f>
        <v/>
      </c>
    </row>
    <row r="564">
      <c r="A564" s="30" t="inlineStr">
        <is>
          <t>r_olivier</t>
        </is>
      </c>
      <c r="B564" s="30">
        <f>IFERROR(INDEX(Mots!$B:$B,MATCH($A564,Mots!$A:$A,0)),"introuvable")</f>
        <v/>
      </c>
      <c r="C564" s="30">
        <f>IFERROR(INDEX(Mots!$S:$S,MATCH($A564,Mots!$A:$A,0)),"")</f>
        <v/>
      </c>
      <c r="D564" s="30">
        <f>IFERROR(COUNTA(INDEX(Mots!$J:$J,MATCH($A564,Mots!$A:$A,0)):INDEX(Mots!$P:$P,MATCH($A564,Mots!$A:$A,0))),0)</f>
        <v/>
      </c>
      <c r="E564" s="30">
        <f>IF(COUNTIF(Classement!$A:$A,$A564)&gt;0,"ok","à faire")</f>
        <v/>
      </c>
      <c r="F564" s="30">
        <f>IF(COUNTIF(Tags!$A:$A,$A564)&gt;0,"ok","à faire")</f>
        <v/>
      </c>
      <c r="G564" s="30">
        <f>IF(COUNTIF(Phrases!$A:$A,$A564)&gt;0,"ok","à faire")</f>
        <v/>
      </c>
      <c r="H564" s="30">
        <f>IF(COUNTIFS(Phrases!$A:$A,$A564,Phrases!$I:$I,"&lt;&gt;")&gt;0,"ok","à faire")</f>
        <v/>
      </c>
      <c r="I564" s="30">
        <f>IF(COUNTIF(Synonymes!$A:$A,$A564)&gt;0,"ok","")</f>
        <v/>
      </c>
      <c r="J564" s="30">
        <f>COUNTIF(E564:H564,"à faire")</f>
        <v/>
      </c>
    </row>
    <row r="565">
      <c r="A565" s="30" t="inlineStr">
        <is>
          <t>e_barbara</t>
        </is>
      </c>
      <c r="B565" s="30">
        <f>IFERROR(INDEX(Mots!$B:$B,MATCH($A565,Mots!$A:$A,0)),"introuvable")</f>
        <v/>
      </c>
      <c r="C565" s="30">
        <f>IFERROR(INDEX(Mots!$S:$S,MATCH($A565,Mots!$A:$A,0)),"")</f>
        <v/>
      </c>
      <c r="D565" s="30">
        <f>IFERROR(COUNTA(INDEX(Mots!$J:$J,MATCH($A565,Mots!$A:$A,0)):INDEX(Mots!$P:$P,MATCH($A565,Mots!$A:$A,0))),0)</f>
        <v/>
      </c>
      <c r="E565" s="30">
        <f>IF(COUNTIF(Classement!$A:$A,$A565)&gt;0,"ok","à faire")</f>
        <v/>
      </c>
      <c r="F565" s="30">
        <f>IF(COUNTIF(Tags!$A:$A,$A565)&gt;0,"ok","à faire")</f>
        <v/>
      </c>
      <c r="G565" s="30">
        <f>IF(COUNTIF(Phrases!$A:$A,$A565)&gt;0,"ok","à faire")</f>
        <v/>
      </c>
      <c r="H565" s="30">
        <f>IF(COUNTIFS(Phrases!$A:$A,$A565,Phrases!$I:$I,"&lt;&gt;")&gt;0,"ok","à faire")</f>
        <v/>
      </c>
      <c r="I565" s="30">
        <f>IF(COUNTIF(Synonymes!$A:$A,$A565)&gt;0,"ok","")</f>
        <v/>
      </c>
      <c r="J565" s="30">
        <f>COUNTIF(E565:H565,"à faire")</f>
        <v/>
      </c>
    </row>
    <row r="566">
      <c r="A566" s="30" t="inlineStr">
        <is>
          <t>r_sandrine</t>
        </is>
      </c>
      <c r="B566" s="30">
        <f>IFERROR(INDEX(Mots!$B:$B,MATCH($A566,Mots!$A:$A,0)),"introuvable")</f>
        <v/>
      </c>
      <c r="C566" s="30">
        <f>IFERROR(INDEX(Mots!$S:$S,MATCH($A566,Mots!$A:$A,0)),"")</f>
        <v/>
      </c>
      <c r="D566" s="30">
        <f>IFERROR(COUNTA(INDEX(Mots!$J:$J,MATCH($A566,Mots!$A:$A,0)):INDEX(Mots!$P:$P,MATCH($A566,Mots!$A:$A,0))),0)</f>
        <v/>
      </c>
      <c r="E566" s="30">
        <f>IF(COUNTIF(Classement!$A:$A,$A566)&gt;0,"ok","à faire")</f>
        <v/>
      </c>
      <c r="F566" s="30">
        <f>IF(COUNTIF(Tags!$A:$A,$A566)&gt;0,"ok","à faire")</f>
        <v/>
      </c>
      <c r="G566" s="30">
        <f>IF(COUNTIF(Phrases!$A:$A,$A566)&gt;0,"ok","à faire")</f>
        <v/>
      </c>
      <c r="H566" s="30">
        <f>IF(COUNTIFS(Phrases!$A:$A,$A566,Phrases!$I:$I,"&lt;&gt;")&gt;0,"ok","à faire")</f>
        <v/>
      </c>
      <c r="I566" s="30">
        <f>IF(COUNTIF(Synonymes!$A:$A,$A566)&gt;0,"ok","")</f>
        <v/>
      </c>
      <c r="J566" s="30">
        <f>COUNTIF(E566:H566,"à faire")</f>
        <v/>
      </c>
    </row>
    <row r="567">
      <c r="A567" s="30" t="inlineStr">
        <is>
          <t>ma_generaliste</t>
        </is>
      </c>
      <c r="B567" s="30">
        <f>IFERROR(INDEX(Mots!$B:$B,MATCH($A567,Mots!$A:$A,0)),"introuvable")</f>
        <v/>
      </c>
      <c r="C567" s="30">
        <f>IFERROR(INDEX(Mots!$S:$S,MATCH($A567,Mots!$A:$A,0)),"")</f>
        <v/>
      </c>
      <c r="D567" s="30">
        <f>IFERROR(COUNTA(INDEX(Mots!$J:$J,MATCH($A567,Mots!$A:$A,0)):INDEX(Mots!$P:$P,MATCH($A567,Mots!$A:$A,0))),0)</f>
        <v/>
      </c>
      <c r="E567" s="30">
        <f>IF(COUNTIF(Classement!$A:$A,$A567)&gt;0,"ok","à faire")</f>
        <v/>
      </c>
      <c r="F567" s="30">
        <f>IF(COUNTIF(Tags!$A:$A,$A567)&gt;0,"ok","à faire")</f>
        <v/>
      </c>
      <c r="G567" s="30">
        <f>IF(COUNTIF(Phrases!$A:$A,$A567)&gt;0,"ok","à faire")</f>
        <v/>
      </c>
      <c r="H567" s="30">
        <f>IF(COUNTIFS(Phrases!$A:$A,$A567,Phrases!$I:$I,"&lt;&gt;")&gt;0,"ok","à faire")</f>
        <v/>
      </c>
      <c r="I567" s="30">
        <f>IF(COUNTIF(Synonymes!$A:$A,$A567)&gt;0,"ok","")</f>
        <v/>
      </c>
      <c r="J567" s="30">
        <f>COUNTIF(E567:H567,"à faire")</f>
        <v/>
      </c>
    </row>
    <row r="568">
      <c r="A568" s="30" t="inlineStr">
        <is>
          <t>mon_neurologue</t>
        </is>
      </c>
      <c r="B568" s="30">
        <f>IFERROR(INDEX(Mots!$B:$B,MATCH($A568,Mots!$A:$A,0)),"introuvable")</f>
        <v/>
      </c>
      <c r="C568" s="30">
        <f>IFERROR(INDEX(Mots!$S:$S,MATCH($A568,Mots!$A:$A,0)),"")</f>
        <v/>
      </c>
      <c r="D568" s="30">
        <f>IFERROR(COUNTA(INDEX(Mots!$J:$J,MATCH($A568,Mots!$A:$A,0)):INDEX(Mots!$P:$P,MATCH($A568,Mots!$A:$A,0))),0)</f>
        <v/>
      </c>
      <c r="E568" s="30">
        <f>IF(COUNTIF(Classement!$A:$A,$A568)&gt;0,"ok","à faire")</f>
        <v/>
      </c>
      <c r="F568" s="30">
        <f>IF(COUNTIF(Tags!$A:$A,$A568)&gt;0,"ok","à faire")</f>
        <v/>
      </c>
      <c r="G568" s="30">
        <f>IF(COUNTIF(Phrases!$A:$A,$A568)&gt;0,"ok","à faire")</f>
        <v/>
      </c>
      <c r="H568" s="30">
        <f>IF(COUNTIFS(Phrases!$A:$A,$A568,Phrases!$I:$I,"&lt;&gt;")&gt;0,"ok","à faire")</f>
        <v/>
      </c>
      <c r="I568" s="30">
        <f>IF(COUNTIF(Synonymes!$A:$A,$A568)&gt;0,"ok","")</f>
        <v/>
      </c>
      <c r="J568" s="30">
        <f>COUNTIF(E568:H568,"à faire")</f>
        <v/>
      </c>
    </row>
    <row r="569">
      <c r="A569" s="30" t="inlineStr">
        <is>
          <t>n_louane</t>
        </is>
      </c>
      <c r="B569" s="30">
        <f>IFERROR(INDEX(Mots!$B:$B,MATCH($A569,Mots!$A:$A,0)),"introuvable")</f>
        <v/>
      </c>
      <c r="C569" s="30">
        <f>IFERROR(INDEX(Mots!$S:$S,MATCH($A569,Mots!$A:$A,0)),"")</f>
        <v/>
      </c>
      <c r="D569" s="30">
        <f>IFERROR(COUNTA(INDEX(Mots!$J:$J,MATCH($A569,Mots!$A:$A,0)):INDEX(Mots!$P:$P,MATCH($A569,Mots!$A:$A,0))),0)</f>
        <v/>
      </c>
      <c r="E569" s="30">
        <f>IF(COUNTIF(Classement!$A:$A,$A569)&gt;0,"ok","à faire")</f>
        <v/>
      </c>
      <c r="F569" s="30">
        <f>IF(COUNTIF(Tags!$A:$A,$A569)&gt;0,"ok","à faire")</f>
        <v/>
      </c>
      <c r="G569" s="30">
        <f>IF(COUNTIF(Phrases!$A:$A,$A569)&gt;0,"ok","à faire")</f>
        <v/>
      </c>
      <c r="H569" s="30">
        <f>IF(COUNTIFS(Phrases!$A:$A,$A569,Phrases!$I:$I,"&lt;&gt;")&gt;0,"ok","à faire")</f>
        <v/>
      </c>
      <c r="I569" s="30">
        <f>IF(COUNTIF(Synonymes!$A:$A,$A569)&gt;0,"ok","")</f>
        <v/>
      </c>
      <c r="J569" s="30">
        <f>COUNTIF(E569:H569,"à faire")</f>
        <v/>
      </c>
    </row>
    <row r="570">
      <c r="A570" s="30" t="inlineStr">
        <is>
          <t>n_melwyn</t>
        </is>
      </c>
      <c r="B570" s="30">
        <f>IFERROR(INDEX(Mots!$B:$B,MATCH($A570,Mots!$A:$A,0)),"introuvable")</f>
        <v/>
      </c>
      <c r="C570" s="30">
        <f>IFERROR(INDEX(Mots!$S:$S,MATCH($A570,Mots!$A:$A,0)),"")</f>
        <v/>
      </c>
      <c r="D570" s="30">
        <f>IFERROR(COUNTA(INDEX(Mots!$J:$J,MATCH($A570,Mots!$A:$A,0)):INDEX(Mots!$P:$P,MATCH($A570,Mots!$A:$A,0))),0)</f>
        <v/>
      </c>
      <c r="E570" s="30">
        <f>IF(COUNTIF(Classement!$A:$A,$A570)&gt;0,"ok","à faire")</f>
        <v/>
      </c>
      <c r="F570" s="30">
        <f>IF(COUNTIF(Tags!$A:$A,$A570)&gt;0,"ok","à faire")</f>
        <v/>
      </c>
      <c r="G570" s="30">
        <f>IF(COUNTIF(Phrases!$A:$A,$A570)&gt;0,"ok","à faire")</f>
        <v/>
      </c>
      <c r="H570" s="30">
        <f>IF(COUNTIFS(Phrases!$A:$A,$A570,Phrases!$I:$I,"&lt;&gt;")&gt;0,"ok","à faire")</f>
        <v/>
      </c>
      <c r="I570" s="30">
        <f>IF(COUNTIF(Synonymes!$A:$A,$A570)&gt;0,"ok","")</f>
        <v/>
      </c>
      <c r="J570" s="30">
        <f>COUNTIF(E570:H570,"à faire")</f>
        <v/>
      </c>
    </row>
    <row r="571">
      <c r="A571" s="30" t="inlineStr">
        <is>
          <t>e_jason</t>
        </is>
      </c>
      <c r="B571" s="30">
        <f>IFERROR(INDEX(Mots!$B:$B,MATCH($A571,Mots!$A:$A,0)),"introuvable")</f>
        <v/>
      </c>
      <c r="C571" s="30">
        <f>IFERROR(INDEX(Mots!$S:$S,MATCH($A571,Mots!$A:$A,0)),"")</f>
        <v/>
      </c>
      <c r="D571" s="30">
        <f>IFERROR(COUNTA(INDEX(Mots!$J:$J,MATCH($A571,Mots!$A:$A,0)):INDEX(Mots!$P:$P,MATCH($A571,Mots!$A:$A,0))),0)</f>
        <v/>
      </c>
      <c r="E571" s="30">
        <f>IF(COUNTIF(Classement!$A:$A,$A571)&gt;0,"ok","à faire")</f>
        <v/>
      </c>
      <c r="F571" s="30">
        <f>IF(COUNTIF(Tags!$A:$A,$A571)&gt;0,"ok","à faire")</f>
        <v/>
      </c>
      <c r="G571" s="30">
        <f>IF(COUNTIF(Phrases!$A:$A,$A571)&gt;0,"ok","à faire")</f>
        <v/>
      </c>
      <c r="H571" s="30">
        <f>IF(COUNTIFS(Phrases!$A:$A,$A571,Phrases!$I:$I,"&lt;&gt;")&gt;0,"ok","à faire")</f>
        <v/>
      </c>
      <c r="I571" s="30">
        <f>IF(COUNTIF(Synonymes!$A:$A,$A571)&gt;0,"ok","")</f>
        <v/>
      </c>
      <c r="J571" s="30">
        <f>COUNTIF(E571:H571,"à faire")</f>
        <v/>
      </c>
    </row>
    <row r="572">
      <c r="A572" s="30" t="inlineStr">
        <is>
          <t>n_yanis</t>
        </is>
      </c>
      <c r="B572" s="30">
        <f>IFERROR(INDEX(Mots!$B:$B,MATCH($A572,Mots!$A:$A,0)),"introuvable")</f>
        <v/>
      </c>
      <c r="C572" s="30">
        <f>IFERROR(INDEX(Mots!$S:$S,MATCH($A572,Mots!$A:$A,0)),"")</f>
        <v/>
      </c>
      <c r="D572" s="30">
        <f>IFERROR(COUNTA(INDEX(Mots!$J:$J,MATCH($A572,Mots!$A:$A,0)):INDEX(Mots!$P:$P,MATCH($A572,Mots!$A:$A,0))),0)</f>
        <v/>
      </c>
      <c r="E572" s="30">
        <f>IF(COUNTIF(Classement!$A:$A,$A572)&gt;0,"ok","à faire")</f>
        <v/>
      </c>
      <c r="F572" s="30">
        <f>IF(COUNTIF(Tags!$A:$A,$A572)&gt;0,"ok","à faire")</f>
        <v/>
      </c>
      <c r="G572" s="30">
        <f>IF(COUNTIF(Phrases!$A:$A,$A572)&gt;0,"ok","à faire")</f>
        <v/>
      </c>
      <c r="H572" s="30">
        <f>IF(COUNTIFS(Phrases!$A:$A,$A572,Phrases!$I:$I,"&lt;&gt;")&gt;0,"ok","à faire")</f>
        <v/>
      </c>
      <c r="I572" s="30">
        <f>IF(COUNTIF(Synonymes!$A:$A,$A572)&gt;0,"ok","")</f>
        <v/>
      </c>
      <c r="J572" s="30">
        <f>COUNTIF(E572:H572,"à faire")</f>
        <v/>
      </c>
    </row>
    <row r="573">
      <c r="A573" s="30" t="inlineStr">
        <is>
          <t>e_alison</t>
        </is>
      </c>
      <c r="B573" s="30">
        <f>IFERROR(INDEX(Mots!$B:$B,MATCH($A573,Mots!$A:$A,0)),"introuvable")</f>
        <v/>
      </c>
      <c r="C573" s="30">
        <f>IFERROR(INDEX(Mots!$S:$S,MATCH($A573,Mots!$A:$A,0)),"")</f>
        <v/>
      </c>
      <c r="D573" s="30">
        <f>IFERROR(COUNTA(INDEX(Mots!$J:$J,MATCH($A573,Mots!$A:$A,0)):INDEX(Mots!$P:$P,MATCH($A573,Mots!$A:$A,0))),0)</f>
        <v/>
      </c>
      <c r="E573" s="30">
        <f>IF(COUNTIF(Classement!$A:$A,$A573)&gt;0,"ok","à faire")</f>
        <v/>
      </c>
      <c r="F573" s="30">
        <f>IF(COUNTIF(Tags!$A:$A,$A573)&gt;0,"ok","à faire")</f>
        <v/>
      </c>
      <c r="G573" s="30">
        <f>IF(COUNTIF(Phrases!$A:$A,$A573)&gt;0,"ok","à faire")</f>
        <v/>
      </c>
      <c r="H573" s="30">
        <f>IF(COUNTIFS(Phrases!$A:$A,$A573,Phrases!$I:$I,"&lt;&gt;")&gt;0,"ok","à faire")</f>
        <v/>
      </c>
      <c r="I573" s="30">
        <f>IF(COUNTIF(Synonymes!$A:$A,$A573)&gt;0,"ok","")</f>
        <v/>
      </c>
      <c r="J573" s="30">
        <f>COUNTIF(E573:H573,"à faire")</f>
        <v/>
      </c>
    </row>
    <row r="574">
      <c r="A574" s="30" t="inlineStr">
        <is>
          <t>r_germaine</t>
        </is>
      </c>
      <c r="B574" s="30">
        <f>IFERROR(INDEX(Mots!$B:$B,MATCH($A574,Mots!$A:$A,0)),"introuvable")</f>
        <v/>
      </c>
      <c r="C574" s="30">
        <f>IFERROR(INDEX(Mots!$S:$S,MATCH($A574,Mots!$A:$A,0)),"")</f>
        <v/>
      </c>
      <c r="D574" s="30">
        <f>IFERROR(COUNTA(INDEX(Mots!$J:$J,MATCH($A574,Mots!$A:$A,0)):INDEX(Mots!$P:$P,MATCH($A574,Mots!$A:$A,0))),0)</f>
        <v/>
      </c>
      <c r="E574" s="30">
        <f>IF(COUNTIF(Classement!$A:$A,$A574)&gt;0,"ok","à faire")</f>
        <v/>
      </c>
      <c r="F574" s="30">
        <f>IF(COUNTIF(Tags!$A:$A,$A574)&gt;0,"ok","à faire")</f>
        <v/>
      </c>
      <c r="G574" s="30">
        <f>IF(COUNTIF(Phrases!$A:$A,$A574)&gt;0,"ok","à faire")</f>
        <v/>
      </c>
      <c r="H574" s="30">
        <f>IF(COUNTIFS(Phrases!$A:$A,$A574,Phrases!$I:$I,"&lt;&gt;")&gt;0,"ok","à faire")</f>
        <v/>
      </c>
      <c r="I574" s="30">
        <f>IF(COUNTIF(Synonymes!$A:$A,$A574)&gt;0,"ok","")</f>
        <v/>
      </c>
      <c r="J574" s="30">
        <f>COUNTIF(E574:H574,"à faire")</f>
        <v/>
      </c>
    </row>
    <row r="575">
      <c r="A575" s="30" t="inlineStr">
        <is>
          <t>r_noel</t>
        </is>
      </c>
      <c r="B575" s="30">
        <f>IFERROR(INDEX(Mots!$B:$B,MATCH($A575,Mots!$A:$A,0)),"introuvable")</f>
        <v/>
      </c>
      <c r="C575" s="30">
        <f>IFERROR(INDEX(Mots!$S:$S,MATCH($A575,Mots!$A:$A,0)),"")</f>
        <v/>
      </c>
      <c r="D575" s="30">
        <f>IFERROR(COUNTA(INDEX(Mots!$J:$J,MATCH($A575,Mots!$A:$A,0)):INDEX(Mots!$P:$P,MATCH($A575,Mots!$A:$A,0))),0)</f>
        <v/>
      </c>
      <c r="E575" s="30">
        <f>IF(COUNTIF(Classement!$A:$A,$A575)&gt;0,"ok","à faire")</f>
        <v/>
      </c>
      <c r="F575" s="30">
        <f>IF(COUNTIF(Tags!$A:$A,$A575)&gt;0,"ok","à faire")</f>
        <v/>
      </c>
      <c r="G575" s="30">
        <f>IF(COUNTIF(Phrases!$A:$A,$A575)&gt;0,"ok","à faire")</f>
        <v/>
      </c>
      <c r="H575" s="30">
        <f>IF(COUNTIFS(Phrases!$A:$A,$A575,Phrases!$I:$I,"&lt;&gt;")&gt;0,"ok","à faire")</f>
        <v/>
      </c>
      <c r="I575" s="30">
        <f>IF(COUNTIF(Synonymes!$A:$A,$A575)&gt;0,"ok","")</f>
        <v/>
      </c>
      <c r="J575" s="30">
        <f>COUNTIF(E575:H575,"à faire")</f>
        <v/>
      </c>
    </row>
    <row r="576">
      <c r="A576" s="30" t="inlineStr">
        <is>
          <t>peau</t>
        </is>
      </c>
      <c r="B576" s="30">
        <f>IFERROR(INDEX(Mots!$B:$B,MATCH($A576,Mots!$A:$A,0)),"introuvable")</f>
        <v/>
      </c>
      <c r="C576" s="30">
        <f>IFERROR(INDEX(Mots!$S:$S,MATCH($A576,Mots!$A:$A,0)),"")</f>
        <v/>
      </c>
      <c r="D576" s="30">
        <f>IFERROR(COUNTA(INDEX(Mots!$J:$J,MATCH($A576,Mots!$A:$A,0)):INDEX(Mots!$P:$P,MATCH($A576,Mots!$A:$A,0))),0)</f>
        <v/>
      </c>
      <c r="E576" s="30">
        <f>IF(COUNTIF(Classement!$A:$A,$A576)&gt;0,"ok","à faire")</f>
        <v/>
      </c>
      <c r="F576" s="30">
        <f>IF(COUNTIF(Tags!$A:$A,$A576)&gt;0,"ok","à faire")</f>
        <v/>
      </c>
      <c r="G576" s="30">
        <f>IF(COUNTIF(Phrases!$A:$A,$A576)&gt;0,"ok","à faire")</f>
        <v/>
      </c>
      <c r="H576" s="30">
        <f>IF(COUNTIFS(Phrases!$A:$A,$A576,Phrases!$I:$I,"&lt;&gt;")&gt;0,"ok","à faire")</f>
        <v/>
      </c>
      <c r="I576" s="30">
        <f>IF(COUNTIF(Synonymes!$A:$A,$A576)&gt;0,"ok","")</f>
        <v/>
      </c>
      <c r="J576" s="30">
        <f>COUNTIF(E576:H576,"à faire")</f>
        <v/>
      </c>
    </row>
    <row r="577">
      <c r="A577" s="30" t="inlineStr">
        <is>
          <t>voix</t>
        </is>
      </c>
      <c r="B577" s="30">
        <f>IFERROR(INDEX(Mots!$B:$B,MATCH($A577,Mots!$A:$A,0)),"introuvable")</f>
        <v/>
      </c>
      <c r="C577" s="30">
        <f>IFERROR(INDEX(Mots!$S:$S,MATCH($A577,Mots!$A:$A,0)),"")</f>
        <v/>
      </c>
      <c r="D577" s="30">
        <f>IFERROR(COUNTA(INDEX(Mots!$J:$J,MATCH($A577,Mots!$A:$A,0)):INDEX(Mots!$P:$P,MATCH($A577,Mots!$A:$A,0))),0)</f>
        <v/>
      </c>
      <c r="E577" s="30">
        <f>IF(COUNTIF(Classement!$A:$A,$A577)&gt;0,"ok","à faire")</f>
        <v/>
      </c>
      <c r="F577" s="30">
        <f>IF(COUNTIF(Tags!$A:$A,$A577)&gt;0,"ok","à faire")</f>
        <v/>
      </c>
      <c r="G577" s="30">
        <f>IF(COUNTIF(Phrases!$A:$A,$A577)&gt;0,"ok","à faire")</f>
        <v/>
      </c>
      <c r="H577" s="30">
        <f>IF(COUNTIFS(Phrases!$A:$A,$A577,Phrases!$I:$I,"&lt;&gt;")&gt;0,"ok","à faire")</f>
        <v/>
      </c>
      <c r="I577" s="30">
        <f>IF(COUNTIF(Synonymes!$A:$A,$A577)&gt;0,"ok","")</f>
        <v/>
      </c>
      <c r="J577" s="30">
        <f>COUNTIF(E577:H577,"à faire")</f>
        <v/>
      </c>
    </row>
    <row r="578">
      <c r="A578" s="30" t="inlineStr">
        <is>
          <t>cerveau</t>
        </is>
      </c>
      <c r="B578" s="30">
        <f>IFERROR(INDEX(Mots!$B:$B,MATCH($A578,Mots!$A:$A,0)),"introuvable")</f>
        <v/>
      </c>
      <c r="C578" s="30">
        <f>IFERROR(INDEX(Mots!$S:$S,MATCH($A578,Mots!$A:$A,0)),"")</f>
        <v/>
      </c>
      <c r="D578" s="30">
        <f>IFERROR(COUNTA(INDEX(Mots!$J:$J,MATCH($A578,Mots!$A:$A,0)):INDEX(Mots!$P:$P,MATCH($A578,Mots!$A:$A,0))),0)</f>
        <v/>
      </c>
      <c r="E578" s="30">
        <f>IF(COUNTIF(Classement!$A:$A,$A578)&gt;0,"ok","à faire")</f>
        <v/>
      </c>
      <c r="F578" s="30">
        <f>IF(COUNTIF(Tags!$A:$A,$A578)&gt;0,"ok","à faire")</f>
        <v/>
      </c>
      <c r="G578" s="30">
        <f>IF(COUNTIF(Phrases!$A:$A,$A578)&gt;0,"ok","à faire")</f>
        <v/>
      </c>
      <c r="H578" s="30">
        <f>IF(COUNTIFS(Phrases!$A:$A,$A578,Phrases!$I:$I,"&lt;&gt;")&gt;0,"ok","à faire")</f>
        <v/>
      </c>
      <c r="I578" s="30">
        <f>IF(COUNTIF(Synonymes!$A:$A,$A578)&gt;0,"ok","")</f>
        <v/>
      </c>
      <c r="J578" s="30">
        <f>COUNTIF(E578:H578,"à faire")</f>
        <v/>
      </c>
    </row>
    <row r="579">
      <c r="A579" s="30" t="inlineStr">
        <is>
          <t>muscle</t>
        </is>
      </c>
      <c r="B579" s="30">
        <f>IFERROR(INDEX(Mots!$B:$B,MATCH($A579,Mots!$A:$A,0)),"introuvable")</f>
        <v/>
      </c>
      <c r="C579" s="30">
        <f>IFERROR(INDEX(Mots!$S:$S,MATCH($A579,Mots!$A:$A,0)),"")</f>
        <v/>
      </c>
      <c r="D579" s="30">
        <f>IFERROR(COUNTA(INDEX(Mots!$J:$J,MATCH($A579,Mots!$A:$A,0)):INDEX(Mots!$P:$P,MATCH($A579,Mots!$A:$A,0))),0)</f>
        <v/>
      </c>
      <c r="E579" s="30">
        <f>IF(COUNTIF(Classement!$A:$A,$A579)&gt;0,"ok","à faire")</f>
        <v/>
      </c>
      <c r="F579" s="30">
        <f>IF(COUNTIF(Tags!$A:$A,$A579)&gt;0,"ok","à faire")</f>
        <v/>
      </c>
      <c r="G579" s="30">
        <f>IF(COUNTIF(Phrases!$A:$A,$A579)&gt;0,"ok","à faire")</f>
        <v/>
      </c>
      <c r="H579" s="30">
        <f>IF(COUNTIFS(Phrases!$A:$A,$A579,Phrases!$I:$I,"&lt;&gt;")&gt;0,"ok","à faire")</f>
        <v/>
      </c>
      <c r="I579" s="30">
        <f>IF(COUNTIF(Synonymes!$A:$A,$A579)&gt;0,"ok","")</f>
        <v/>
      </c>
      <c r="J579" s="30">
        <f>COUNTIF(E579:H579,"à faire")</f>
        <v/>
      </c>
    </row>
    <row r="580">
      <c r="A580" s="30" t="inlineStr">
        <is>
          <t>sang</t>
        </is>
      </c>
      <c r="B580" s="30">
        <f>IFERROR(INDEX(Mots!$B:$B,MATCH($A580,Mots!$A:$A,0)),"introuvable")</f>
        <v/>
      </c>
      <c r="C580" s="30">
        <f>IFERROR(INDEX(Mots!$S:$S,MATCH($A580,Mots!$A:$A,0)),"")</f>
        <v/>
      </c>
      <c r="D580" s="30">
        <f>IFERROR(COUNTA(INDEX(Mots!$J:$J,MATCH($A580,Mots!$A:$A,0)):INDEX(Mots!$P:$P,MATCH($A580,Mots!$A:$A,0))),0)</f>
        <v/>
      </c>
      <c r="E580" s="30">
        <f>IF(COUNTIF(Classement!$A:$A,$A580)&gt;0,"ok","à faire")</f>
        <v/>
      </c>
      <c r="F580" s="30">
        <f>IF(COUNTIF(Tags!$A:$A,$A580)&gt;0,"ok","à faire")</f>
        <v/>
      </c>
      <c r="G580" s="30">
        <f>IF(COUNTIF(Phrases!$A:$A,$A580)&gt;0,"ok","à faire")</f>
        <v/>
      </c>
      <c r="H580" s="30">
        <f>IF(COUNTIFS(Phrases!$A:$A,$A580,Phrases!$I:$I,"&lt;&gt;")&gt;0,"ok","à faire")</f>
        <v/>
      </c>
      <c r="I580" s="30">
        <f>IF(COUNTIF(Synonymes!$A:$A,$A580)&gt;0,"ok","")</f>
        <v/>
      </c>
      <c r="J580" s="30">
        <f>COUNTIF(E580:H580,"à faire")</f>
        <v/>
      </c>
    </row>
    <row r="581">
      <c r="A581" s="30" t="inlineStr">
        <is>
          <t>squelette</t>
        </is>
      </c>
      <c r="B581" s="30">
        <f>IFERROR(INDEX(Mots!$B:$B,MATCH($A581,Mots!$A:$A,0)),"introuvable")</f>
        <v/>
      </c>
      <c r="C581" s="30">
        <f>IFERROR(INDEX(Mots!$S:$S,MATCH($A581,Mots!$A:$A,0)),"")</f>
        <v/>
      </c>
      <c r="D581" s="30">
        <f>IFERROR(COUNTA(INDEX(Mots!$J:$J,MATCH($A581,Mots!$A:$A,0)):INDEX(Mots!$P:$P,MATCH($A581,Mots!$A:$A,0))),0)</f>
        <v/>
      </c>
      <c r="E581" s="30">
        <f>IF(COUNTIF(Classement!$A:$A,$A581)&gt;0,"ok","à faire")</f>
        <v/>
      </c>
      <c r="F581" s="30">
        <f>IF(COUNTIF(Tags!$A:$A,$A581)&gt;0,"ok","à faire")</f>
        <v/>
      </c>
      <c r="G581" s="30">
        <f>IF(COUNTIF(Phrases!$A:$A,$A581)&gt;0,"ok","à faire")</f>
        <v/>
      </c>
      <c r="H581" s="30">
        <f>IF(COUNTIFS(Phrases!$A:$A,$A581,Phrases!$I:$I,"&lt;&gt;")&gt;0,"ok","à faire")</f>
        <v/>
      </c>
      <c r="I581" s="30">
        <f>IF(COUNTIF(Synonymes!$A:$A,$A581)&gt;0,"ok","")</f>
        <v/>
      </c>
      <c r="J581" s="30">
        <f>COUNTIF(E581:H581,"à faire")</f>
        <v/>
      </c>
    </row>
    <row r="582">
      <c r="A582" s="30" t="inlineStr">
        <is>
          <t>estomac</t>
        </is>
      </c>
      <c r="B582" s="30">
        <f>IFERROR(INDEX(Mots!$B:$B,MATCH($A582,Mots!$A:$A,0)),"introuvable")</f>
        <v/>
      </c>
      <c r="C582" s="30">
        <f>IFERROR(INDEX(Mots!$S:$S,MATCH($A582,Mots!$A:$A,0)),"")</f>
        <v/>
      </c>
      <c r="D582" s="30">
        <f>IFERROR(COUNTA(INDEX(Mots!$J:$J,MATCH($A582,Mots!$A:$A,0)):INDEX(Mots!$P:$P,MATCH($A582,Mots!$A:$A,0))),0)</f>
        <v/>
      </c>
      <c r="E582" s="30">
        <f>IF(COUNTIF(Classement!$A:$A,$A582)&gt;0,"ok","à faire")</f>
        <v/>
      </c>
      <c r="F582" s="30">
        <f>IF(COUNTIF(Tags!$A:$A,$A582)&gt;0,"ok","à faire")</f>
        <v/>
      </c>
      <c r="G582" s="30">
        <f>IF(COUNTIF(Phrases!$A:$A,$A582)&gt;0,"ok","à faire")</f>
        <v/>
      </c>
      <c r="H582" s="30">
        <f>IF(COUNTIFS(Phrases!$A:$A,$A582,Phrases!$I:$I,"&lt;&gt;")&gt;0,"ok","à faire")</f>
        <v/>
      </c>
      <c r="I582" s="30">
        <f>IF(COUNTIF(Synonymes!$A:$A,$A582)&gt;0,"ok","")</f>
        <v/>
      </c>
      <c r="J582" s="30">
        <f>COUNTIF(E582:H582,"à faire")</f>
        <v/>
      </c>
    </row>
    <row r="583">
      <c r="A583" s="30" t="inlineStr">
        <is>
          <t>ongle</t>
        </is>
      </c>
      <c r="B583" s="30">
        <f>IFERROR(INDEX(Mots!$B:$B,MATCH($A583,Mots!$A:$A,0)),"introuvable")</f>
        <v/>
      </c>
      <c r="C583" s="30">
        <f>IFERROR(INDEX(Mots!$S:$S,MATCH($A583,Mots!$A:$A,0)),"")</f>
        <v/>
      </c>
      <c r="D583" s="30">
        <f>IFERROR(COUNTA(INDEX(Mots!$J:$J,MATCH($A583,Mots!$A:$A,0)):INDEX(Mots!$P:$P,MATCH($A583,Mots!$A:$A,0))),0)</f>
        <v/>
      </c>
      <c r="E583" s="30">
        <f>IF(COUNTIF(Classement!$A:$A,$A583)&gt;0,"ok","à faire")</f>
        <v/>
      </c>
      <c r="F583" s="30">
        <f>IF(COUNTIF(Tags!$A:$A,$A583)&gt;0,"ok","à faire")</f>
        <v/>
      </c>
      <c r="G583" s="30">
        <f>IF(COUNTIF(Phrases!$A:$A,$A583)&gt;0,"ok","à faire")</f>
        <v/>
      </c>
      <c r="H583" s="30">
        <f>IF(COUNTIFS(Phrases!$A:$A,$A583,Phrases!$I:$I,"&lt;&gt;")&gt;0,"ok","à faire")</f>
        <v/>
      </c>
      <c r="I583" s="30">
        <f>IF(COUNTIF(Synonymes!$A:$A,$A583)&gt;0,"ok","")</f>
        <v/>
      </c>
      <c r="J583" s="30">
        <f>COUNTIF(E583:H583,"à faire")</f>
        <v/>
      </c>
    </row>
    <row r="584">
      <c r="A584" s="30" t="inlineStr">
        <is>
          <t>os</t>
        </is>
      </c>
      <c r="B584" s="30">
        <f>IFERROR(INDEX(Mots!$B:$B,MATCH($A584,Mots!$A:$A,0)),"introuvable")</f>
        <v/>
      </c>
      <c r="C584" s="30">
        <f>IFERROR(INDEX(Mots!$S:$S,MATCH($A584,Mots!$A:$A,0)),"")</f>
        <v/>
      </c>
      <c r="D584" s="30">
        <f>IFERROR(COUNTA(INDEX(Mots!$J:$J,MATCH($A584,Mots!$A:$A,0)):INDEX(Mots!$P:$P,MATCH($A584,Mots!$A:$A,0))),0)</f>
        <v/>
      </c>
      <c r="E584" s="30">
        <f>IF(COUNTIF(Classement!$A:$A,$A584)&gt;0,"ok","à faire")</f>
        <v/>
      </c>
      <c r="F584" s="30">
        <f>IF(COUNTIF(Tags!$A:$A,$A584)&gt;0,"ok","à faire")</f>
        <v/>
      </c>
      <c r="G584" s="30">
        <f>IF(COUNTIF(Phrases!$A:$A,$A584)&gt;0,"ok","à faire")</f>
        <v/>
      </c>
      <c r="H584" s="30">
        <f>IF(COUNTIFS(Phrases!$A:$A,$A584,Phrases!$I:$I,"&lt;&gt;")&gt;0,"ok","à faire")</f>
        <v/>
      </c>
      <c r="I584" s="30">
        <f>IF(COUNTIF(Synonymes!$A:$A,$A584)&gt;0,"ok","")</f>
        <v/>
      </c>
      <c r="J584" s="30">
        <f>COUNTIF(E584:H584,"à faire")</f>
        <v/>
      </c>
    </row>
    <row r="585">
      <c r="A585" s="30" t="inlineStr">
        <is>
          <t>faire_les_vitres</t>
        </is>
      </c>
      <c r="B585" s="30">
        <f>IFERROR(INDEX(Mots!$B:$B,MATCH($A585,Mots!$A:$A,0)),"introuvable")</f>
        <v/>
      </c>
      <c r="C585" s="30">
        <f>IFERROR(INDEX(Mots!$S:$S,MATCH($A585,Mots!$A:$A,0)),"")</f>
        <v/>
      </c>
      <c r="D585" s="30">
        <f>IFERROR(COUNTA(INDEX(Mots!$J:$J,MATCH($A585,Mots!$A:$A,0)):INDEX(Mots!$P:$P,MATCH($A585,Mots!$A:$A,0))),0)</f>
        <v/>
      </c>
      <c r="E585" s="30">
        <f>IF(COUNTIF(Classement!$A:$A,$A585)&gt;0,"ok","à faire")</f>
        <v/>
      </c>
      <c r="F585" s="30">
        <f>IF(COUNTIF(Tags!$A:$A,$A585)&gt;0,"ok","à faire")</f>
        <v/>
      </c>
      <c r="G585" s="30">
        <f>IF(COUNTIF(Phrases!$A:$A,$A585)&gt;0,"ok","à faire")</f>
        <v/>
      </c>
      <c r="H585" s="30">
        <f>IF(COUNTIFS(Phrases!$A:$A,$A585,Phrases!$I:$I,"&lt;&gt;")&gt;0,"ok","à faire")</f>
        <v/>
      </c>
      <c r="I585" s="30">
        <f>IF(COUNTIF(Synonymes!$A:$A,$A585)&gt;0,"ok","")</f>
        <v/>
      </c>
      <c r="J585" s="30">
        <f>COUNTIF(E585:H585,"à faire")</f>
        <v/>
      </c>
    </row>
    <row r="586">
      <c r="A586" s="30" t="inlineStr">
        <is>
          <t>serpillere</t>
        </is>
      </c>
      <c r="B586" s="30">
        <f>IFERROR(INDEX(Mots!$B:$B,MATCH($A586,Mots!$A:$A,0)),"introuvable")</f>
        <v/>
      </c>
      <c r="C586" s="30">
        <f>IFERROR(INDEX(Mots!$S:$S,MATCH($A586,Mots!$A:$A,0)),"")</f>
        <v/>
      </c>
      <c r="D586" s="30">
        <f>IFERROR(COUNTA(INDEX(Mots!$J:$J,MATCH($A586,Mots!$A:$A,0)):INDEX(Mots!$P:$P,MATCH($A586,Mots!$A:$A,0))),0)</f>
        <v/>
      </c>
      <c r="E586" s="30">
        <f>IF(COUNTIF(Classement!$A:$A,$A586)&gt;0,"ok","à faire")</f>
        <v/>
      </c>
      <c r="F586" s="30">
        <f>IF(COUNTIF(Tags!$A:$A,$A586)&gt;0,"ok","à faire")</f>
        <v/>
      </c>
      <c r="G586" s="30">
        <f>IF(COUNTIF(Phrases!$A:$A,$A586)&gt;0,"ok","à faire")</f>
        <v/>
      </c>
      <c r="H586" s="30">
        <f>IF(COUNTIFS(Phrases!$A:$A,$A586,Phrases!$I:$I,"&lt;&gt;")&gt;0,"ok","à faire")</f>
        <v/>
      </c>
      <c r="I586" s="30">
        <f>IF(COUNTIF(Synonymes!$A:$A,$A586)&gt;0,"ok","")</f>
        <v/>
      </c>
      <c r="J586" s="30">
        <f>COUNTIF(E586:H586,"à faire")</f>
        <v/>
      </c>
    </row>
    <row r="587">
      <c r="A587" s="30" t="inlineStr">
        <is>
          <t>aspirateur</t>
        </is>
      </c>
      <c r="B587" s="30">
        <f>IFERROR(INDEX(Mots!$B:$B,MATCH($A587,Mots!$A:$A,0)),"introuvable")</f>
        <v/>
      </c>
      <c r="C587" s="30">
        <f>IFERROR(INDEX(Mots!$S:$S,MATCH($A587,Mots!$A:$A,0)),"")</f>
        <v/>
      </c>
      <c r="D587" s="30">
        <f>IFERROR(COUNTA(INDEX(Mots!$J:$J,MATCH($A587,Mots!$A:$A,0)):INDEX(Mots!$P:$P,MATCH($A587,Mots!$A:$A,0))),0)</f>
        <v/>
      </c>
      <c r="E587" s="30">
        <f>IF(COUNTIF(Classement!$A:$A,$A587)&gt;0,"ok","à faire")</f>
        <v/>
      </c>
      <c r="F587" s="30">
        <f>IF(COUNTIF(Tags!$A:$A,$A587)&gt;0,"ok","à faire")</f>
        <v/>
      </c>
      <c r="G587" s="30">
        <f>IF(COUNTIF(Phrases!$A:$A,$A587)&gt;0,"ok","à faire")</f>
        <v/>
      </c>
      <c r="H587" s="30">
        <f>IF(COUNTIFS(Phrases!$A:$A,$A587,Phrases!$I:$I,"&lt;&gt;")&gt;0,"ok","à faire")</f>
        <v/>
      </c>
      <c r="I587" s="30">
        <f>IF(COUNTIF(Synonymes!$A:$A,$A587)&gt;0,"ok","")</f>
        <v/>
      </c>
      <c r="J587" s="30">
        <f>COUNTIF(E587:H587,"à faire")</f>
        <v/>
      </c>
    </row>
    <row r="588">
      <c r="A588" s="30" t="inlineStr">
        <is>
          <t>chiffon</t>
        </is>
      </c>
      <c r="B588" s="30">
        <f>IFERROR(INDEX(Mots!$B:$B,MATCH($A588,Mots!$A:$A,0)),"introuvable")</f>
        <v/>
      </c>
      <c r="C588" s="30">
        <f>IFERROR(INDEX(Mots!$S:$S,MATCH($A588,Mots!$A:$A,0)),"")</f>
        <v/>
      </c>
      <c r="D588" s="30">
        <f>IFERROR(COUNTA(INDEX(Mots!$J:$J,MATCH($A588,Mots!$A:$A,0)):INDEX(Mots!$P:$P,MATCH($A588,Mots!$A:$A,0))),0)</f>
        <v/>
      </c>
      <c r="E588" s="30">
        <f>IF(COUNTIF(Classement!$A:$A,$A588)&gt;0,"ok","à faire")</f>
        <v/>
      </c>
      <c r="F588" s="30">
        <f>IF(COUNTIF(Tags!$A:$A,$A588)&gt;0,"ok","à faire")</f>
        <v/>
      </c>
      <c r="G588" s="30">
        <f>IF(COUNTIF(Phrases!$A:$A,$A588)&gt;0,"ok","à faire")</f>
        <v/>
      </c>
      <c r="H588" s="30">
        <f>IF(COUNTIFS(Phrases!$A:$A,$A588,Phrases!$I:$I,"&lt;&gt;")&gt;0,"ok","à faire")</f>
        <v/>
      </c>
      <c r="I588" s="30">
        <f>IF(COUNTIF(Synonymes!$A:$A,$A588)&gt;0,"ok","")</f>
        <v/>
      </c>
      <c r="J588" s="30">
        <f>COUNTIF(E588:H588,"à faire")</f>
        <v/>
      </c>
    </row>
    <row r="589">
      <c r="A589" s="30" t="inlineStr">
        <is>
          <t>materiel_recurrer</t>
        </is>
      </c>
      <c r="B589" s="30">
        <f>IFERROR(INDEX(Mots!$B:$B,MATCH($A589,Mots!$A:$A,0)),"introuvable")</f>
        <v/>
      </c>
      <c r="C589" s="30">
        <f>IFERROR(INDEX(Mots!$S:$S,MATCH($A589,Mots!$A:$A,0)),"")</f>
        <v/>
      </c>
      <c r="D589" s="30">
        <f>IFERROR(COUNTA(INDEX(Mots!$J:$J,MATCH($A589,Mots!$A:$A,0)):INDEX(Mots!$P:$P,MATCH($A589,Mots!$A:$A,0))),0)</f>
        <v/>
      </c>
      <c r="E589" s="30">
        <f>IF(COUNTIF(Classement!$A:$A,$A589)&gt;0,"ok","à faire")</f>
        <v/>
      </c>
      <c r="F589" s="30">
        <f>IF(COUNTIF(Tags!$A:$A,$A589)&gt;0,"ok","à faire")</f>
        <v/>
      </c>
      <c r="G589" s="30">
        <f>IF(COUNTIF(Phrases!$A:$A,$A589)&gt;0,"ok","à faire")</f>
        <v/>
      </c>
      <c r="H589" s="30">
        <f>IF(COUNTIFS(Phrases!$A:$A,$A589,Phrases!$I:$I,"&lt;&gt;")&gt;0,"ok","à faire")</f>
        <v/>
      </c>
      <c r="I589" s="30">
        <f>IF(COUNTIF(Synonymes!$A:$A,$A589)&gt;0,"ok","")</f>
        <v/>
      </c>
      <c r="J589" s="30">
        <f>COUNTIF(E589:H589,"à faire")</f>
        <v/>
      </c>
    </row>
    <row r="590">
      <c r="A590" s="30" t="inlineStr">
        <is>
          <t>meister_proper</t>
        </is>
      </c>
      <c r="B590" s="30">
        <f>IFERROR(INDEX(Mots!$B:$B,MATCH($A590,Mots!$A:$A,0)),"introuvable")</f>
        <v/>
      </c>
      <c r="C590" s="30">
        <f>IFERROR(INDEX(Mots!$S:$S,MATCH($A590,Mots!$A:$A,0)),"")</f>
        <v/>
      </c>
      <c r="D590" s="30">
        <f>IFERROR(COUNTA(INDEX(Mots!$J:$J,MATCH($A590,Mots!$A:$A,0)):INDEX(Mots!$P:$P,MATCH($A590,Mots!$A:$A,0))),0)</f>
        <v/>
      </c>
      <c r="E590" s="30">
        <f>IF(COUNTIF(Classement!$A:$A,$A590)&gt;0,"ok","à faire")</f>
        <v/>
      </c>
      <c r="F590" s="30">
        <f>IF(COUNTIF(Tags!$A:$A,$A590)&gt;0,"ok","à faire")</f>
        <v/>
      </c>
      <c r="G590" s="30">
        <f>IF(COUNTIF(Phrases!$A:$A,$A590)&gt;0,"ok","à faire")</f>
        <v/>
      </c>
      <c r="H590" s="30">
        <f>IF(COUNTIFS(Phrases!$A:$A,$A590,Phrases!$I:$I,"&lt;&gt;")&gt;0,"ok","à faire")</f>
        <v/>
      </c>
      <c r="I590" s="30">
        <f>IF(COUNTIF(Synonymes!$A:$A,$A590)&gt;0,"ok","")</f>
        <v/>
      </c>
      <c r="J590" s="30">
        <f>COUNTIF(E590:H590,"à faire")</f>
        <v/>
      </c>
    </row>
    <row r="591">
      <c r="A591" s="30" t="inlineStr">
        <is>
          <t>eponge</t>
        </is>
      </c>
      <c r="B591" s="30">
        <f>IFERROR(INDEX(Mots!$B:$B,MATCH($A591,Mots!$A:$A,0)),"introuvable")</f>
        <v/>
      </c>
      <c r="C591" s="30">
        <f>IFERROR(INDEX(Mots!$S:$S,MATCH($A591,Mots!$A:$A,0)),"")</f>
        <v/>
      </c>
      <c r="D591" s="30">
        <f>IFERROR(COUNTA(INDEX(Mots!$J:$J,MATCH($A591,Mots!$A:$A,0)):INDEX(Mots!$P:$P,MATCH($A591,Mots!$A:$A,0))),0)</f>
        <v/>
      </c>
      <c r="E591" s="30">
        <f>IF(COUNTIF(Classement!$A:$A,$A591)&gt;0,"ok","à faire")</f>
        <v/>
      </c>
      <c r="F591" s="30">
        <f>IF(COUNTIF(Tags!$A:$A,$A591)&gt;0,"ok","à faire")</f>
        <v/>
      </c>
      <c r="G591" s="30">
        <f>IF(COUNTIF(Phrases!$A:$A,$A591)&gt;0,"ok","à faire")</f>
        <v/>
      </c>
      <c r="H591" s="30">
        <f>IF(COUNTIFS(Phrases!$A:$A,$A591,Phrases!$I:$I,"&lt;&gt;")&gt;0,"ok","à faire")</f>
        <v/>
      </c>
      <c r="I591" s="30">
        <f>IF(COUNTIF(Synonymes!$A:$A,$A591)&gt;0,"ok","")</f>
        <v/>
      </c>
      <c r="J591" s="30">
        <f>COUNTIF(E591:H591,"à faire")</f>
        <v/>
      </c>
    </row>
    <row r="592">
      <c r="A592" s="30" t="inlineStr">
        <is>
          <t>chambre</t>
        </is>
      </c>
      <c r="B592" s="30">
        <f>IFERROR(INDEX(Mots!$B:$B,MATCH($A592,Mots!$A:$A,0)),"introuvable")</f>
        <v/>
      </c>
      <c r="C592" s="30">
        <f>IFERROR(INDEX(Mots!$S:$S,MATCH($A592,Mots!$A:$A,0)),"")</f>
        <v/>
      </c>
      <c r="D592" s="30">
        <f>IFERROR(COUNTA(INDEX(Mots!$J:$J,MATCH($A592,Mots!$A:$A,0)):INDEX(Mots!$P:$P,MATCH($A592,Mots!$A:$A,0))),0)</f>
        <v/>
      </c>
      <c r="E592" s="30">
        <f>IF(COUNTIF(Classement!$A:$A,$A592)&gt;0,"ok","à faire")</f>
        <v/>
      </c>
      <c r="F592" s="30">
        <f>IF(COUNTIF(Tags!$A:$A,$A592)&gt;0,"ok","à faire")</f>
        <v/>
      </c>
      <c r="G592" s="30">
        <f>IF(COUNTIF(Phrases!$A:$A,$A592)&gt;0,"ok","à faire")</f>
        <v/>
      </c>
      <c r="H592" s="30">
        <f>IF(COUNTIFS(Phrases!$A:$A,$A592,Phrases!$I:$I,"&lt;&gt;")&gt;0,"ok","à faire")</f>
        <v/>
      </c>
      <c r="I592" s="30">
        <f>IF(COUNTIF(Synonymes!$A:$A,$A592)&gt;0,"ok","")</f>
        <v/>
      </c>
      <c r="J592" s="30">
        <f>COUNTIF(E592:H592,"à faire")</f>
        <v/>
      </c>
    </row>
    <row r="593">
      <c r="A593" s="30" t="inlineStr">
        <is>
          <t>lit</t>
        </is>
      </c>
      <c r="B593" s="30">
        <f>IFERROR(INDEX(Mots!$B:$B,MATCH($A593,Mots!$A:$A,0)),"introuvable")</f>
        <v/>
      </c>
      <c r="C593" s="30">
        <f>IFERROR(INDEX(Mots!$S:$S,MATCH($A593,Mots!$A:$A,0)),"")</f>
        <v/>
      </c>
      <c r="D593" s="30">
        <f>IFERROR(COUNTA(INDEX(Mots!$J:$J,MATCH($A593,Mots!$A:$A,0)):INDEX(Mots!$P:$P,MATCH($A593,Mots!$A:$A,0))),0)</f>
        <v/>
      </c>
      <c r="E593" s="30">
        <f>IF(COUNTIF(Classement!$A:$A,$A593)&gt;0,"ok","à faire")</f>
        <v/>
      </c>
      <c r="F593" s="30">
        <f>IF(COUNTIF(Tags!$A:$A,$A593)&gt;0,"ok","à faire")</f>
        <v/>
      </c>
      <c r="G593" s="30">
        <f>IF(COUNTIF(Phrases!$A:$A,$A593)&gt;0,"ok","à faire")</f>
        <v/>
      </c>
      <c r="H593" s="30">
        <f>IF(COUNTIFS(Phrases!$A:$A,$A593,Phrases!$I:$I,"&lt;&gt;")&gt;0,"ok","à faire")</f>
        <v/>
      </c>
      <c r="I593" s="30">
        <f>IF(COUNTIF(Synonymes!$A:$A,$A593)&gt;0,"ok","")</f>
        <v/>
      </c>
      <c r="J593" s="30">
        <f>COUNTIF(E593:H593,"à faire")</f>
        <v/>
      </c>
    </row>
    <row r="594">
      <c r="A594" s="30" t="inlineStr">
        <is>
          <t>matelas</t>
        </is>
      </c>
      <c r="B594" s="30">
        <f>IFERROR(INDEX(Mots!$B:$B,MATCH($A594,Mots!$A:$A,0)),"introuvable")</f>
        <v/>
      </c>
      <c r="C594" s="30">
        <f>IFERROR(INDEX(Mots!$S:$S,MATCH($A594,Mots!$A:$A,0)),"")</f>
        <v/>
      </c>
      <c r="D594" s="30">
        <f>IFERROR(COUNTA(INDEX(Mots!$J:$J,MATCH($A594,Mots!$A:$A,0)):INDEX(Mots!$P:$P,MATCH($A594,Mots!$A:$A,0))),0)</f>
        <v/>
      </c>
      <c r="E594" s="30">
        <f>IF(COUNTIF(Classement!$A:$A,$A594)&gt;0,"ok","à faire")</f>
        <v/>
      </c>
      <c r="F594" s="30">
        <f>IF(COUNTIF(Tags!$A:$A,$A594)&gt;0,"ok","à faire")</f>
        <v/>
      </c>
      <c r="G594" s="30">
        <f>IF(COUNTIF(Phrases!$A:$A,$A594)&gt;0,"ok","à faire")</f>
        <v/>
      </c>
      <c r="H594" s="30">
        <f>IF(COUNTIFS(Phrases!$A:$A,$A594,Phrases!$I:$I,"&lt;&gt;")&gt;0,"ok","à faire")</f>
        <v/>
      </c>
      <c r="I594" s="30">
        <f>IF(COUNTIF(Synonymes!$A:$A,$A594)&gt;0,"ok","")</f>
        <v/>
      </c>
      <c r="J594" s="30">
        <f>COUNTIF(E594:H594,"à faire")</f>
        <v/>
      </c>
    </row>
    <row r="595">
      <c r="A595" s="30" t="inlineStr">
        <is>
          <t>oreiller</t>
        </is>
      </c>
      <c r="B595" s="30">
        <f>IFERROR(INDEX(Mots!$B:$B,MATCH($A595,Mots!$A:$A,0)),"introuvable")</f>
        <v/>
      </c>
      <c r="C595" s="30">
        <f>IFERROR(INDEX(Mots!$S:$S,MATCH($A595,Mots!$A:$A,0)),"")</f>
        <v/>
      </c>
      <c r="D595" s="30">
        <f>IFERROR(COUNTA(INDEX(Mots!$J:$J,MATCH($A595,Mots!$A:$A,0)):INDEX(Mots!$P:$P,MATCH($A595,Mots!$A:$A,0))),0)</f>
        <v/>
      </c>
      <c r="E595" s="30">
        <f>IF(COUNTIF(Classement!$A:$A,$A595)&gt;0,"ok","à faire")</f>
        <v/>
      </c>
      <c r="F595" s="30">
        <f>IF(COUNTIF(Tags!$A:$A,$A595)&gt;0,"ok","à faire")</f>
        <v/>
      </c>
      <c r="G595" s="30">
        <f>IF(COUNTIF(Phrases!$A:$A,$A595)&gt;0,"ok","à faire")</f>
        <v/>
      </c>
      <c r="H595" s="30">
        <f>IF(COUNTIFS(Phrases!$A:$A,$A595,Phrases!$I:$I,"&lt;&gt;")&gt;0,"ok","à faire")</f>
        <v/>
      </c>
      <c r="I595" s="30">
        <f>IF(COUNTIF(Synonymes!$A:$A,$A595)&gt;0,"ok","")</f>
        <v/>
      </c>
      <c r="J595" s="30">
        <f>COUNTIF(E595:H595,"à faire")</f>
        <v/>
      </c>
    </row>
    <row r="596">
      <c r="A596" s="30" t="inlineStr">
        <is>
          <t>duvet</t>
        </is>
      </c>
      <c r="B596" s="30">
        <f>IFERROR(INDEX(Mots!$B:$B,MATCH($A596,Mots!$A:$A,0)),"introuvable")</f>
        <v/>
      </c>
      <c r="C596" s="30">
        <f>IFERROR(INDEX(Mots!$S:$S,MATCH($A596,Mots!$A:$A,0)),"")</f>
        <v/>
      </c>
      <c r="D596" s="30">
        <f>IFERROR(COUNTA(INDEX(Mots!$J:$J,MATCH($A596,Mots!$A:$A,0)):INDEX(Mots!$P:$P,MATCH($A596,Mots!$A:$A,0))),0)</f>
        <v/>
      </c>
      <c r="E596" s="30">
        <f>IF(COUNTIF(Classement!$A:$A,$A596)&gt;0,"ok","à faire")</f>
        <v/>
      </c>
      <c r="F596" s="30">
        <f>IF(COUNTIF(Tags!$A:$A,$A596)&gt;0,"ok","à faire")</f>
        <v/>
      </c>
      <c r="G596" s="30">
        <f>IF(COUNTIF(Phrases!$A:$A,$A596)&gt;0,"ok","à faire")</f>
        <v/>
      </c>
      <c r="H596" s="30">
        <f>IF(COUNTIFS(Phrases!$A:$A,$A596,Phrases!$I:$I,"&lt;&gt;")&gt;0,"ok","à faire")</f>
        <v/>
      </c>
      <c r="I596" s="30">
        <f>IF(COUNTIF(Synonymes!$A:$A,$A596)&gt;0,"ok","")</f>
        <v/>
      </c>
      <c r="J596" s="30">
        <f>COUNTIF(E596:H596,"à faire")</f>
        <v/>
      </c>
    </row>
    <row r="597">
      <c r="A597" s="30" t="inlineStr">
        <is>
          <t>reveil</t>
        </is>
      </c>
      <c r="B597" s="30">
        <f>IFERROR(INDEX(Mots!$B:$B,MATCH($A597,Mots!$A:$A,0)),"introuvable")</f>
        <v/>
      </c>
      <c r="C597" s="30">
        <f>IFERROR(INDEX(Mots!$S:$S,MATCH($A597,Mots!$A:$A,0)),"")</f>
        <v/>
      </c>
      <c r="D597" s="30">
        <f>IFERROR(COUNTA(INDEX(Mots!$J:$J,MATCH($A597,Mots!$A:$A,0)):INDEX(Mots!$P:$P,MATCH($A597,Mots!$A:$A,0))),0)</f>
        <v/>
      </c>
      <c r="E597" s="30">
        <f>IF(COUNTIF(Classement!$A:$A,$A597)&gt;0,"ok","à faire")</f>
        <v/>
      </c>
      <c r="F597" s="30">
        <f>IF(COUNTIF(Tags!$A:$A,$A597)&gt;0,"ok","à faire")</f>
        <v/>
      </c>
      <c r="G597" s="30">
        <f>IF(COUNTIF(Phrases!$A:$A,$A597)&gt;0,"ok","à faire")</f>
        <v/>
      </c>
      <c r="H597" s="30">
        <f>IF(COUNTIFS(Phrases!$A:$A,$A597,Phrases!$I:$I,"&lt;&gt;")&gt;0,"ok","à faire")</f>
        <v/>
      </c>
      <c r="I597" s="30">
        <f>IF(COUNTIF(Synonymes!$A:$A,$A597)&gt;0,"ok","")</f>
        <v/>
      </c>
      <c r="J597" s="30">
        <f>COUNTIF(E597:H597,"à faire")</f>
        <v/>
      </c>
    </row>
    <row r="598">
      <c r="A598" s="30" t="inlineStr">
        <is>
          <t>armoire</t>
        </is>
      </c>
      <c r="B598" s="30">
        <f>IFERROR(INDEX(Mots!$B:$B,MATCH($A598,Mots!$A:$A,0)),"introuvable")</f>
        <v/>
      </c>
      <c r="C598" s="30">
        <f>IFERROR(INDEX(Mots!$S:$S,MATCH($A598,Mots!$A:$A,0)),"")</f>
        <v/>
      </c>
      <c r="D598" s="30">
        <f>IFERROR(COUNTA(INDEX(Mots!$J:$J,MATCH($A598,Mots!$A:$A,0)):INDEX(Mots!$P:$P,MATCH($A598,Mots!$A:$A,0))),0)</f>
        <v/>
      </c>
      <c r="E598" s="30">
        <f>IF(COUNTIF(Classement!$A:$A,$A598)&gt;0,"ok","à faire")</f>
        <v/>
      </c>
      <c r="F598" s="30">
        <f>IF(COUNTIF(Tags!$A:$A,$A598)&gt;0,"ok","à faire")</f>
        <v/>
      </c>
      <c r="G598" s="30">
        <f>IF(COUNTIF(Phrases!$A:$A,$A598)&gt;0,"ok","à faire")</f>
        <v/>
      </c>
      <c r="H598" s="30">
        <f>IF(COUNTIFS(Phrases!$A:$A,$A598,Phrases!$I:$I,"&lt;&gt;")&gt;0,"ok","à faire")</f>
        <v/>
      </c>
      <c r="I598" s="30">
        <f>IF(COUNTIF(Synonymes!$A:$A,$A598)&gt;0,"ok","")</f>
        <v/>
      </c>
      <c r="J598" s="30">
        <f>COUNTIF(E598:H598,"à faire")</f>
        <v/>
      </c>
    </row>
    <row r="599">
      <c r="A599" s="30" t="inlineStr">
        <is>
          <t>corbeille_a_linge</t>
        </is>
      </c>
      <c r="B599" s="30">
        <f>IFERROR(INDEX(Mots!$B:$B,MATCH($A599,Mots!$A:$A,0)),"introuvable")</f>
        <v/>
      </c>
      <c r="C599" s="30">
        <f>IFERROR(INDEX(Mots!$S:$S,MATCH($A599,Mots!$A:$A,0)),"")</f>
        <v/>
      </c>
      <c r="D599" s="30">
        <f>IFERROR(COUNTA(INDEX(Mots!$J:$J,MATCH($A599,Mots!$A:$A,0)):INDEX(Mots!$P:$P,MATCH($A599,Mots!$A:$A,0))),0)</f>
        <v/>
      </c>
      <c r="E599" s="30">
        <f>IF(COUNTIF(Classement!$A:$A,$A599)&gt;0,"ok","à faire")</f>
        <v/>
      </c>
      <c r="F599" s="30">
        <f>IF(COUNTIF(Tags!$A:$A,$A599)&gt;0,"ok","à faire")</f>
        <v/>
      </c>
      <c r="G599" s="30">
        <f>IF(COUNTIF(Phrases!$A:$A,$A599)&gt;0,"ok","à faire")</f>
        <v/>
      </c>
      <c r="H599" s="30">
        <f>IF(COUNTIFS(Phrases!$A:$A,$A599,Phrases!$I:$I,"&lt;&gt;")&gt;0,"ok","à faire")</f>
        <v/>
      </c>
      <c r="I599" s="30">
        <f>IF(COUNTIF(Synonymes!$A:$A,$A599)&gt;0,"ok","")</f>
        <v/>
      </c>
      <c r="J599" s="30">
        <f>COUNTIF(E599:H599,"à faire")</f>
        <v/>
      </c>
    </row>
    <row r="600">
      <c r="A600" s="30" t="inlineStr">
        <is>
          <t>panier_a_linge</t>
        </is>
      </c>
      <c r="B600" s="30">
        <f>IFERROR(INDEX(Mots!$B:$B,MATCH($A600,Mots!$A:$A,0)),"introuvable")</f>
        <v/>
      </c>
      <c r="C600" s="30">
        <f>IFERROR(INDEX(Mots!$S:$S,MATCH($A600,Mots!$A:$A,0)),"")</f>
        <v/>
      </c>
      <c r="D600" s="30">
        <f>IFERROR(COUNTA(INDEX(Mots!$J:$J,MATCH($A600,Mots!$A:$A,0)):INDEX(Mots!$P:$P,MATCH($A600,Mots!$A:$A,0))),0)</f>
        <v/>
      </c>
      <c r="E600" s="30">
        <f>IF(COUNTIF(Classement!$A:$A,$A600)&gt;0,"ok","à faire")</f>
        <v/>
      </c>
      <c r="F600" s="30">
        <f>IF(COUNTIF(Tags!$A:$A,$A600)&gt;0,"ok","à faire")</f>
        <v/>
      </c>
      <c r="G600" s="30">
        <f>IF(COUNTIF(Phrases!$A:$A,$A600)&gt;0,"ok","à faire")</f>
        <v/>
      </c>
      <c r="H600" s="30">
        <f>IF(COUNTIFS(Phrases!$A:$A,$A600,Phrases!$I:$I,"&lt;&gt;")&gt;0,"ok","à faire")</f>
        <v/>
      </c>
      <c r="I600" s="30">
        <f>IF(COUNTIF(Synonymes!$A:$A,$A600)&gt;0,"ok","")</f>
        <v/>
      </c>
      <c r="J600" s="30">
        <f>COUNTIF(E600:H600,"à faire")</f>
        <v/>
      </c>
    </row>
    <row r="601">
      <c r="A601" s="30" t="inlineStr">
        <is>
          <t>lessive</t>
        </is>
      </c>
      <c r="B601" s="30">
        <f>IFERROR(INDEX(Mots!$B:$B,MATCH($A601,Mots!$A:$A,0)),"introuvable")</f>
        <v/>
      </c>
      <c r="C601" s="30">
        <f>IFERROR(INDEX(Mots!$S:$S,MATCH($A601,Mots!$A:$A,0)),"")</f>
        <v/>
      </c>
      <c r="D601" s="30">
        <f>IFERROR(COUNTA(INDEX(Mots!$J:$J,MATCH($A601,Mots!$A:$A,0)):INDEX(Mots!$P:$P,MATCH($A601,Mots!$A:$A,0))),0)</f>
        <v/>
      </c>
      <c r="E601" s="30">
        <f>IF(COUNTIF(Classement!$A:$A,$A601)&gt;0,"ok","à faire")</f>
        <v/>
      </c>
      <c r="F601" s="30">
        <f>IF(COUNTIF(Tags!$A:$A,$A601)&gt;0,"ok","à faire")</f>
        <v/>
      </c>
      <c r="G601" s="30">
        <f>IF(COUNTIF(Phrases!$A:$A,$A601)&gt;0,"ok","à faire")</f>
        <v/>
      </c>
      <c r="H601" s="30">
        <f>IF(COUNTIFS(Phrases!$A:$A,$A601,Phrases!$I:$I,"&lt;&gt;")&gt;0,"ok","à faire")</f>
        <v/>
      </c>
      <c r="I601" s="30">
        <f>IF(COUNTIF(Synonymes!$A:$A,$A601)&gt;0,"ok","")</f>
        <v/>
      </c>
      <c r="J601" s="30">
        <f>COUNTIF(E601:H601,"à faire")</f>
        <v/>
      </c>
    </row>
    <row r="602">
      <c r="A602" s="30" t="inlineStr">
        <is>
          <t>linge</t>
        </is>
      </c>
      <c r="B602" s="30">
        <f>IFERROR(INDEX(Mots!$B:$B,MATCH($A602,Mots!$A:$A,0)),"introuvable")</f>
        <v/>
      </c>
      <c r="C602" s="30">
        <f>IFERROR(INDEX(Mots!$S:$S,MATCH($A602,Mots!$A:$A,0)),"")</f>
        <v/>
      </c>
      <c r="D602" s="30">
        <f>IFERROR(COUNTA(INDEX(Mots!$J:$J,MATCH($A602,Mots!$A:$A,0)):INDEX(Mots!$P:$P,MATCH($A602,Mots!$A:$A,0))),0)</f>
        <v/>
      </c>
      <c r="E602" s="30">
        <f>IF(COUNTIF(Classement!$A:$A,$A602)&gt;0,"ok","à faire")</f>
        <v/>
      </c>
      <c r="F602" s="30">
        <f>IF(COUNTIF(Tags!$A:$A,$A602)&gt;0,"ok","à faire")</f>
        <v/>
      </c>
      <c r="G602" s="30">
        <f>IF(COUNTIF(Phrases!$A:$A,$A602)&gt;0,"ok","à faire")</f>
        <v/>
      </c>
      <c r="H602" s="30">
        <f>IF(COUNTIFS(Phrases!$A:$A,$A602,Phrases!$I:$I,"&lt;&gt;")&gt;0,"ok","à faire")</f>
        <v/>
      </c>
      <c r="I602" s="30">
        <f>IF(COUNTIF(Synonymes!$A:$A,$A602)&gt;0,"ok","")</f>
        <v/>
      </c>
      <c r="J602" s="30">
        <f>COUNTIF(E602:H602,"à faire")</f>
        <v/>
      </c>
    </row>
    <row r="603">
      <c r="A603" s="30" t="inlineStr">
        <is>
          <t>bureau_piece</t>
        </is>
      </c>
      <c r="B603" s="30">
        <f>IFERROR(INDEX(Mots!$B:$B,MATCH($A603,Mots!$A:$A,0)),"introuvable")</f>
        <v/>
      </c>
      <c r="C603" s="30">
        <f>IFERROR(INDEX(Mots!$S:$S,MATCH($A603,Mots!$A:$A,0)),"")</f>
        <v/>
      </c>
      <c r="D603" s="30">
        <f>IFERROR(COUNTA(INDEX(Mots!$J:$J,MATCH($A603,Mots!$A:$A,0)):INDEX(Mots!$P:$P,MATCH($A603,Mots!$A:$A,0))),0)</f>
        <v/>
      </c>
      <c r="E603" s="30">
        <f>IF(COUNTIF(Classement!$A:$A,$A603)&gt;0,"ok","à faire")</f>
        <v/>
      </c>
      <c r="F603" s="30">
        <f>IF(COUNTIF(Tags!$A:$A,$A603)&gt;0,"ok","à faire")</f>
        <v/>
      </c>
      <c r="G603" s="30">
        <f>IF(COUNTIF(Phrases!$A:$A,$A603)&gt;0,"ok","à faire")</f>
        <v/>
      </c>
      <c r="H603" s="30">
        <f>IF(COUNTIFS(Phrases!$A:$A,$A603,Phrases!$I:$I,"&lt;&gt;")&gt;0,"ok","à faire")</f>
        <v/>
      </c>
      <c r="I603" s="30">
        <f>IF(COUNTIF(Synonymes!$A:$A,$A603)&gt;0,"ok","")</f>
        <v/>
      </c>
      <c r="J603" s="30">
        <f>COUNTIF(E603:H603,"à faire")</f>
        <v/>
      </c>
    </row>
    <row r="604">
      <c r="A604" s="30" t="inlineStr">
        <is>
          <t>classeur</t>
        </is>
      </c>
      <c r="B604" s="30">
        <f>IFERROR(INDEX(Mots!$B:$B,MATCH($A604,Mots!$A:$A,0)),"introuvable")</f>
        <v/>
      </c>
      <c r="C604" s="30">
        <f>IFERROR(INDEX(Mots!$S:$S,MATCH($A604,Mots!$A:$A,0)),"")</f>
        <v/>
      </c>
      <c r="D604" s="30">
        <f>IFERROR(COUNTA(INDEX(Mots!$J:$J,MATCH($A604,Mots!$A:$A,0)):INDEX(Mots!$P:$P,MATCH($A604,Mots!$A:$A,0))),0)</f>
        <v/>
      </c>
      <c r="E604" s="30">
        <f>IF(COUNTIF(Classement!$A:$A,$A604)&gt;0,"ok","à faire")</f>
        <v/>
      </c>
      <c r="F604" s="30">
        <f>IF(COUNTIF(Tags!$A:$A,$A604)&gt;0,"ok","à faire")</f>
        <v/>
      </c>
      <c r="G604" s="30">
        <f>IF(COUNTIF(Phrases!$A:$A,$A604)&gt;0,"ok","à faire")</f>
        <v/>
      </c>
      <c r="H604" s="30">
        <f>IF(COUNTIFS(Phrases!$A:$A,$A604,Phrases!$I:$I,"&lt;&gt;")&gt;0,"ok","à faire")</f>
        <v/>
      </c>
      <c r="I604" s="30">
        <f>IF(COUNTIF(Synonymes!$A:$A,$A604)&gt;0,"ok","")</f>
        <v/>
      </c>
      <c r="J604" s="30">
        <f>COUNTIF(E604:H604,"à faire")</f>
        <v/>
      </c>
    </row>
    <row r="605">
      <c r="A605" s="30" t="inlineStr">
        <is>
          <t>calculatrice</t>
        </is>
      </c>
      <c r="B605" s="30">
        <f>IFERROR(INDEX(Mots!$B:$B,MATCH($A605,Mots!$A:$A,0)),"introuvable")</f>
        <v/>
      </c>
      <c r="C605" s="30">
        <f>IFERROR(INDEX(Mots!$S:$S,MATCH($A605,Mots!$A:$A,0)),"")</f>
        <v/>
      </c>
      <c r="D605" s="30">
        <f>IFERROR(COUNTA(INDEX(Mots!$J:$J,MATCH($A605,Mots!$A:$A,0)):INDEX(Mots!$P:$P,MATCH($A605,Mots!$A:$A,0))),0)</f>
        <v/>
      </c>
      <c r="E605" s="30">
        <f>IF(COUNTIF(Classement!$A:$A,$A605)&gt;0,"ok","à faire")</f>
        <v/>
      </c>
      <c r="F605" s="30">
        <f>IF(COUNTIF(Tags!$A:$A,$A605)&gt;0,"ok","à faire")</f>
        <v/>
      </c>
      <c r="G605" s="30">
        <f>IF(COUNTIF(Phrases!$A:$A,$A605)&gt;0,"ok","à faire")</f>
        <v/>
      </c>
      <c r="H605" s="30">
        <f>IF(COUNTIFS(Phrases!$A:$A,$A605,Phrases!$I:$I,"&lt;&gt;")&gt;0,"ok","à faire")</f>
        <v/>
      </c>
      <c r="I605" s="30">
        <f>IF(COUNTIF(Synonymes!$A:$A,$A605)&gt;0,"ok","")</f>
        <v/>
      </c>
      <c r="J605" s="30">
        <f>COUNTIF(E605:H605,"à faire")</f>
        <v/>
      </c>
    </row>
    <row r="606">
      <c r="A606" s="30" t="inlineStr">
        <is>
          <t>ordinateur</t>
        </is>
      </c>
      <c r="B606" s="30">
        <f>IFERROR(INDEX(Mots!$B:$B,MATCH($A606,Mots!$A:$A,0)),"introuvable")</f>
        <v/>
      </c>
      <c r="C606" s="30">
        <f>IFERROR(INDEX(Mots!$S:$S,MATCH($A606,Mots!$A:$A,0)),"")</f>
        <v/>
      </c>
      <c r="D606" s="30">
        <f>IFERROR(COUNTA(INDEX(Mots!$J:$J,MATCH($A606,Mots!$A:$A,0)):INDEX(Mots!$P:$P,MATCH($A606,Mots!$A:$A,0))),0)</f>
        <v/>
      </c>
      <c r="E606" s="30">
        <f>IF(COUNTIF(Classement!$A:$A,$A606)&gt;0,"ok","à faire")</f>
        <v/>
      </c>
      <c r="F606" s="30">
        <f>IF(COUNTIF(Tags!$A:$A,$A606)&gt;0,"ok","à faire")</f>
        <v/>
      </c>
      <c r="G606" s="30">
        <f>IF(COUNTIF(Phrases!$A:$A,$A606)&gt;0,"ok","à faire")</f>
        <v/>
      </c>
      <c r="H606" s="30">
        <f>IF(COUNTIFS(Phrases!$A:$A,$A606,Phrases!$I:$I,"&lt;&gt;")&gt;0,"ok","à faire")</f>
        <v/>
      </c>
      <c r="I606" s="30">
        <f>IF(COUNTIF(Synonymes!$A:$A,$A606)&gt;0,"ok","")</f>
        <v/>
      </c>
      <c r="J606" s="30">
        <f>COUNTIF(E606:H606,"à faire")</f>
        <v/>
      </c>
    </row>
    <row r="607">
      <c r="A607" s="30" t="inlineStr">
        <is>
          <t>essence</t>
        </is>
      </c>
      <c r="B607" s="30">
        <f>IFERROR(INDEX(Mots!$B:$B,MATCH($A607,Mots!$A:$A,0)),"introuvable")</f>
        <v/>
      </c>
      <c r="C607" s="30">
        <f>IFERROR(INDEX(Mots!$S:$S,MATCH($A607,Mots!$A:$A,0)),"")</f>
        <v/>
      </c>
      <c r="D607" s="30">
        <f>IFERROR(COUNTA(INDEX(Mots!$J:$J,MATCH($A607,Mots!$A:$A,0)):INDEX(Mots!$P:$P,MATCH($A607,Mots!$A:$A,0))),0)</f>
        <v/>
      </c>
      <c r="E607" s="30">
        <f>IF(COUNTIF(Classement!$A:$A,$A607)&gt;0,"ok","à faire")</f>
        <v/>
      </c>
      <c r="F607" s="30">
        <f>IF(COUNTIF(Tags!$A:$A,$A607)&gt;0,"ok","à faire")</f>
        <v/>
      </c>
      <c r="G607" s="30">
        <f>IF(COUNTIF(Phrases!$A:$A,$A607)&gt;0,"ok","à faire")</f>
        <v/>
      </c>
      <c r="H607" s="30">
        <f>IF(COUNTIFS(Phrases!$A:$A,$A607,Phrases!$I:$I,"&lt;&gt;")&gt;0,"ok","à faire")</f>
        <v/>
      </c>
      <c r="I607" s="30">
        <f>IF(COUNTIF(Synonymes!$A:$A,$A607)&gt;0,"ok","")</f>
        <v/>
      </c>
      <c r="J607" s="30">
        <f>COUNTIF(E607:H607,"à faire")</f>
        <v/>
      </c>
    </row>
    <row r="608">
      <c r="A608" s="30" t="inlineStr">
        <is>
          <t>jauge_huile</t>
        </is>
      </c>
      <c r="B608" s="30">
        <f>IFERROR(INDEX(Mots!$B:$B,MATCH($A608,Mots!$A:$A,0)),"introuvable")</f>
        <v/>
      </c>
      <c r="C608" s="30">
        <f>IFERROR(INDEX(Mots!$S:$S,MATCH($A608,Mots!$A:$A,0)),"")</f>
        <v/>
      </c>
      <c r="D608" s="30">
        <f>IFERROR(COUNTA(INDEX(Mots!$J:$J,MATCH($A608,Mots!$A:$A,0)):INDEX(Mots!$P:$P,MATCH($A608,Mots!$A:$A,0))),0)</f>
        <v/>
      </c>
      <c r="E608" s="30">
        <f>IF(COUNTIF(Classement!$A:$A,$A608)&gt;0,"ok","à faire")</f>
        <v/>
      </c>
      <c r="F608" s="30">
        <f>IF(COUNTIF(Tags!$A:$A,$A608)&gt;0,"ok","à faire")</f>
        <v/>
      </c>
      <c r="G608" s="30">
        <f>IF(COUNTIF(Phrases!$A:$A,$A608)&gt;0,"ok","à faire")</f>
        <v/>
      </c>
      <c r="H608" s="30">
        <f>IF(COUNTIFS(Phrases!$A:$A,$A608,Phrases!$I:$I,"&lt;&gt;")&gt;0,"ok","à faire")</f>
        <v/>
      </c>
      <c r="I608" s="30">
        <f>IF(COUNTIF(Synonymes!$A:$A,$A608)&gt;0,"ok","")</f>
        <v/>
      </c>
      <c r="J608" s="30">
        <f>COUNTIF(E608:H608,"à faire")</f>
        <v/>
      </c>
    </row>
    <row r="609">
      <c r="A609" s="30" t="inlineStr">
        <is>
          <t>huile_moteur</t>
        </is>
      </c>
      <c r="B609" s="30">
        <f>IFERROR(INDEX(Mots!$B:$B,MATCH($A609,Mots!$A:$A,0)),"introuvable")</f>
        <v/>
      </c>
      <c r="C609" s="30">
        <f>IFERROR(INDEX(Mots!$S:$S,MATCH($A609,Mots!$A:$A,0)),"")</f>
        <v/>
      </c>
      <c r="D609" s="30">
        <f>IFERROR(COUNTA(INDEX(Mots!$J:$J,MATCH($A609,Mots!$A:$A,0)):INDEX(Mots!$P:$P,MATCH($A609,Mots!$A:$A,0))),0)</f>
        <v/>
      </c>
      <c r="E609" s="30">
        <f>IF(COUNTIF(Classement!$A:$A,$A609)&gt;0,"ok","à faire")</f>
        <v/>
      </c>
      <c r="F609" s="30">
        <f>IF(COUNTIF(Tags!$A:$A,$A609)&gt;0,"ok","à faire")</f>
        <v/>
      </c>
      <c r="G609" s="30">
        <f>IF(COUNTIF(Phrases!$A:$A,$A609)&gt;0,"ok","à faire")</f>
        <v/>
      </c>
      <c r="H609" s="30">
        <f>IF(COUNTIFS(Phrases!$A:$A,$A609,Phrases!$I:$I,"&lt;&gt;")&gt;0,"ok","à faire")</f>
        <v/>
      </c>
      <c r="I609" s="30">
        <f>IF(COUNTIF(Synonymes!$A:$A,$A609)&gt;0,"ok","")</f>
        <v/>
      </c>
      <c r="J609" s="30">
        <f>COUNTIF(E609:H609,"à faire")</f>
        <v/>
      </c>
    </row>
    <row r="610">
      <c r="A610" s="30" t="inlineStr">
        <is>
          <t>liquide_lave_glace</t>
        </is>
      </c>
      <c r="B610" s="30">
        <f>IFERROR(INDEX(Mots!$B:$B,MATCH($A610,Mots!$A:$A,0)),"introuvable")</f>
        <v/>
      </c>
      <c r="C610" s="30">
        <f>IFERROR(INDEX(Mots!$S:$S,MATCH($A610,Mots!$A:$A,0)),"")</f>
        <v/>
      </c>
      <c r="D610" s="30">
        <f>IFERROR(COUNTA(INDEX(Mots!$J:$J,MATCH($A610,Mots!$A:$A,0)):INDEX(Mots!$P:$P,MATCH($A610,Mots!$A:$A,0))),0)</f>
        <v/>
      </c>
      <c r="E610" s="30">
        <f>IF(COUNTIF(Classement!$A:$A,$A610)&gt;0,"ok","à faire")</f>
        <v/>
      </c>
      <c r="F610" s="30">
        <f>IF(COUNTIF(Tags!$A:$A,$A610)&gt;0,"ok","à faire")</f>
        <v/>
      </c>
      <c r="G610" s="30">
        <f>IF(COUNTIF(Phrases!$A:$A,$A610)&gt;0,"ok","à faire")</f>
        <v/>
      </c>
      <c r="H610" s="30">
        <f>IF(COUNTIFS(Phrases!$A:$A,$A610,Phrases!$I:$I,"&lt;&gt;")&gt;0,"ok","à faire")</f>
        <v/>
      </c>
      <c r="I610" s="30">
        <f>IF(COUNTIF(Synonymes!$A:$A,$A610)&gt;0,"ok","")</f>
        <v/>
      </c>
      <c r="J610" s="30">
        <f>COUNTIF(E610:H610,"à faire")</f>
        <v/>
      </c>
    </row>
    <row r="611">
      <c r="A611" s="30" t="inlineStr">
        <is>
          <t>entonnoir</t>
        </is>
      </c>
      <c r="B611" s="30">
        <f>IFERROR(INDEX(Mots!$B:$B,MATCH($A611,Mots!$A:$A,0)),"introuvable")</f>
        <v/>
      </c>
      <c r="C611" s="30">
        <f>IFERROR(INDEX(Mots!$S:$S,MATCH($A611,Mots!$A:$A,0)),"")</f>
        <v/>
      </c>
      <c r="D611" s="30">
        <f>IFERROR(COUNTA(INDEX(Mots!$J:$J,MATCH($A611,Mots!$A:$A,0)):INDEX(Mots!$P:$P,MATCH($A611,Mots!$A:$A,0))),0)</f>
        <v/>
      </c>
      <c r="E611" s="30">
        <f>IF(COUNTIF(Classement!$A:$A,$A611)&gt;0,"ok","à faire")</f>
        <v/>
      </c>
      <c r="F611" s="30">
        <f>IF(COUNTIF(Tags!$A:$A,$A611)&gt;0,"ok","à faire")</f>
        <v/>
      </c>
      <c r="G611" s="30">
        <f>IF(COUNTIF(Phrases!$A:$A,$A611)&gt;0,"ok","à faire")</f>
        <v/>
      </c>
      <c r="H611" s="30">
        <f>IF(COUNTIFS(Phrases!$A:$A,$A611,Phrases!$I:$I,"&lt;&gt;")&gt;0,"ok","à faire")</f>
        <v/>
      </c>
      <c r="I611" s="30">
        <f>IF(COUNTIF(Synonymes!$A:$A,$A611)&gt;0,"ok","")</f>
        <v/>
      </c>
      <c r="J611" s="30">
        <f>COUNTIF(E611:H611,"à faire")</f>
        <v/>
      </c>
    </row>
    <row r="612">
      <c r="A612" s="30" t="inlineStr">
        <is>
          <t>paire_de_slip</t>
        </is>
      </c>
      <c r="B612" s="30">
        <f>IFERROR(INDEX(Mots!$B:$B,MATCH($A612,Mots!$A:$A,0)),"introuvable")</f>
        <v/>
      </c>
      <c r="C612" s="30">
        <f>IFERROR(INDEX(Mots!$S:$S,MATCH($A612,Mots!$A:$A,0)),"")</f>
        <v/>
      </c>
      <c r="D612" s="30">
        <f>IFERROR(COUNTA(INDEX(Mots!$J:$J,MATCH($A612,Mots!$A:$A,0)):INDEX(Mots!$P:$P,MATCH($A612,Mots!$A:$A,0))),0)</f>
        <v/>
      </c>
      <c r="E612" s="30">
        <f>IF(COUNTIF(Classement!$A:$A,$A612)&gt;0,"ok","à faire")</f>
        <v/>
      </c>
      <c r="F612" s="30">
        <f>IF(COUNTIF(Tags!$A:$A,$A612)&gt;0,"ok","à faire")</f>
        <v/>
      </c>
      <c r="G612" s="30">
        <f>IF(COUNTIF(Phrases!$A:$A,$A612)&gt;0,"ok","à faire")</f>
        <v/>
      </c>
      <c r="H612" s="30">
        <f>IF(COUNTIFS(Phrases!$A:$A,$A612,Phrases!$I:$I,"&lt;&gt;")&gt;0,"ok","à faire")</f>
        <v/>
      </c>
      <c r="I612" s="30">
        <f>IF(COUNTIF(Synonymes!$A:$A,$A612)&gt;0,"ok","")</f>
        <v/>
      </c>
      <c r="J612" s="30">
        <f>COUNTIF(E612:H612,"à faire")</f>
        <v/>
      </c>
    </row>
    <row r="613">
      <c r="A613" s="30" t="inlineStr">
        <is>
          <t>bas</t>
        </is>
      </c>
      <c r="B613" s="30">
        <f>IFERROR(INDEX(Mots!$B:$B,MATCH($A613,Mots!$A:$A,0)),"introuvable")</f>
        <v/>
      </c>
      <c r="C613" s="30">
        <f>IFERROR(INDEX(Mots!$S:$S,MATCH($A613,Mots!$A:$A,0)),"")</f>
        <v/>
      </c>
      <c r="D613" s="30">
        <f>IFERROR(COUNTA(INDEX(Mots!$J:$J,MATCH($A613,Mots!$A:$A,0)):INDEX(Mots!$P:$P,MATCH($A613,Mots!$A:$A,0))),0)</f>
        <v/>
      </c>
      <c r="E613" s="30">
        <f>IF(COUNTIF(Classement!$A:$A,$A613)&gt;0,"ok","à faire")</f>
        <v/>
      </c>
      <c r="F613" s="30">
        <f>IF(COUNTIF(Tags!$A:$A,$A613)&gt;0,"ok","à faire")</f>
        <v/>
      </c>
      <c r="G613" s="30">
        <f>IF(COUNTIF(Phrases!$A:$A,$A613)&gt;0,"ok","à faire")</f>
        <v/>
      </c>
      <c r="H613" s="30">
        <f>IF(COUNTIFS(Phrases!$A:$A,$A613,Phrases!$I:$I,"&lt;&gt;")&gt;0,"ok","à faire")</f>
        <v/>
      </c>
      <c r="I613" s="30">
        <f>IF(COUNTIF(Synonymes!$A:$A,$A613)&gt;0,"ok","")</f>
        <v/>
      </c>
      <c r="J613" s="30">
        <f>COUNTIF(E613:H613,"à faire")</f>
        <v/>
      </c>
    </row>
    <row r="614">
      <c r="A614" s="30" t="inlineStr">
        <is>
          <t>pantalon</t>
        </is>
      </c>
      <c r="B614" s="30">
        <f>IFERROR(INDEX(Mots!$B:$B,MATCH($A614,Mots!$A:$A,0)),"introuvable")</f>
        <v/>
      </c>
      <c r="C614" s="30">
        <f>IFERROR(INDEX(Mots!$S:$S,MATCH($A614,Mots!$A:$A,0)),"")</f>
        <v/>
      </c>
      <c r="D614" s="30">
        <f>IFERROR(COUNTA(INDEX(Mots!$J:$J,MATCH($A614,Mots!$A:$A,0)):INDEX(Mots!$P:$P,MATCH($A614,Mots!$A:$A,0))),0)</f>
        <v/>
      </c>
      <c r="E614" s="30">
        <f>IF(COUNTIF(Classement!$A:$A,$A614)&gt;0,"ok","à faire")</f>
        <v/>
      </c>
      <c r="F614" s="30">
        <f>IF(COUNTIF(Tags!$A:$A,$A614)&gt;0,"ok","à faire")</f>
        <v/>
      </c>
      <c r="G614" s="30">
        <f>IF(COUNTIF(Phrases!$A:$A,$A614)&gt;0,"ok","à faire")</f>
        <v/>
      </c>
      <c r="H614" s="30">
        <f>IF(COUNTIFS(Phrases!$A:$A,$A614,Phrases!$I:$I,"&lt;&gt;")&gt;0,"ok","à faire")</f>
        <v/>
      </c>
      <c r="I614" s="30">
        <f>IF(COUNTIF(Synonymes!$A:$A,$A614)&gt;0,"ok","")</f>
        <v/>
      </c>
      <c r="J614" s="30">
        <f>COUNTIF(E614:H614,"à faire")</f>
        <v/>
      </c>
    </row>
    <row r="615">
      <c r="A615" s="30" t="inlineStr">
        <is>
          <t>pantalon_jeans</t>
        </is>
      </c>
      <c r="B615" s="30">
        <f>IFERROR(INDEX(Mots!$B:$B,MATCH($A615,Mots!$A:$A,0)),"introuvable")</f>
        <v/>
      </c>
      <c r="C615" s="30">
        <f>IFERROR(INDEX(Mots!$S:$S,MATCH($A615,Mots!$A:$A,0)),"")</f>
        <v/>
      </c>
      <c r="D615" s="30">
        <f>IFERROR(COUNTA(INDEX(Mots!$J:$J,MATCH($A615,Mots!$A:$A,0)):INDEX(Mots!$P:$P,MATCH($A615,Mots!$A:$A,0))),0)</f>
        <v/>
      </c>
      <c r="E615" s="30">
        <f>IF(COUNTIF(Classement!$A:$A,$A615)&gt;0,"ok","à faire")</f>
        <v/>
      </c>
      <c r="F615" s="30">
        <f>IF(COUNTIF(Tags!$A:$A,$A615)&gt;0,"ok","à faire")</f>
        <v/>
      </c>
      <c r="G615" s="30">
        <f>IF(COUNTIF(Phrases!$A:$A,$A615)&gt;0,"ok","à faire")</f>
        <v/>
      </c>
      <c r="H615" s="30">
        <f>IF(COUNTIFS(Phrases!$A:$A,$A615,Phrases!$I:$I,"&lt;&gt;")&gt;0,"ok","à faire")</f>
        <v/>
      </c>
      <c r="I615" s="30">
        <f>IF(COUNTIF(Synonymes!$A:$A,$A615)&gt;0,"ok","")</f>
        <v/>
      </c>
      <c r="J615" s="30">
        <f>COUNTIF(E615:H615,"à faire")</f>
        <v/>
      </c>
    </row>
    <row r="616">
      <c r="A616" s="30" t="inlineStr">
        <is>
          <t>cuissettes</t>
        </is>
      </c>
      <c r="B616" s="30">
        <f>IFERROR(INDEX(Mots!$B:$B,MATCH($A616,Mots!$A:$A,0)),"introuvable")</f>
        <v/>
      </c>
      <c r="C616" s="30">
        <f>IFERROR(INDEX(Mots!$S:$S,MATCH($A616,Mots!$A:$A,0)),"")</f>
        <v/>
      </c>
      <c r="D616" s="30">
        <f>IFERROR(COUNTA(INDEX(Mots!$J:$J,MATCH($A616,Mots!$A:$A,0)):INDEX(Mots!$P:$P,MATCH($A616,Mots!$A:$A,0))),0)</f>
        <v/>
      </c>
      <c r="E616" s="30">
        <f>IF(COUNTIF(Classement!$A:$A,$A616)&gt;0,"ok","à faire")</f>
        <v/>
      </c>
      <c r="F616" s="30">
        <f>IF(COUNTIF(Tags!$A:$A,$A616)&gt;0,"ok","à faire")</f>
        <v/>
      </c>
      <c r="G616" s="30">
        <f>IF(COUNTIF(Phrases!$A:$A,$A616)&gt;0,"ok","à faire")</f>
        <v/>
      </c>
      <c r="H616" s="30">
        <f>IF(COUNTIFS(Phrases!$A:$A,$A616,Phrases!$I:$I,"&lt;&gt;")&gt;0,"ok","à faire")</f>
        <v/>
      </c>
      <c r="I616" s="30">
        <f>IF(COUNTIF(Synonymes!$A:$A,$A616)&gt;0,"ok","")</f>
        <v/>
      </c>
      <c r="J616" s="30">
        <f>COUNTIF(E616:H616,"à faire")</f>
        <v/>
      </c>
    </row>
    <row r="617">
      <c r="A617" s="30" t="inlineStr">
        <is>
          <t>jupe</t>
        </is>
      </c>
      <c r="B617" s="30">
        <f>IFERROR(INDEX(Mots!$B:$B,MATCH($A617,Mots!$A:$A,0)),"introuvable")</f>
        <v/>
      </c>
      <c r="C617" s="30">
        <f>IFERROR(INDEX(Mots!$S:$S,MATCH($A617,Mots!$A:$A,0)),"")</f>
        <v/>
      </c>
      <c r="D617" s="30">
        <f>IFERROR(COUNTA(INDEX(Mots!$J:$J,MATCH($A617,Mots!$A:$A,0)):INDEX(Mots!$P:$P,MATCH($A617,Mots!$A:$A,0))),0)</f>
        <v/>
      </c>
      <c r="E617" s="30">
        <f>IF(COUNTIF(Classement!$A:$A,$A617)&gt;0,"ok","à faire")</f>
        <v/>
      </c>
      <c r="F617" s="30">
        <f>IF(COUNTIF(Tags!$A:$A,$A617)&gt;0,"ok","à faire")</f>
        <v/>
      </c>
      <c r="G617" s="30">
        <f>IF(COUNTIF(Phrases!$A:$A,$A617)&gt;0,"ok","à faire")</f>
        <v/>
      </c>
      <c r="H617" s="30">
        <f>IF(COUNTIFS(Phrases!$A:$A,$A617,Phrases!$I:$I,"&lt;&gt;")&gt;0,"ok","à faire")</f>
        <v/>
      </c>
      <c r="I617" s="30">
        <f>IF(COUNTIF(Synonymes!$A:$A,$A617)&gt;0,"ok","")</f>
        <v/>
      </c>
      <c r="J617" s="30">
        <f>COUNTIF(E617:H617,"à faire")</f>
        <v/>
      </c>
    </row>
    <row r="618">
      <c r="A618" s="30" t="inlineStr">
        <is>
          <t>juste_au_corps</t>
        </is>
      </c>
      <c r="B618" s="30">
        <f>IFERROR(INDEX(Mots!$B:$B,MATCH($A618,Mots!$A:$A,0)),"introuvable")</f>
        <v/>
      </c>
      <c r="C618" s="30">
        <f>IFERROR(INDEX(Mots!$S:$S,MATCH($A618,Mots!$A:$A,0)),"")</f>
        <v/>
      </c>
      <c r="D618" s="30">
        <f>IFERROR(COUNTA(INDEX(Mots!$J:$J,MATCH($A618,Mots!$A:$A,0)):INDEX(Mots!$P:$P,MATCH($A618,Mots!$A:$A,0))),0)</f>
        <v/>
      </c>
      <c r="E618" s="30">
        <f>IF(COUNTIF(Classement!$A:$A,$A618)&gt;0,"ok","à faire")</f>
        <v/>
      </c>
      <c r="F618" s="30">
        <f>IF(COUNTIF(Tags!$A:$A,$A618)&gt;0,"ok","à faire")</f>
        <v/>
      </c>
      <c r="G618" s="30">
        <f>IF(COUNTIF(Phrases!$A:$A,$A618)&gt;0,"ok","à faire")</f>
        <v/>
      </c>
      <c r="H618" s="30">
        <f>IF(COUNTIFS(Phrases!$A:$A,$A618,Phrases!$I:$I,"&lt;&gt;")&gt;0,"ok","à faire")</f>
        <v/>
      </c>
      <c r="I618" s="30">
        <f>IF(COUNTIF(Synonymes!$A:$A,$A618)&gt;0,"ok","")</f>
        <v/>
      </c>
      <c r="J618" s="30">
        <f>COUNTIF(E618:H618,"à faire")</f>
        <v/>
      </c>
    </row>
    <row r="619">
      <c r="A619" s="30" t="inlineStr">
        <is>
          <t>t_shirt</t>
        </is>
      </c>
      <c r="B619" s="30">
        <f>IFERROR(INDEX(Mots!$B:$B,MATCH($A619,Mots!$A:$A,0)),"introuvable")</f>
        <v/>
      </c>
      <c r="C619" s="30">
        <f>IFERROR(INDEX(Mots!$S:$S,MATCH($A619,Mots!$A:$A,0)),"")</f>
        <v/>
      </c>
      <c r="D619" s="30">
        <f>IFERROR(COUNTA(INDEX(Mots!$J:$J,MATCH($A619,Mots!$A:$A,0)):INDEX(Mots!$P:$P,MATCH($A619,Mots!$A:$A,0))),0)</f>
        <v/>
      </c>
      <c r="E619" s="30">
        <f>IF(COUNTIF(Classement!$A:$A,$A619)&gt;0,"ok","à faire")</f>
        <v/>
      </c>
      <c r="F619" s="30">
        <f>IF(COUNTIF(Tags!$A:$A,$A619)&gt;0,"ok","à faire")</f>
        <v/>
      </c>
      <c r="G619" s="30">
        <f>IF(COUNTIF(Phrases!$A:$A,$A619)&gt;0,"ok","à faire")</f>
        <v/>
      </c>
      <c r="H619" s="30">
        <f>IF(COUNTIFS(Phrases!$A:$A,$A619,Phrases!$I:$I,"&lt;&gt;")&gt;0,"ok","à faire")</f>
        <v/>
      </c>
      <c r="I619" s="30">
        <f>IF(COUNTIF(Synonymes!$A:$A,$A619)&gt;0,"ok","")</f>
        <v/>
      </c>
      <c r="J619" s="30">
        <f>COUNTIF(E619:H619,"à faire")</f>
        <v/>
      </c>
    </row>
    <row r="620">
      <c r="A620" s="30" t="inlineStr">
        <is>
          <t>chemise</t>
        </is>
      </c>
      <c r="B620" s="30">
        <f>IFERROR(INDEX(Mots!$B:$B,MATCH($A620,Mots!$A:$A,0)),"introuvable")</f>
        <v/>
      </c>
      <c r="C620" s="30">
        <f>IFERROR(INDEX(Mots!$S:$S,MATCH($A620,Mots!$A:$A,0)),"")</f>
        <v/>
      </c>
      <c r="D620" s="30">
        <f>IFERROR(COUNTA(INDEX(Mots!$J:$J,MATCH($A620,Mots!$A:$A,0)):INDEX(Mots!$P:$P,MATCH($A620,Mots!$A:$A,0))),0)</f>
        <v/>
      </c>
      <c r="E620" s="30">
        <f>IF(COUNTIF(Classement!$A:$A,$A620)&gt;0,"ok","à faire")</f>
        <v/>
      </c>
      <c r="F620" s="30">
        <f>IF(COUNTIF(Tags!$A:$A,$A620)&gt;0,"ok","à faire")</f>
        <v/>
      </c>
      <c r="G620" s="30">
        <f>IF(COUNTIF(Phrases!$A:$A,$A620)&gt;0,"ok","à faire")</f>
        <v/>
      </c>
      <c r="H620" s="30">
        <f>IF(COUNTIFS(Phrases!$A:$A,$A620,Phrases!$I:$I,"&lt;&gt;")&gt;0,"ok","à faire")</f>
        <v/>
      </c>
      <c r="I620" s="30">
        <f>IF(COUNTIF(Synonymes!$A:$A,$A620)&gt;0,"ok","")</f>
        <v/>
      </c>
      <c r="J620" s="30">
        <f>COUNTIF(E620:H620,"à faire")</f>
        <v/>
      </c>
    </row>
    <row r="621">
      <c r="A621" s="30" t="inlineStr">
        <is>
          <t>polo</t>
        </is>
      </c>
      <c r="B621" s="30">
        <f>IFERROR(INDEX(Mots!$B:$B,MATCH($A621,Mots!$A:$A,0)),"introuvable")</f>
        <v/>
      </c>
      <c r="C621" s="30">
        <f>IFERROR(INDEX(Mots!$S:$S,MATCH($A621,Mots!$A:$A,0)),"")</f>
        <v/>
      </c>
      <c r="D621" s="30">
        <f>IFERROR(COUNTA(INDEX(Mots!$J:$J,MATCH($A621,Mots!$A:$A,0)):INDEX(Mots!$P:$P,MATCH($A621,Mots!$A:$A,0))),0)</f>
        <v/>
      </c>
      <c r="E621" s="30">
        <f>IF(COUNTIF(Classement!$A:$A,$A621)&gt;0,"ok","à faire")</f>
        <v/>
      </c>
      <c r="F621" s="30">
        <f>IF(COUNTIF(Tags!$A:$A,$A621)&gt;0,"ok","à faire")</f>
        <v/>
      </c>
      <c r="G621" s="30">
        <f>IF(COUNTIF(Phrases!$A:$A,$A621)&gt;0,"ok","à faire")</f>
        <v/>
      </c>
      <c r="H621" s="30">
        <f>IF(COUNTIFS(Phrases!$A:$A,$A621,Phrases!$I:$I,"&lt;&gt;")&gt;0,"ok","à faire")</f>
        <v/>
      </c>
      <c r="I621" s="30">
        <f>IF(COUNTIF(Synonymes!$A:$A,$A621)&gt;0,"ok","")</f>
        <v/>
      </c>
      <c r="J621" s="30">
        <f>COUNTIF(E621:H621,"à faire")</f>
        <v/>
      </c>
    </row>
    <row r="622">
      <c r="A622" s="30" t="inlineStr">
        <is>
          <t>pull_ou_pullover</t>
        </is>
      </c>
      <c r="B622" s="30">
        <f>IFERROR(INDEX(Mots!$B:$B,MATCH($A622,Mots!$A:$A,0)),"introuvable")</f>
        <v/>
      </c>
      <c r="C622" s="30">
        <f>IFERROR(INDEX(Mots!$S:$S,MATCH($A622,Mots!$A:$A,0)),"")</f>
        <v/>
      </c>
      <c r="D622" s="30">
        <f>IFERROR(COUNTA(INDEX(Mots!$J:$J,MATCH($A622,Mots!$A:$A,0)):INDEX(Mots!$P:$P,MATCH($A622,Mots!$A:$A,0))),0)</f>
        <v/>
      </c>
      <c r="E622" s="30">
        <f>IF(COUNTIF(Classement!$A:$A,$A622)&gt;0,"ok","à faire")</f>
        <v/>
      </c>
      <c r="F622" s="30">
        <f>IF(COUNTIF(Tags!$A:$A,$A622)&gt;0,"ok","à faire")</f>
        <v/>
      </c>
      <c r="G622" s="30">
        <f>IF(COUNTIF(Phrases!$A:$A,$A622)&gt;0,"ok","à faire")</f>
        <v/>
      </c>
      <c r="H622" s="30">
        <f>IF(COUNTIFS(Phrases!$A:$A,$A622,Phrases!$I:$I,"&lt;&gt;")&gt;0,"ok","à faire")</f>
        <v/>
      </c>
      <c r="I622" s="30">
        <f>IF(COUNTIF(Synonymes!$A:$A,$A622)&gt;0,"ok","")</f>
        <v/>
      </c>
      <c r="J622" s="30">
        <f>COUNTIF(E622:H622,"à faire")</f>
        <v/>
      </c>
    </row>
    <row r="623">
      <c r="A623" s="30" t="inlineStr">
        <is>
          <t>veste</t>
        </is>
      </c>
      <c r="B623" s="30">
        <f>IFERROR(INDEX(Mots!$B:$B,MATCH($A623,Mots!$A:$A,0)),"introuvable")</f>
        <v/>
      </c>
      <c r="C623" s="30">
        <f>IFERROR(INDEX(Mots!$S:$S,MATCH($A623,Mots!$A:$A,0)),"")</f>
        <v/>
      </c>
      <c r="D623" s="30">
        <f>IFERROR(COUNTA(INDEX(Mots!$J:$J,MATCH($A623,Mots!$A:$A,0)):INDEX(Mots!$P:$P,MATCH($A623,Mots!$A:$A,0))),0)</f>
        <v/>
      </c>
      <c r="E623" s="30">
        <f>IF(COUNTIF(Classement!$A:$A,$A623)&gt;0,"ok","à faire")</f>
        <v/>
      </c>
      <c r="F623" s="30">
        <f>IF(COUNTIF(Tags!$A:$A,$A623)&gt;0,"ok","à faire")</f>
        <v/>
      </c>
      <c r="G623" s="30">
        <f>IF(COUNTIF(Phrases!$A:$A,$A623)&gt;0,"ok","à faire")</f>
        <v/>
      </c>
      <c r="H623" s="30">
        <f>IF(COUNTIFS(Phrases!$A:$A,$A623,Phrases!$I:$I,"&lt;&gt;")&gt;0,"ok","à faire")</f>
        <v/>
      </c>
      <c r="I623" s="30">
        <f>IF(COUNTIF(Synonymes!$A:$A,$A623)&gt;0,"ok","")</f>
        <v/>
      </c>
      <c r="J623" s="30">
        <f>COUNTIF(E623:H623,"à faire")</f>
        <v/>
      </c>
    </row>
    <row r="624">
      <c r="A624" s="30" t="inlineStr">
        <is>
          <t>pain</t>
        </is>
      </c>
      <c r="B624" s="30">
        <f>IFERROR(INDEX(Mots!$B:$B,MATCH($A624,Mots!$A:$A,0)),"introuvable")</f>
        <v/>
      </c>
      <c r="C624" s="30">
        <f>IFERROR(INDEX(Mots!$S:$S,MATCH($A624,Mots!$A:$A,0)),"")</f>
        <v/>
      </c>
      <c r="D624" s="30">
        <f>IFERROR(COUNTA(INDEX(Mots!$J:$J,MATCH($A624,Mots!$A:$A,0)):INDEX(Mots!$P:$P,MATCH($A624,Mots!$A:$A,0))),0)</f>
        <v/>
      </c>
      <c r="E624" s="30">
        <f>IF(COUNTIF(Classement!$A:$A,$A624)&gt;0,"ok","à faire")</f>
        <v/>
      </c>
      <c r="F624" s="30">
        <f>IF(COUNTIF(Tags!$A:$A,$A624)&gt;0,"ok","à faire")</f>
        <v/>
      </c>
      <c r="G624" s="30">
        <f>IF(COUNTIF(Phrases!$A:$A,$A624)&gt;0,"ok","à faire")</f>
        <v/>
      </c>
      <c r="H624" s="30">
        <f>IF(COUNTIFS(Phrases!$A:$A,$A624,Phrases!$I:$I,"&lt;&gt;")&gt;0,"ok","à faire")</f>
        <v/>
      </c>
      <c r="I624" s="30">
        <f>IF(COUNTIF(Synonymes!$A:$A,$A624)&gt;0,"ok","")</f>
        <v/>
      </c>
      <c r="J624" s="30">
        <f>COUNTIF(E624:H624,"à faire")</f>
        <v/>
      </c>
    </row>
    <row r="625">
      <c r="A625" s="30" t="inlineStr">
        <is>
          <t>gendarme_charc</t>
        </is>
      </c>
      <c r="B625" s="30">
        <f>IFERROR(INDEX(Mots!$B:$B,MATCH($A625,Mots!$A:$A,0)),"introuvable")</f>
        <v/>
      </c>
      <c r="C625" s="30">
        <f>IFERROR(INDEX(Mots!$S:$S,MATCH($A625,Mots!$A:$A,0)),"")</f>
        <v/>
      </c>
      <c r="D625" s="30">
        <f>IFERROR(COUNTA(INDEX(Mots!$J:$J,MATCH($A625,Mots!$A:$A,0)):INDEX(Mots!$P:$P,MATCH($A625,Mots!$A:$A,0))),0)</f>
        <v/>
      </c>
      <c r="E625" s="30">
        <f>IF(COUNTIF(Classement!$A:$A,$A625)&gt;0,"ok","à faire")</f>
        <v/>
      </c>
      <c r="F625" s="30">
        <f>IF(COUNTIF(Tags!$A:$A,$A625)&gt;0,"ok","à faire")</f>
        <v/>
      </c>
      <c r="G625" s="30">
        <f>IF(COUNTIF(Phrases!$A:$A,$A625)&gt;0,"ok","à faire")</f>
        <v/>
      </c>
      <c r="H625" s="30">
        <f>IF(COUNTIFS(Phrases!$A:$A,$A625,Phrases!$I:$I,"&lt;&gt;")&gt;0,"ok","à faire")</f>
        <v/>
      </c>
      <c r="I625" s="30">
        <f>IF(COUNTIF(Synonymes!$A:$A,$A625)&gt;0,"ok","")</f>
        <v/>
      </c>
      <c r="J625" s="30">
        <f>COUNTIF(E625:H625,"à faire")</f>
        <v/>
      </c>
    </row>
    <row r="626">
      <c r="A626" s="30" t="inlineStr">
        <is>
          <t>saucisse</t>
        </is>
      </c>
      <c r="B626" s="30">
        <f>IFERROR(INDEX(Mots!$B:$B,MATCH($A626,Mots!$A:$A,0)),"introuvable")</f>
        <v/>
      </c>
      <c r="C626" s="30">
        <f>IFERROR(INDEX(Mots!$S:$S,MATCH($A626,Mots!$A:$A,0)),"")</f>
        <v/>
      </c>
      <c r="D626" s="30">
        <f>IFERROR(COUNTA(INDEX(Mots!$J:$J,MATCH($A626,Mots!$A:$A,0)):INDEX(Mots!$P:$P,MATCH($A626,Mots!$A:$A,0))),0)</f>
        <v/>
      </c>
      <c r="E626" s="30">
        <f>IF(COUNTIF(Classement!$A:$A,$A626)&gt;0,"ok","à faire")</f>
        <v/>
      </c>
      <c r="F626" s="30">
        <f>IF(COUNTIF(Tags!$A:$A,$A626)&gt;0,"ok","à faire")</f>
        <v/>
      </c>
      <c r="G626" s="30">
        <f>IF(COUNTIF(Phrases!$A:$A,$A626)&gt;0,"ok","à faire")</f>
        <v/>
      </c>
      <c r="H626" s="30">
        <f>IF(COUNTIFS(Phrases!$A:$A,$A626,Phrases!$I:$I,"&lt;&gt;")&gt;0,"ok","à faire")</f>
        <v/>
      </c>
      <c r="I626" s="30">
        <f>IF(COUNTIF(Synonymes!$A:$A,$A626)&gt;0,"ok","")</f>
        <v/>
      </c>
      <c r="J626" s="30">
        <f>COUNTIF(E626:H626,"à faire")</f>
        <v/>
      </c>
    </row>
    <row r="627">
      <c r="A627" s="30" t="inlineStr">
        <is>
          <t>cafe</t>
        </is>
      </c>
      <c r="B627" s="30">
        <f>IFERROR(INDEX(Mots!$B:$B,MATCH($A627,Mots!$A:$A,0)),"introuvable")</f>
        <v/>
      </c>
      <c r="C627" s="30">
        <f>IFERROR(INDEX(Mots!$S:$S,MATCH($A627,Mots!$A:$A,0)),"")</f>
        <v/>
      </c>
      <c r="D627" s="30">
        <f>IFERROR(COUNTA(INDEX(Mots!$J:$J,MATCH($A627,Mots!$A:$A,0)):INDEX(Mots!$P:$P,MATCH($A627,Mots!$A:$A,0))),0)</f>
        <v/>
      </c>
      <c r="E627" s="30">
        <f>IF(COUNTIF(Classement!$A:$A,$A627)&gt;0,"ok","à faire")</f>
        <v/>
      </c>
      <c r="F627" s="30">
        <f>IF(COUNTIF(Tags!$A:$A,$A627)&gt;0,"ok","à faire")</f>
        <v/>
      </c>
      <c r="G627" s="30">
        <f>IF(COUNTIF(Phrases!$A:$A,$A627)&gt;0,"ok","à faire")</f>
        <v/>
      </c>
      <c r="H627" s="30">
        <f>IF(COUNTIFS(Phrases!$A:$A,$A627,Phrases!$I:$I,"&lt;&gt;")&gt;0,"ok","à faire")</f>
        <v/>
      </c>
      <c r="I627" s="30">
        <f>IF(COUNTIF(Synonymes!$A:$A,$A627)&gt;0,"ok","")</f>
        <v/>
      </c>
      <c r="J627" s="30">
        <f>COUNTIF(E627:H627,"à faire")</f>
        <v/>
      </c>
    </row>
    <row r="628">
      <c r="A628" s="30" t="inlineStr">
        <is>
          <t>fromage</t>
        </is>
      </c>
      <c r="B628" s="30">
        <f>IFERROR(INDEX(Mots!$B:$B,MATCH($A628,Mots!$A:$A,0)),"introuvable")</f>
        <v/>
      </c>
      <c r="C628" s="30">
        <f>IFERROR(INDEX(Mots!$S:$S,MATCH($A628,Mots!$A:$A,0)),"")</f>
        <v/>
      </c>
      <c r="D628" s="30">
        <f>IFERROR(COUNTA(INDEX(Mots!$J:$J,MATCH($A628,Mots!$A:$A,0)):INDEX(Mots!$P:$P,MATCH($A628,Mots!$A:$A,0))),0)</f>
        <v/>
      </c>
      <c r="E628" s="30">
        <f>IF(COUNTIF(Classement!$A:$A,$A628)&gt;0,"ok","à faire")</f>
        <v/>
      </c>
      <c r="F628" s="30">
        <f>IF(COUNTIF(Tags!$A:$A,$A628)&gt;0,"ok","à faire")</f>
        <v/>
      </c>
      <c r="G628" s="30">
        <f>IF(COUNTIF(Phrases!$A:$A,$A628)&gt;0,"ok","à faire")</f>
        <v/>
      </c>
      <c r="H628" s="30">
        <f>IF(COUNTIFS(Phrases!$A:$A,$A628,Phrases!$I:$I,"&lt;&gt;")&gt;0,"ok","à faire")</f>
        <v/>
      </c>
      <c r="I628" s="30">
        <f>IF(COUNTIF(Synonymes!$A:$A,$A628)&gt;0,"ok","")</f>
        <v/>
      </c>
      <c r="J628" s="30">
        <f>COUNTIF(E628:H628,"à faire")</f>
        <v/>
      </c>
    </row>
    <row r="629">
      <c r="A629" s="30" t="inlineStr">
        <is>
          <t>maison</t>
        </is>
      </c>
      <c r="B629" s="30">
        <f>IFERROR(INDEX(Mots!$B:$B,MATCH($A629,Mots!$A:$A,0)),"introuvable")</f>
        <v/>
      </c>
      <c r="C629" s="30">
        <f>IFERROR(INDEX(Mots!$S:$S,MATCH($A629,Mots!$A:$A,0)),"")</f>
        <v/>
      </c>
      <c r="D629" s="30">
        <f>IFERROR(COUNTA(INDEX(Mots!$J:$J,MATCH($A629,Mots!$A:$A,0)):INDEX(Mots!$P:$P,MATCH($A629,Mots!$A:$A,0))),0)</f>
        <v/>
      </c>
      <c r="E629" s="30">
        <f>IF(COUNTIF(Classement!$A:$A,$A629)&gt;0,"ok","à faire")</f>
        <v/>
      </c>
      <c r="F629" s="30">
        <f>IF(COUNTIF(Tags!$A:$A,$A629)&gt;0,"ok","à faire")</f>
        <v/>
      </c>
      <c r="G629" s="30">
        <f>IF(COUNTIF(Phrases!$A:$A,$A629)&gt;0,"ok","à faire")</f>
        <v/>
      </c>
      <c r="H629" s="30">
        <f>IF(COUNTIFS(Phrases!$A:$A,$A629,Phrases!$I:$I,"&lt;&gt;")&gt;0,"ok","à faire")</f>
        <v/>
      </c>
      <c r="I629" s="30">
        <f>IF(COUNTIF(Synonymes!$A:$A,$A629)&gt;0,"ok","")</f>
        <v/>
      </c>
      <c r="J629" s="30">
        <f>COUNTIF(E629:H629,"à faire")</f>
        <v/>
      </c>
    </row>
    <row r="630">
      <c r="A630" s="30" t="inlineStr">
        <is>
          <t>chalet</t>
        </is>
      </c>
      <c r="B630" s="30">
        <f>IFERROR(INDEX(Mots!$B:$B,MATCH($A630,Mots!$A:$A,0)),"introuvable")</f>
        <v/>
      </c>
      <c r="C630" s="30">
        <f>IFERROR(INDEX(Mots!$S:$S,MATCH($A630,Mots!$A:$A,0)),"")</f>
        <v/>
      </c>
      <c r="D630" s="30">
        <f>IFERROR(COUNTA(INDEX(Mots!$J:$J,MATCH($A630,Mots!$A:$A,0)):INDEX(Mots!$P:$P,MATCH($A630,Mots!$A:$A,0))),0)</f>
        <v/>
      </c>
      <c r="E630" s="30">
        <f>IF(COUNTIF(Classement!$A:$A,$A630)&gt;0,"ok","à faire")</f>
        <v/>
      </c>
      <c r="F630" s="30">
        <f>IF(COUNTIF(Tags!$A:$A,$A630)&gt;0,"ok","à faire")</f>
        <v/>
      </c>
      <c r="G630" s="30">
        <f>IF(COUNTIF(Phrases!$A:$A,$A630)&gt;0,"ok","à faire")</f>
        <v/>
      </c>
      <c r="H630" s="30">
        <f>IF(COUNTIFS(Phrases!$A:$A,$A630,Phrases!$I:$I,"&lt;&gt;")&gt;0,"ok","à faire")</f>
        <v/>
      </c>
      <c r="I630" s="30">
        <f>IF(COUNTIF(Synonymes!$A:$A,$A630)&gt;0,"ok","")</f>
        <v/>
      </c>
      <c r="J630" s="30">
        <f>COUNTIF(E630:H630,"à faire")</f>
        <v/>
      </c>
    </row>
    <row r="631">
      <c r="A631" s="30" t="inlineStr">
        <is>
          <t>garage</t>
        </is>
      </c>
      <c r="B631" s="30">
        <f>IFERROR(INDEX(Mots!$B:$B,MATCH($A631,Mots!$A:$A,0)),"introuvable")</f>
        <v/>
      </c>
      <c r="C631" s="30">
        <f>IFERROR(INDEX(Mots!$S:$S,MATCH($A631,Mots!$A:$A,0)),"")</f>
        <v/>
      </c>
      <c r="D631" s="30">
        <f>IFERROR(COUNTA(INDEX(Mots!$J:$J,MATCH($A631,Mots!$A:$A,0)):INDEX(Mots!$P:$P,MATCH($A631,Mots!$A:$A,0))),0)</f>
        <v/>
      </c>
      <c r="E631" s="30">
        <f>IF(COUNTIF(Classement!$A:$A,$A631)&gt;0,"ok","à faire")</f>
        <v/>
      </c>
      <c r="F631" s="30">
        <f>IF(COUNTIF(Tags!$A:$A,$A631)&gt;0,"ok","à faire")</f>
        <v/>
      </c>
      <c r="G631" s="30">
        <f>IF(COUNTIF(Phrases!$A:$A,$A631)&gt;0,"ok","à faire")</f>
        <v/>
      </c>
      <c r="H631" s="30">
        <f>IF(COUNTIFS(Phrases!$A:$A,$A631,Phrases!$I:$I,"&lt;&gt;")&gt;0,"ok","à faire")</f>
        <v/>
      </c>
      <c r="I631" s="30">
        <f>IF(COUNTIF(Synonymes!$A:$A,$A631)&gt;0,"ok","")</f>
        <v/>
      </c>
      <c r="J631" s="30">
        <f>COUNTIF(E631:H631,"à faire")</f>
        <v/>
      </c>
    </row>
    <row r="632">
      <c r="A632" s="30" t="inlineStr">
        <is>
          <t>porte</t>
        </is>
      </c>
      <c r="B632" s="30">
        <f>IFERROR(INDEX(Mots!$B:$B,MATCH($A632,Mots!$A:$A,0)),"introuvable")</f>
        <v/>
      </c>
      <c r="C632" s="30">
        <f>IFERROR(INDEX(Mots!$S:$S,MATCH($A632,Mots!$A:$A,0)),"")</f>
        <v/>
      </c>
      <c r="D632" s="30">
        <f>IFERROR(COUNTA(INDEX(Mots!$J:$J,MATCH($A632,Mots!$A:$A,0)):INDEX(Mots!$P:$P,MATCH($A632,Mots!$A:$A,0))),0)</f>
        <v/>
      </c>
      <c r="E632" s="30">
        <f>IF(COUNTIF(Classement!$A:$A,$A632)&gt;0,"ok","à faire")</f>
        <v/>
      </c>
      <c r="F632" s="30">
        <f>IF(COUNTIF(Tags!$A:$A,$A632)&gt;0,"ok","à faire")</f>
        <v/>
      </c>
      <c r="G632" s="30">
        <f>IF(COUNTIF(Phrases!$A:$A,$A632)&gt;0,"ok","à faire")</f>
        <v/>
      </c>
      <c r="H632" s="30">
        <f>IF(COUNTIFS(Phrases!$A:$A,$A632,Phrases!$I:$I,"&lt;&gt;")&gt;0,"ok","à faire")</f>
        <v/>
      </c>
      <c r="I632" s="30">
        <f>IF(COUNTIF(Synonymes!$A:$A,$A632)&gt;0,"ok","")</f>
        <v/>
      </c>
      <c r="J632" s="30">
        <f>COUNTIF(E632:H632,"à faire")</f>
        <v/>
      </c>
    </row>
    <row r="633">
      <c r="A633" s="30" t="inlineStr">
        <is>
          <t>fenetre</t>
        </is>
      </c>
      <c r="B633" s="30">
        <f>IFERROR(INDEX(Mots!$B:$B,MATCH($A633,Mots!$A:$A,0)),"introuvable")</f>
        <v/>
      </c>
      <c r="C633" s="30">
        <f>IFERROR(INDEX(Mots!$S:$S,MATCH($A633,Mots!$A:$A,0)),"")</f>
        <v/>
      </c>
      <c r="D633" s="30">
        <f>IFERROR(COUNTA(INDEX(Mots!$J:$J,MATCH($A633,Mots!$A:$A,0)):INDEX(Mots!$P:$P,MATCH($A633,Mots!$A:$A,0))),0)</f>
        <v/>
      </c>
      <c r="E633" s="30">
        <f>IF(COUNTIF(Classement!$A:$A,$A633)&gt;0,"ok","à faire")</f>
        <v/>
      </c>
      <c r="F633" s="30">
        <f>IF(COUNTIF(Tags!$A:$A,$A633)&gt;0,"ok","à faire")</f>
        <v/>
      </c>
      <c r="G633" s="30">
        <f>IF(COUNTIF(Phrases!$A:$A,$A633)&gt;0,"ok","à faire")</f>
        <v/>
      </c>
      <c r="H633" s="30">
        <f>IF(COUNTIFS(Phrases!$A:$A,$A633,Phrases!$I:$I,"&lt;&gt;")&gt;0,"ok","à faire")</f>
        <v/>
      </c>
      <c r="I633" s="30">
        <f>IF(COUNTIF(Synonymes!$A:$A,$A633)&gt;0,"ok","")</f>
        <v/>
      </c>
      <c r="J633" s="30">
        <f>COUNTIF(E633:H633,"à faire")</f>
        <v/>
      </c>
    </row>
    <row r="634">
      <c r="A634" s="30" t="inlineStr">
        <is>
          <t>stores</t>
        </is>
      </c>
      <c r="B634" s="30">
        <f>IFERROR(INDEX(Mots!$B:$B,MATCH($A634,Mots!$A:$A,0)),"introuvable")</f>
        <v/>
      </c>
      <c r="C634" s="30">
        <f>IFERROR(INDEX(Mots!$S:$S,MATCH($A634,Mots!$A:$A,0)),"")</f>
        <v/>
      </c>
      <c r="D634" s="30">
        <f>IFERROR(COUNTA(INDEX(Mots!$J:$J,MATCH($A634,Mots!$A:$A,0)):INDEX(Mots!$P:$P,MATCH($A634,Mots!$A:$A,0))),0)</f>
        <v/>
      </c>
      <c r="E634" s="30">
        <f>IF(COUNTIF(Classement!$A:$A,$A634)&gt;0,"ok","à faire")</f>
        <v/>
      </c>
      <c r="F634" s="30">
        <f>IF(COUNTIF(Tags!$A:$A,$A634)&gt;0,"ok","à faire")</f>
        <v/>
      </c>
      <c r="G634" s="30">
        <f>IF(COUNTIF(Phrases!$A:$A,$A634)&gt;0,"ok","à faire")</f>
        <v/>
      </c>
      <c r="H634" s="30">
        <f>IF(COUNTIFS(Phrases!$A:$A,$A634,Phrases!$I:$I,"&lt;&gt;")&gt;0,"ok","à faire")</f>
        <v/>
      </c>
      <c r="I634" s="30">
        <f>IF(COUNTIF(Synonymes!$A:$A,$A634)&gt;0,"ok","")</f>
        <v/>
      </c>
      <c r="J634" s="30">
        <f>COUNTIF(E634:H634,"à faire")</f>
        <v/>
      </c>
    </row>
    <row r="635">
      <c r="A635" s="30" t="inlineStr">
        <is>
          <t>volets</t>
        </is>
      </c>
      <c r="B635" s="30">
        <f>IFERROR(INDEX(Mots!$B:$B,MATCH($A635,Mots!$A:$A,0)),"introuvable")</f>
        <v/>
      </c>
      <c r="C635" s="30">
        <f>IFERROR(INDEX(Mots!$S:$S,MATCH($A635,Mots!$A:$A,0)),"")</f>
        <v/>
      </c>
      <c r="D635" s="30">
        <f>IFERROR(COUNTA(INDEX(Mots!$J:$J,MATCH($A635,Mots!$A:$A,0)):INDEX(Mots!$P:$P,MATCH($A635,Mots!$A:$A,0))),0)</f>
        <v/>
      </c>
      <c r="E635" s="30">
        <f>IF(COUNTIF(Classement!$A:$A,$A635)&gt;0,"ok","à faire")</f>
        <v/>
      </c>
      <c r="F635" s="30">
        <f>IF(COUNTIF(Tags!$A:$A,$A635)&gt;0,"ok","à faire")</f>
        <v/>
      </c>
      <c r="G635" s="30">
        <f>IF(COUNTIF(Phrases!$A:$A,$A635)&gt;0,"ok","à faire")</f>
        <v/>
      </c>
      <c r="H635" s="30">
        <f>IF(COUNTIFS(Phrases!$A:$A,$A635,Phrases!$I:$I,"&lt;&gt;")&gt;0,"ok","à faire")</f>
        <v/>
      </c>
      <c r="I635" s="30">
        <f>IF(COUNTIF(Synonymes!$A:$A,$A635)&gt;0,"ok","")</f>
        <v/>
      </c>
      <c r="J635" s="30">
        <f>COUNTIF(E635:H635,"à faire")</f>
        <v/>
      </c>
    </row>
    <row r="636">
      <c r="A636" s="30" t="inlineStr">
        <is>
          <t>escalier</t>
        </is>
      </c>
      <c r="B636" s="30">
        <f>IFERROR(INDEX(Mots!$B:$B,MATCH($A636,Mots!$A:$A,0)),"introuvable")</f>
        <v/>
      </c>
      <c r="C636" s="30">
        <f>IFERROR(INDEX(Mots!$S:$S,MATCH($A636,Mots!$A:$A,0)),"")</f>
        <v/>
      </c>
      <c r="D636" s="30">
        <f>IFERROR(COUNTA(INDEX(Mots!$J:$J,MATCH($A636,Mots!$A:$A,0)):INDEX(Mots!$P:$P,MATCH($A636,Mots!$A:$A,0))),0)</f>
        <v/>
      </c>
      <c r="E636" s="30">
        <f>IF(COUNTIF(Classement!$A:$A,$A636)&gt;0,"ok","à faire")</f>
        <v/>
      </c>
      <c r="F636" s="30">
        <f>IF(COUNTIF(Tags!$A:$A,$A636)&gt;0,"ok","à faire")</f>
        <v/>
      </c>
      <c r="G636" s="30">
        <f>IF(COUNTIF(Phrases!$A:$A,$A636)&gt;0,"ok","à faire")</f>
        <v/>
      </c>
      <c r="H636" s="30">
        <f>IF(COUNTIFS(Phrases!$A:$A,$A636,Phrases!$I:$I,"&lt;&gt;")&gt;0,"ok","à faire")</f>
        <v/>
      </c>
      <c r="I636" s="30">
        <f>IF(COUNTIF(Synonymes!$A:$A,$A636)&gt;0,"ok","")</f>
        <v/>
      </c>
      <c r="J636" s="30">
        <f>COUNTIF(E636:H636,"à faire")</f>
        <v/>
      </c>
    </row>
    <row r="637">
      <c r="A637" s="30" t="inlineStr">
        <is>
          <t>ampoule</t>
        </is>
      </c>
      <c r="B637" s="30">
        <f>IFERROR(INDEX(Mots!$B:$B,MATCH($A637,Mots!$A:$A,0)),"introuvable")</f>
        <v/>
      </c>
      <c r="C637" s="30">
        <f>IFERROR(INDEX(Mots!$S:$S,MATCH($A637,Mots!$A:$A,0)),"")</f>
        <v/>
      </c>
      <c r="D637" s="30">
        <f>IFERROR(COUNTA(INDEX(Mots!$J:$J,MATCH($A637,Mots!$A:$A,0)):INDEX(Mots!$P:$P,MATCH($A637,Mots!$A:$A,0))),0)</f>
        <v/>
      </c>
      <c r="E637" s="30">
        <f>IF(COUNTIF(Classement!$A:$A,$A637)&gt;0,"ok","à faire")</f>
        <v/>
      </c>
      <c r="F637" s="30">
        <f>IF(COUNTIF(Tags!$A:$A,$A637)&gt;0,"ok","à faire")</f>
        <v/>
      </c>
      <c r="G637" s="30">
        <f>IF(COUNTIF(Phrases!$A:$A,$A637)&gt;0,"ok","à faire")</f>
        <v/>
      </c>
      <c r="H637" s="30">
        <f>IF(COUNTIFS(Phrases!$A:$A,$A637,Phrases!$I:$I,"&lt;&gt;")&gt;0,"ok","à faire")</f>
        <v/>
      </c>
      <c r="I637" s="30">
        <f>IF(COUNTIF(Synonymes!$A:$A,$A637)&gt;0,"ok","")</f>
        <v/>
      </c>
      <c r="J637" s="30">
        <f>COUNTIF(E637:H637,"à faire")</f>
        <v/>
      </c>
    </row>
    <row r="638">
      <c r="A638" s="30" t="inlineStr">
        <is>
          <t>interupteur</t>
        </is>
      </c>
      <c r="B638" s="30">
        <f>IFERROR(INDEX(Mots!$B:$B,MATCH($A638,Mots!$A:$A,0)),"introuvable")</f>
        <v/>
      </c>
      <c r="C638" s="30">
        <f>IFERROR(INDEX(Mots!$S:$S,MATCH($A638,Mots!$A:$A,0)),"")</f>
        <v/>
      </c>
      <c r="D638" s="30">
        <f>IFERROR(COUNTA(INDEX(Mots!$J:$J,MATCH($A638,Mots!$A:$A,0)):INDEX(Mots!$P:$P,MATCH($A638,Mots!$A:$A,0))),0)</f>
        <v/>
      </c>
      <c r="E638" s="30">
        <f>IF(COUNTIF(Classement!$A:$A,$A638)&gt;0,"ok","à faire")</f>
        <v/>
      </c>
      <c r="F638" s="30">
        <f>IF(COUNTIF(Tags!$A:$A,$A638)&gt;0,"ok","à faire")</f>
        <v/>
      </c>
      <c r="G638" s="30">
        <f>IF(COUNTIF(Phrases!$A:$A,$A638)&gt;0,"ok","à faire")</f>
        <v/>
      </c>
      <c r="H638" s="30">
        <f>IF(COUNTIFS(Phrases!$A:$A,$A638,Phrases!$I:$I,"&lt;&gt;")&gt;0,"ok","à faire")</f>
        <v/>
      </c>
      <c r="I638" s="30">
        <f>IF(COUNTIF(Synonymes!$A:$A,$A638)&gt;0,"ok","")</f>
        <v/>
      </c>
      <c r="J638" s="30">
        <f>COUNTIF(E638:H638,"à faire")</f>
        <v/>
      </c>
    </row>
    <row r="639">
      <c r="A639" s="30" t="inlineStr">
        <is>
          <t>fusibles_pour_lelectricite</t>
        </is>
      </c>
      <c r="B639" s="30">
        <f>IFERROR(INDEX(Mots!$B:$B,MATCH($A639,Mots!$A:$A,0)),"introuvable")</f>
        <v/>
      </c>
      <c r="C639" s="30">
        <f>IFERROR(INDEX(Mots!$S:$S,MATCH($A639,Mots!$A:$A,0)),"")</f>
        <v/>
      </c>
      <c r="D639" s="30">
        <f>IFERROR(COUNTA(INDEX(Mots!$J:$J,MATCH($A639,Mots!$A:$A,0)):INDEX(Mots!$P:$P,MATCH($A639,Mots!$A:$A,0))),0)</f>
        <v/>
      </c>
      <c r="E639" s="30">
        <f>IF(COUNTIF(Classement!$A:$A,$A639)&gt;0,"ok","à faire")</f>
        <v/>
      </c>
      <c r="F639" s="30">
        <f>IF(COUNTIF(Tags!$A:$A,$A639)&gt;0,"ok","à faire")</f>
        <v/>
      </c>
      <c r="G639" s="30">
        <f>IF(COUNTIF(Phrases!$A:$A,$A639)&gt;0,"ok","à faire")</f>
        <v/>
      </c>
      <c r="H639" s="30">
        <f>IF(COUNTIFS(Phrases!$A:$A,$A639,Phrases!$I:$I,"&lt;&gt;")&gt;0,"ok","à faire")</f>
        <v/>
      </c>
      <c r="I639" s="30">
        <f>IF(COUNTIF(Synonymes!$A:$A,$A639)&gt;0,"ok","")</f>
        <v/>
      </c>
      <c r="J639" s="30">
        <f>COUNTIF(E639:H639,"à faire")</f>
        <v/>
      </c>
    </row>
    <row r="640">
      <c r="A640" s="30" t="inlineStr">
        <is>
          <t>mur</t>
        </is>
      </c>
      <c r="B640" s="30">
        <f>IFERROR(INDEX(Mots!$B:$B,MATCH($A640,Mots!$A:$A,0)),"introuvable")</f>
        <v/>
      </c>
      <c r="C640" s="30">
        <f>IFERROR(INDEX(Mots!$S:$S,MATCH($A640,Mots!$A:$A,0)),"")</f>
        <v/>
      </c>
      <c r="D640" s="30">
        <f>IFERROR(COUNTA(INDEX(Mots!$J:$J,MATCH($A640,Mots!$A:$A,0)):INDEX(Mots!$P:$P,MATCH($A640,Mots!$A:$A,0))),0)</f>
        <v/>
      </c>
      <c r="E640" s="30">
        <f>IF(COUNTIF(Classement!$A:$A,$A640)&gt;0,"ok","à faire")</f>
        <v/>
      </c>
      <c r="F640" s="30">
        <f>IF(COUNTIF(Tags!$A:$A,$A640)&gt;0,"ok","à faire")</f>
        <v/>
      </c>
      <c r="G640" s="30">
        <f>IF(COUNTIF(Phrases!$A:$A,$A640)&gt;0,"ok","à faire")</f>
        <v/>
      </c>
      <c r="H640" s="30">
        <f>IF(COUNTIFS(Phrases!$A:$A,$A640,Phrases!$I:$I,"&lt;&gt;")&gt;0,"ok","à faire")</f>
        <v/>
      </c>
      <c r="I640" s="30">
        <f>IF(COUNTIF(Synonymes!$A:$A,$A640)&gt;0,"ok","")</f>
        <v/>
      </c>
      <c r="J640" s="30">
        <f>COUNTIF(E640:H640,"à faire")</f>
        <v/>
      </c>
    </row>
    <row r="641">
      <c r="A641" s="30" t="inlineStr">
        <is>
          <t>toit</t>
        </is>
      </c>
      <c r="B641" s="30">
        <f>IFERROR(INDEX(Mots!$B:$B,MATCH($A641,Mots!$A:$A,0)),"introuvable")</f>
        <v/>
      </c>
      <c r="C641" s="30">
        <f>IFERROR(INDEX(Mots!$S:$S,MATCH($A641,Mots!$A:$A,0)),"")</f>
        <v/>
      </c>
      <c r="D641" s="30">
        <f>IFERROR(COUNTA(INDEX(Mots!$J:$J,MATCH($A641,Mots!$A:$A,0)):INDEX(Mots!$P:$P,MATCH($A641,Mots!$A:$A,0))),0)</f>
        <v/>
      </c>
      <c r="E641" s="30">
        <f>IF(COUNTIF(Classement!$A:$A,$A641)&gt;0,"ok","à faire")</f>
        <v/>
      </c>
      <c r="F641" s="30">
        <f>IF(COUNTIF(Tags!$A:$A,$A641)&gt;0,"ok","à faire")</f>
        <v/>
      </c>
      <c r="G641" s="30">
        <f>IF(COUNTIF(Phrases!$A:$A,$A641)&gt;0,"ok","à faire")</f>
        <v/>
      </c>
      <c r="H641" s="30">
        <f>IF(COUNTIFS(Phrases!$A:$A,$A641,Phrases!$I:$I,"&lt;&gt;")&gt;0,"ok","à faire")</f>
        <v/>
      </c>
      <c r="I641" s="30">
        <f>IF(COUNTIF(Synonymes!$A:$A,$A641)&gt;0,"ok","")</f>
        <v/>
      </c>
      <c r="J641" s="30">
        <f>COUNTIF(E641:H641,"à faire")</f>
        <v/>
      </c>
    </row>
    <row r="642">
      <c r="A642" s="30" t="inlineStr">
        <is>
          <t>cheneau</t>
        </is>
      </c>
      <c r="B642" s="30">
        <f>IFERROR(INDEX(Mots!$B:$B,MATCH($A642,Mots!$A:$A,0)),"introuvable")</f>
        <v/>
      </c>
      <c r="C642" s="30">
        <f>IFERROR(INDEX(Mots!$S:$S,MATCH($A642,Mots!$A:$A,0)),"")</f>
        <v/>
      </c>
      <c r="D642" s="30">
        <f>IFERROR(COUNTA(INDEX(Mots!$J:$J,MATCH($A642,Mots!$A:$A,0)):INDEX(Mots!$P:$P,MATCH($A642,Mots!$A:$A,0))),0)</f>
        <v/>
      </c>
      <c r="E642" s="30">
        <f>IF(COUNTIF(Classement!$A:$A,$A642)&gt;0,"ok","à faire")</f>
        <v/>
      </c>
      <c r="F642" s="30">
        <f>IF(COUNTIF(Tags!$A:$A,$A642)&gt;0,"ok","à faire")</f>
        <v/>
      </c>
      <c r="G642" s="30">
        <f>IF(COUNTIF(Phrases!$A:$A,$A642)&gt;0,"ok","à faire")</f>
        <v/>
      </c>
      <c r="H642" s="30">
        <f>IF(COUNTIFS(Phrases!$A:$A,$A642,Phrases!$I:$I,"&lt;&gt;")&gt;0,"ok","à faire")</f>
        <v/>
      </c>
      <c r="I642" s="30">
        <f>IF(COUNTIF(Synonymes!$A:$A,$A642)&gt;0,"ok","")</f>
        <v/>
      </c>
      <c r="J642" s="30">
        <f>COUNTIF(E642:H642,"à faire")</f>
        <v/>
      </c>
    </row>
    <row r="643">
      <c r="A643" s="30" t="inlineStr">
        <is>
          <t>barriere</t>
        </is>
      </c>
      <c r="B643" s="30">
        <f>IFERROR(INDEX(Mots!$B:$B,MATCH($A643,Mots!$A:$A,0)),"introuvable")</f>
        <v/>
      </c>
      <c r="C643" s="30">
        <f>IFERROR(INDEX(Mots!$S:$S,MATCH($A643,Mots!$A:$A,0)),"")</f>
        <v/>
      </c>
      <c r="D643" s="30">
        <f>IFERROR(COUNTA(INDEX(Mots!$J:$J,MATCH($A643,Mots!$A:$A,0)):INDEX(Mots!$P:$P,MATCH($A643,Mots!$A:$A,0))),0)</f>
        <v/>
      </c>
      <c r="E643" s="30">
        <f>IF(COUNTIF(Classement!$A:$A,$A643)&gt;0,"ok","à faire")</f>
        <v/>
      </c>
      <c r="F643" s="30">
        <f>IF(COUNTIF(Tags!$A:$A,$A643)&gt;0,"ok","à faire")</f>
        <v/>
      </c>
      <c r="G643" s="30">
        <f>IF(COUNTIF(Phrases!$A:$A,$A643)&gt;0,"ok","à faire")</f>
        <v/>
      </c>
      <c r="H643" s="30">
        <f>IF(COUNTIFS(Phrases!$A:$A,$A643,Phrases!$I:$I,"&lt;&gt;")&gt;0,"ok","à faire")</f>
        <v/>
      </c>
      <c r="I643" s="30">
        <f>IF(COUNTIF(Synonymes!$A:$A,$A643)&gt;0,"ok","")</f>
        <v/>
      </c>
      <c r="J643" s="30">
        <f>COUNTIF(E643:H643,"à faire")</f>
        <v/>
      </c>
    </row>
    <row r="644">
      <c r="A644" s="30" t="inlineStr">
        <is>
          <t>prise</t>
        </is>
      </c>
      <c r="B644" s="30">
        <f>IFERROR(INDEX(Mots!$B:$B,MATCH($A644,Mots!$A:$A,0)),"introuvable")</f>
        <v/>
      </c>
      <c r="C644" s="30">
        <f>IFERROR(INDEX(Mots!$S:$S,MATCH($A644,Mots!$A:$A,0)),"")</f>
        <v/>
      </c>
      <c r="D644" s="30">
        <f>IFERROR(COUNTA(INDEX(Mots!$J:$J,MATCH($A644,Mots!$A:$A,0)):INDEX(Mots!$P:$P,MATCH($A644,Mots!$A:$A,0))),0)</f>
        <v/>
      </c>
      <c r="E644" s="30">
        <f>IF(COUNTIF(Classement!$A:$A,$A644)&gt;0,"ok","à faire")</f>
        <v/>
      </c>
      <c r="F644" s="30">
        <f>IF(COUNTIF(Tags!$A:$A,$A644)&gt;0,"ok","à faire")</f>
        <v/>
      </c>
      <c r="G644" s="30">
        <f>IF(COUNTIF(Phrases!$A:$A,$A644)&gt;0,"ok","à faire")</f>
        <v/>
      </c>
      <c r="H644" s="30">
        <f>IF(COUNTIFS(Phrases!$A:$A,$A644,Phrases!$I:$I,"&lt;&gt;")&gt;0,"ok","à faire")</f>
        <v/>
      </c>
      <c r="I644" s="30">
        <f>IF(COUNTIF(Synonymes!$A:$A,$A644)&gt;0,"ok","")</f>
        <v/>
      </c>
      <c r="J644" s="30">
        <f>COUNTIF(E644:H644,"à faire")</f>
        <v/>
      </c>
    </row>
    <row r="645">
      <c r="A645" s="30" t="inlineStr">
        <is>
          <t>serrure</t>
        </is>
      </c>
      <c r="B645" s="30">
        <f>IFERROR(INDEX(Mots!$B:$B,MATCH($A645,Mots!$A:$A,0)),"introuvable")</f>
        <v/>
      </c>
      <c r="C645" s="30">
        <f>IFERROR(INDEX(Mots!$S:$S,MATCH($A645,Mots!$A:$A,0)),"")</f>
        <v/>
      </c>
      <c r="D645" s="30">
        <f>IFERROR(COUNTA(INDEX(Mots!$J:$J,MATCH($A645,Mots!$A:$A,0)):INDEX(Mots!$P:$P,MATCH($A645,Mots!$A:$A,0))),0)</f>
        <v/>
      </c>
      <c r="E645" s="30">
        <f>IF(COUNTIF(Classement!$A:$A,$A645)&gt;0,"ok","à faire")</f>
        <v/>
      </c>
      <c r="F645" s="30">
        <f>IF(COUNTIF(Tags!$A:$A,$A645)&gt;0,"ok","à faire")</f>
        <v/>
      </c>
      <c r="G645" s="30">
        <f>IF(COUNTIF(Phrases!$A:$A,$A645)&gt;0,"ok","à faire")</f>
        <v/>
      </c>
      <c r="H645" s="30">
        <f>IF(COUNTIFS(Phrases!$A:$A,$A645,Phrases!$I:$I,"&lt;&gt;")&gt;0,"ok","à faire")</f>
        <v/>
      </c>
      <c r="I645" s="30">
        <f>IF(COUNTIF(Synonymes!$A:$A,$A645)&gt;0,"ok","")</f>
        <v/>
      </c>
      <c r="J645" s="30">
        <f>COUNTIF(E645:H645,"à faire")</f>
        <v/>
      </c>
    </row>
    <row r="646">
      <c r="A646" s="30" t="inlineStr">
        <is>
          <t>fourneau_bois</t>
        </is>
      </c>
      <c r="B646" s="30">
        <f>IFERROR(INDEX(Mots!$B:$B,MATCH($A646,Mots!$A:$A,0)),"introuvable")</f>
        <v/>
      </c>
      <c r="C646" s="30">
        <f>IFERROR(INDEX(Mots!$S:$S,MATCH($A646,Mots!$A:$A,0)),"")</f>
        <v/>
      </c>
      <c r="D646" s="30">
        <f>IFERROR(COUNTA(INDEX(Mots!$J:$J,MATCH($A646,Mots!$A:$A,0)):INDEX(Mots!$P:$P,MATCH($A646,Mots!$A:$A,0))),0)</f>
        <v/>
      </c>
      <c r="E646" s="30">
        <f>IF(COUNTIF(Classement!$A:$A,$A646)&gt;0,"ok","à faire")</f>
        <v/>
      </c>
      <c r="F646" s="30">
        <f>IF(COUNTIF(Tags!$A:$A,$A646)&gt;0,"ok","à faire")</f>
        <v/>
      </c>
      <c r="G646" s="30">
        <f>IF(COUNTIF(Phrases!$A:$A,$A646)&gt;0,"ok","à faire")</f>
        <v/>
      </c>
      <c r="H646" s="30">
        <f>IF(COUNTIFS(Phrases!$A:$A,$A646,Phrases!$I:$I,"&lt;&gt;")&gt;0,"ok","à faire")</f>
        <v/>
      </c>
      <c r="I646" s="30">
        <f>IF(COUNTIF(Synonymes!$A:$A,$A646)&gt;0,"ok","")</f>
        <v/>
      </c>
      <c r="J646" s="30">
        <f>COUNTIF(E646:H646,"à faire")</f>
        <v/>
      </c>
    </row>
    <row r="647">
      <c r="A647" s="30" t="inlineStr">
        <is>
          <t>fourneau_pellets</t>
        </is>
      </c>
      <c r="B647" s="30">
        <f>IFERROR(INDEX(Mots!$B:$B,MATCH($A647,Mots!$A:$A,0)),"introuvable")</f>
        <v/>
      </c>
      <c r="C647" s="30">
        <f>IFERROR(INDEX(Mots!$S:$S,MATCH($A647,Mots!$A:$A,0)),"")</f>
        <v/>
      </c>
      <c r="D647" s="30">
        <f>IFERROR(COUNTA(INDEX(Mots!$J:$J,MATCH($A647,Mots!$A:$A,0)):INDEX(Mots!$P:$P,MATCH($A647,Mots!$A:$A,0))),0)</f>
        <v/>
      </c>
      <c r="E647" s="30">
        <f>IF(COUNTIF(Classement!$A:$A,$A647)&gt;0,"ok","à faire")</f>
        <v/>
      </c>
      <c r="F647" s="30">
        <f>IF(COUNTIF(Tags!$A:$A,$A647)&gt;0,"ok","à faire")</f>
        <v/>
      </c>
      <c r="G647" s="30">
        <f>IF(COUNTIF(Phrases!$A:$A,$A647)&gt;0,"ok","à faire")</f>
        <v/>
      </c>
      <c r="H647" s="30">
        <f>IF(COUNTIFS(Phrases!$A:$A,$A647,Phrases!$I:$I,"&lt;&gt;")&gt;0,"ok","à faire")</f>
        <v/>
      </c>
      <c r="I647" s="30">
        <f>IF(COUNTIF(Synonymes!$A:$A,$A647)&gt;0,"ok","")</f>
        <v/>
      </c>
      <c r="J647" s="30">
        <f>COUNTIF(E647:H647,"à faire")</f>
        <v/>
      </c>
    </row>
    <row r="648">
      <c r="A648" s="30" t="inlineStr">
        <is>
          <t>v_accepter</t>
        </is>
      </c>
      <c r="B648" s="30">
        <f>IFERROR(INDEX(Mots!$B:$B,MATCH($A648,Mots!$A:$A,0)),"introuvable")</f>
        <v/>
      </c>
      <c r="C648" s="30">
        <f>IFERROR(INDEX(Mots!$S:$S,MATCH($A648,Mots!$A:$A,0)),"")</f>
        <v/>
      </c>
      <c r="D648" s="30">
        <f>IFERROR(COUNTA(INDEX(Mots!$J:$J,MATCH($A648,Mots!$A:$A,0)):INDEX(Mots!$P:$P,MATCH($A648,Mots!$A:$A,0))),0)</f>
        <v/>
      </c>
      <c r="E648" s="30">
        <f>IF(COUNTIF(Classement!$A:$A,$A648)&gt;0,"ok","à faire")</f>
        <v/>
      </c>
      <c r="F648" s="30">
        <f>IF(COUNTIF(Tags!$A:$A,$A648)&gt;0,"ok","à faire")</f>
        <v/>
      </c>
      <c r="G648" s="30">
        <f>IF(COUNTIF(Phrases!$A:$A,$A648)&gt;0,"ok","à faire")</f>
        <v/>
      </c>
      <c r="H648" s="30">
        <f>IF(COUNTIFS(Phrases!$A:$A,$A648,Phrases!$I:$I,"&lt;&gt;")&gt;0,"ok","à faire")</f>
        <v/>
      </c>
      <c r="I648" s="30">
        <f>IF(COUNTIF(Synonymes!$A:$A,$A648)&gt;0,"ok","")</f>
        <v/>
      </c>
      <c r="J648" s="30">
        <f>COUNTIF(E648:H648,"à faire")</f>
        <v/>
      </c>
    </row>
    <row r="649">
      <c r="A649" s="30" t="inlineStr">
        <is>
          <t>v_acheter</t>
        </is>
      </c>
      <c r="B649" s="30">
        <f>IFERROR(INDEX(Mots!$B:$B,MATCH($A649,Mots!$A:$A,0)),"introuvable")</f>
        <v/>
      </c>
      <c r="C649" s="30">
        <f>IFERROR(INDEX(Mots!$S:$S,MATCH($A649,Mots!$A:$A,0)),"")</f>
        <v/>
      </c>
      <c r="D649" s="30">
        <f>IFERROR(COUNTA(INDEX(Mots!$J:$J,MATCH($A649,Mots!$A:$A,0)):INDEX(Mots!$P:$P,MATCH($A649,Mots!$A:$A,0))),0)</f>
        <v/>
      </c>
      <c r="E649" s="30">
        <f>IF(COUNTIF(Classement!$A:$A,$A649)&gt;0,"ok","à faire")</f>
        <v/>
      </c>
      <c r="F649" s="30">
        <f>IF(COUNTIF(Tags!$A:$A,$A649)&gt;0,"ok","à faire")</f>
        <v/>
      </c>
      <c r="G649" s="30">
        <f>IF(COUNTIF(Phrases!$A:$A,$A649)&gt;0,"ok","à faire")</f>
        <v/>
      </c>
      <c r="H649" s="30">
        <f>IF(COUNTIFS(Phrases!$A:$A,$A649,Phrases!$I:$I,"&lt;&gt;")&gt;0,"ok","à faire")</f>
        <v/>
      </c>
      <c r="I649" s="30">
        <f>IF(COUNTIF(Synonymes!$A:$A,$A649)&gt;0,"ok","")</f>
        <v/>
      </c>
      <c r="J649" s="30">
        <f>COUNTIF(E649:H649,"à faire")</f>
        <v/>
      </c>
    </row>
    <row r="650">
      <c r="A650" s="30" t="inlineStr">
        <is>
          <t>adulte</t>
        </is>
      </c>
      <c r="B650" s="30">
        <f>IFERROR(INDEX(Mots!$B:$B,MATCH($A650,Mots!$A:$A,0)),"introuvable")</f>
        <v/>
      </c>
      <c r="C650" s="30">
        <f>IFERROR(INDEX(Mots!$S:$S,MATCH($A650,Mots!$A:$A,0)),"")</f>
        <v/>
      </c>
      <c r="D650" s="30">
        <f>IFERROR(COUNTA(INDEX(Mots!$J:$J,MATCH($A650,Mots!$A:$A,0)):INDEX(Mots!$P:$P,MATCH($A650,Mots!$A:$A,0))),0)</f>
        <v/>
      </c>
      <c r="E650" s="30">
        <f>IF(COUNTIF(Classement!$A:$A,$A650)&gt;0,"ok","à faire")</f>
        <v/>
      </c>
      <c r="F650" s="30">
        <f>IF(COUNTIF(Tags!$A:$A,$A650)&gt;0,"ok","à faire")</f>
        <v/>
      </c>
      <c r="G650" s="30">
        <f>IF(COUNTIF(Phrases!$A:$A,$A650)&gt;0,"ok","à faire")</f>
        <v/>
      </c>
      <c r="H650" s="30">
        <f>IF(COUNTIFS(Phrases!$A:$A,$A650,Phrases!$I:$I,"&lt;&gt;")&gt;0,"ok","à faire")</f>
        <v/>
      </c>
      <c r="I650" s="30">
        <f>IF(COUNTIF(Synonymes!$A:$A,$A650)&gt;0,"ok","")</f>
        <v/>
      </c>
      <c r="J650" s="30">
        <f>COUNTIF(E650:H650,"à faire")</f>
        <v/>
      </c>
    </row>
    <row r="651">
      <c r="A651" s="30" t="inlineStr">
        <is>
          <t>a_desagreable</t>
        </is>
      </c>
      <c r="B651" s="30">
        <f>IFERROR(INDEX(Mots!$B:$B,MATCH($A651,Mots!$A:$A,0)),"introuvable")</f>
        <v/>
      </c>
      <c r="C651" s="30">
        <f>IFERROR(INDEX(Mots!$S:$S,MATCH($A651,Mots!$A:$A,0)),"")</f>
        <v/>
      </c>
      <c r="D651" s="30">
        <f>IFERROR(COUNTA(INDEX(Mots!$J:$J,MATCH($A651,Mots!$A:$A,0)):INDEX(Mots!$P:$P,MATCH($A651,Mots!$A:$A,0))),0)</f>
        <v/>
      </c>
      <c r="E651" s="30">
        <f>IF(COUNTIF(Classement!$A:$A,$A651)&gt;0,"ok","à faire")</f>
        <v/>
      </c>
      <c r="F651" s="30">
        <f>IF(COUNTIF(Tags!$A:$A,$A651)&gt;0,"ok","à faire")</f>
        <v/>
      </c>
      <c r="G651" s="30">
        <f>IF(COUNTIF(Phrases!$A:$A,$A651)&gt;0,"ok","à faire")</f>
        <v/>
      </c>
      <c r="H651" s="30">
        <f>IF(COUNTIFS(Phrases!$A:$A,$A651,Phrases!$I:$I,"&lt;&gt;")&gt;0,"ok","à faire")</f>
        <v/>
      </c>
      <c r="I651" s="30">
        <f>IF(COUNTIF(Synonymes!$A:$A,$A651)&gt;0,"ok","")</f>
        <v/>
      </c>
      <c r="J651" s="30">
        <f>COUNTIF(E651:H651,"à faire")</f>
        <v/>
      </c>
    </row>
    <row r="652">
      <c r="A652" s="30" t="inlineStr">
        <is>
          <t>v_aider</t>
        </is>
      </c>
      <c r="B652" s="30">
        <f>IFERROR(INDEX(Mots!$B:$B,MATCH($A652,Mots!$A:$A,0)),"introuvable")</f>
        <v/>
      </c>
      <c r="C652" s="30">
        <f>IFERROR(INDEX(Mots!$S:$S,MATCH($A652,Mots!$A:$A,0)),"")</f>
        <v/>
      </c>
      <c r="D652" s="30">
        <f>IFERROR(COUNTA(INDEX(Mots!$J:$J,MATCH($A652,Mots!$A:$A,0)):INDEX(Mots!$P:$P,MATCH($A652,Mots!$A:$A,0))),0)</f>
        <v/>
      </c>
      <c r="E652" s="30">
        <f>IF(COUNTIF(Classement!$A:$A,$A652)&gt;0,"ok","à faire")</f>
        <v/>
      </c>
      <c r="F652" s="30">
        <f>IF(COUNTIF(Tags!$A:$A,$A652)&gt;0,"ok","à faire")</f>
        <v/>
      </c>
      <c r="G652" s="30">
        <f>IF(COUNTIF(Phrases!$A:$A,$A652)&gt;0,"ok","à faire")</f>
        <v/>
      </c>
      <c r="H652" s="30">
        <f>IF(COUNTIFS(Phrases!$A:$A,$A652,Phrases!$I:$I,"&lt;&gt;")&gt;0,"ok","à faire")</f>
        <v/>
      </c>
      <c r="I652" s="30">
        <f>IF(COUNTIF(Synonymes!$A:$A,$A652)&gt;0,"ok","")</f>
        <v/>
      </c>
      <c r="J652" s="30">
        <f>COUNTIF(E652:H652,"à faire")</f>
        <v/>
      </c>
    </row>
    <row r="653">
      <c r="A653" s="30" t="inlineStr">
        <is>
          <t>ailleurs</t>
        </is>
      </c>
      <c r="B653" s="30">
        <f>IFERROR(INDEX(Mots!$B:$B,MATCH($A653,Mots!$A:$A,0)),"introuvable")</f>
        <v/>
      </c>
      <c r="C653" s="30">
        <f>IFERROR(INDEX(Mots!$S:$S,MATCH($A653,Mots!$A:$A,0)),"")</f>
        <v/>
      </c>
      <c r="D653" s="30">
        <f>IFERROR(COUNTA(INDEX(Mots!$J:$J,MATCH($A653,Mots!$A:$A,0)):INDEX(Mots!$P:$P,MATCH($A653,Mots!$A:$A,0))),0)</f>
        <v/>
      </c>
      <c r="E653" s="30">
        <f>IF(COUNTIF(Classement!$A:$A,$A653)&gt;0,"ok","à faire")</f>
        <v/>
      </c>
      <c r="F653" s="30">
        <f>IF(COUNTIF(Tags!$A:$A,$A653)&gt;0,"ok","à faire")</f>
        <v/>
      </c>
      <c r="G653" s="30">
        <f>IF(COUNTIF(Phrases!$A:$A,$A653)&gt;0,"ok","à faire")</f>
        <v/>
      </c>
      <c r="H653" s="30">
        <f>IF(COUNTIFS(Phrases!$A:$A,$A653,Phrases!$I:$I,"&lt;&gt;")&gt;0,"ok","à faire")</f>
        <v/>
      </c>
      <c r="I653" s="30">
        <f>IF(COUNTIF(Synonymes!$A:$A,$A653)&gt;0,"ok","")</f>
        <v/>
      </c>
      <c r="J653" s="30">
        <f>COUNTIF(E653:H653,"à faire")</f>
        <v/>
      </c>
    </row>
    <row r="654">
      <c r="A654" s="30" t="inlineStr">
        <is>
          <t>aimable</t>
        </is>
      </c>
      <c r="B654" s="30">
        <f>IFERROR(INDEX(Mots!$B:$B,MATCH($A654,Mots!$A:$A,0)),"introuvable")</f>
        <v/>
      </c>
      <c r="C654" s="30">
        <f>IFERROR(INDEX(Mots!$S:$S,MATCH($A654,Mots!$A:$A,0)),"")</f>
        <v/>
      </c>
      <c r="D654" s="30">
        <f>IFERROR(COUNTA(INDEX(Mots!$J:$J,MATCH($A654,Mots!$A:$A,0)):INDEX(Mots!$P:$P,MATCH($A654,Mots!$A:$A,0))),0)</f>
        <v/>
      </c>
      <c r="E654" s="30">
        <f>IF(COUNTIF(Classement!$A:$A,$A654)&gt;0,"ok","à faire")</f>
        <v/>
      </c>
      <c r="F654" s="30">
        <f>IF(COUNTIF(Tags!$A:$A,$A654)&gt;0,"ok","à faire")</f>
        <v/>
      </c>
      <c r="G654" s="30">
        <f>IF(COUNTIF(Phrases!$A:$A,$A654)&gt;0,"ok","à faire")</f>
        <v/>
      </c>
      <c r="H654" s="30">
        <f>IF(COUNTIFS(Phrases!$A:$A,$A654,Phrases!$I:$I,"&lt;&gt;")&gt;0,"ok","à faire")</f>
        <v/>
      </c>
      <c r="I654" s="30">
        <f>IF(COUNTIF(Synonymes!$A:$A,$A654)&gt;0,"ok","")</f>
        <v/>
      </c>
      <c r="J654" s="30">
        <f>COUNTIF(E654:H654,"à faire")</f>
        <v/>
      </c>
    </row>
    <row r="655">
      <c r="A655" s="30" t="inlineStr">
        <is>
          <t>v_aimer</t>
        </is>
      </c>
      <c r="B655" s="30">
        <f>IFERROR(INDEX(Mots!$B:$B,MATCH($A655,Mots!$A:$A,0)),"introuvable")</f>
        <v/>
      </c>
      <c r="C655" s="30">
        <f>IFERROR(INDEX(Mots!$S:$S,MATCH($A655,Mots!$A:$A,0)),"")</f>
        <v/>
      </c>
      <c r="D655" s="30">
        <f>IFERROR(COUNTA(INDEX(Mots!$J:$J,MATCH($A655,Mots!$A:$A,0)):INDEX(Mots!$P:$P,MATCH($A655,Mots!$A:$A,0))),0)</f>
        <v/>
      </c>
      <c r="E655" s="30">
        <f>IF(COUNTIF(Classement!$A:$A,$A655)&gt;0,"ok","à faire")</f>
        <v/>
      </c>
      <c r="F655" s="30">
        <f>IF(COUNTIF(Tags!$A:$A,$A655)&gt;0,"ok","à faire")</f>
        <v/>
      </c>
      <c r="G655" s="30">
        <f>IF(COUNTIF(Phrases!$A:$A,$A655)&gt;0,"ok","à faire")</f>
        <v/>
      </c>
      <c r="H655" s="30">
        <f>IF(COUNTIFS(Phrases!$A:$A,$A655,Phrases!$I:$I,"&lt;&gt;")&gt;0,"ok","à faire")</f>
        <v/>
      </c>
      <c r="I655" s="30">
        <f>IF(COUNTIF(Synonymes!$A:$A,$A655)&gt;0,"ok","")</f>
        <v/>
      </c>
      <c r="J655" s="30">
        <f>COUNTIF(E655:H655,"à faire")</f>
        <v/>
      </c>
    </row>
    <row r="656">
      <c r="A656" s="30" t="inlineStr">
        <is>
          <t>v_aller</t>
        </is>
      </c>
      <c r="B656" s="30">
        <f>IFERROR(INDEX(Mots!$B:$B,MATCH($A656,Mots!$A:$A,0)),"introuvable")</f>
        <v/>
      </c>
      <c r="C656" s="30">
        <f>IFERROR(INDEX(Mots!$S:$S,MATCH($A656,Mots!$A:$A,0)),"")</f>
        <v/>
      </c>
      <c r="D656" s="30">
        <f>IFERROR(COUNTA(INDEX(Mots!$J:$J,MATCH($A656,Mots!$A:$A,0)):INDEX(Mots!$P:$P,MATCH($A656,Mots!$A:$A,0))),0)</f>
        <v/>
      </c>
      <c r="E656" s="30">
        <f>IF(COUNTIF(Classement!$A:$A,$A656)&gt;0,"ok","à faire")</f>
        <v/>
      </c>
      <c r="F656" s="30">
        <f>IF(COUNTIF(Tags!$A:$A,$A656)&gt;0,"ok","à faire")</f>
        <v/>
      </c>
      <c r="G656" s="30">
        <f>IF(COUNTIF(Phrases!$A:$A,$A656)&gt;0,"ok","à faire")</f>
        <v/>
      </c>
      <c r="H656" s="30">
        <f>IF(COUNTIFS(Phrases!$A:$A,$A656,Phrases!$I:$I,"&lt;&gt;")&gt;0,"ok","à faire")</f>
        <v/>
      </c>
      <c r="I656" s="30">
        <f>IF(COUNTIF(Synonymes!$A:$A,$A656)&gt;0,"ok","")</f>
        <v/>
      </c>
      <c r="J656" s="30">
        <f>COUNTIF(E656:H656,"à faire")</f>
        <v/>
      </c>
    </row>
    <row r="657">
      <c r="A657" s="30" t="inlineStr">
        <is>
          <t>v_annoncer</t>
        </is>
      </c>
      <c r="B657" s="30">
        <f>IFERROR(INDEX(Mots!$B:$B,MATCH($A657,Mots!$A:$A,0)),"introuvable")</f>
        <v/>
      </c>
      <c r="C657" s="30">
        <f>IFERROR(INDEX(Mots!$S:$S,MATCH($A657,Mots!$A:$A,0)),"")</f>
        <v/>
      </c>
      <c r="D657" s="30">
        <f>IFERROR(COUNTA(INDEX(Mots!$J:$J,MATCH($A657,Mots!$A:$A,0)):INDEX(Mots!$P:$P,MATCH($A657,Mots!$A:$A,0))),0)</f>
        <v/>
      </c>
      <c r="E657" s="30">
        <f>IF(COUNTIF(Classement!$A:$A,$A657)&gt;0,"ok","à faire")</f>
        <v/>
      </c>
      <c r="F657" s="30">
        <f>IF(COUNTIF(Tags!$A:$A,$A657)&gt;0,"ok","à faire")</f>
        <v/>
      </c>
      <c r="G657" s="30">
        <f>IF(COUNTIF(Phrases!$A:$A,$A657)&gt;0,"ok","à faire")</f>
        <v/>
      </c>
      <c r="H657" s="30">
        <f>IF(COUNTIFS(Phrases!$A:$A,$A657,Phrases!$I:$I,"&lt;&gt;")&gt;0,"ok","à faire")</f>
        <v/>
      </c>
      <c r="I657" s="30">
        <f>IF(COUNTIF(Synonymes!$A:$A,$A657)&gt;0,"ok","")</f>
        <v/>
      </c>
      <c r="J657" s="30">
        <f>COUNTIF(E657:H657,"à faire")</f>
        <v/>
      </c>
    </row>
    <row r="658">
      <c r="A658" s="30" t="inlineStr">
        <is>
          <t>v_appeler</t>
        </is>
      </c>
      <c r="B658" s="30">
        <f>IFERROR(INDEX(Mots!$B:$B,MATCH($A658,Mots!$A:$A,0)),"introuvable")</f>
        <v/>
      </c>
      <c r="C658" s="30">
        <f>IFERROR(INDEX(Mots!$S:$S,MATCH($A658,Mots!$A:$A,0)),"")</f>
        <v/>
      </c>
      <c r="D658" s="30">
        <f>IFERROR(COUNTA(INDEX(Mots!$J:$J,MATCH($A658,Mots!$A:$A,0)):INDEX(Mots!$P:$P,MATCH($A658,Mots!$A:$A,0))),0)</f>
        <v/>
      </c>
      <c r="E658" s="30">
        <f>IF(COUNTIF(Classement!$A:$A,$A658)&gt;0,"ok","à faire")</f>
        <v/>
      </c>
      <c r="F658" s="30">
        <f>IF(COUNTIF(Tags!$A:$A,$A658)&gt;0,"ok","à faire")</f>
        <v/>
      </c>
      <c r="G658" s="30">
        <f>IF(COUNTIF(Phrases!$A:$A,$A658)&gt;0,"ok","à faire")</f>
        <v/>
      </c>
      <c r="H658" s="30">
        <f>IF(COUNTIFS(Phrases!$A:$A,$A658,Phrases!$I:$I,"&lt;&gt;")&gt;0,"ok","à faire")</f>
        <v/>
      </c>
      <c r="I658" s="30">
        <f>IF(COUNTIF(Synonymes!$A:$A,$A658)&gt;0,"ok","")</f>
        <v/>
      </c>
      <c r="J658" s="30">
        <f>COUNTIF(E658:H658,"à faire")</f>
        <v/>
      </c>
    </row>
    <row r="659">
      <c r="A659" s="30" t="inlineStr">
        <is>
          <t>v_apprendre</t>
        </is>
      </c>
      <c r="B659" s="30">
        <f>IFERROR(INDEX(Mots!$B:$B,MATCH($A659,Mots!$A:$A,0)),"introuvable")</f>
        <v/>
      </c>
      <c r="C659" s="30">
        <f>IFERROR(INDEX(Mots!$S:$S,MATCH($A659,Mots!$A:$A,0)),"")</f>
        <v/>
      </c>
      <c r="D659" s="30">
        <f>IFERROR(COUNTA(INDEX(Mots!$J:$J,MATCH($A659,Mots!$A:$A,0)):INDEX(Mots!$P:$P,MATCH($A659,Mots!$A:$A,0))),0)</f>
        <v/>
      </c>
      <c r="E659" s="30">
        <f>IF(COUNTIF(Classement!$A:$A,$A659)&gt;0,"ok","à faire")</f>
        <v/>
      </c>
      <c r="F659" s="30">
        <f>IF(COUNTIF(Tags!$A:$A,$A659)&gt;0,"ok","à faire")</f>
        <v/>
      </c>
      <c r="G659" s="30">
        <f>IF(COUNTIF(Phrases!$A:$A,$A659)&gt;0,"ok","à faire")</f>
        <v/>
      </c>
      <c r="H659" s="30">
        <f>IF(COUNTIFS(Phrases!$A:$A,$A659,Phrases!$I:$I,"&lt;&gt;")&gt;0,"ok","à faire")</f>
        <v/>
      </c>
      <c r="I659" s="30">
        <f>IF(COUNTIF(Synonymes!$A:$A,$A659)&gt;0,"ok","")</f>
        <v/>
      </c>
      <c r="J659" s="30">
        <f>COUNTIF(E659:H659,"à faire")</f>
        <v/>
      </c>
    </row>
    <row r="660">
      <c r="A660" s="30" t="inlineStr">
        <is>
          <t>a_arme</t>
        </is>
      </c>
      <c r="B660" s="30">
        <f>IFERROR(INDEX(Mots!$B:$B,MATCH($A660,Mots!$A:$A,0)),"introuvable")</f>
        <v/>
      </c>
      <c r="C660" s="30">
        <f>IFERROR(INDEX(Mots!$S:$S,MATCH($A660,Mots!$A:$A,0)),"")</f>
        <v/>
      </c>
      <c r="D660" s="30">
        <f>IFERROR(COUNTA(INDEX(Mots!$J:$J,MATCH($A660,Mots!$A:$A,0)):INDEX(Mots!$P:$P,MATCH($A660,Mots!$A:$A,0))),0)</f>
        <v/>
      </c>
      <c r="E660" s="30">
        <f>IF(COUNTIF(Classement!$A:$A,$A660)&gt;0,"ok","à faire")</f>
        <v/>
      </c>
      <c r="F660" s="30">
        <f>IF(COUNTIF(Tags!$A:$A,$A660)&gt;0,"ok","à faire")</f>
        <v/>
      </c>
      <c r="G660" s="30">
        <f>IF(COUNTIF(Phrases!$A:$A,$A660)&gt;0,"ok","à faire")</f>
        <v/>
      </c>
      <c r="H660" s="30">
        <f>IF(COUNTIFS(Phrases!$A:$A,$A660,Phrases!$I:$I,"&lt;&gt;")&gt;0,"ok","à faire")</f>
        <v/>
      </c>
      <c r="I660" s="30">
        <f>IF(COUNTIF(Synonymes!$A:$A,$A660)&gt;0,"ok","")</f>
        <v/>
      </c>
      <c r="J660" s="30">
        <f>COUNTIF(E660:H660,"à faire")</f>
        <v/>
      </c>
    </row>
    <row r="661">
      <c r="A661" s="30" t="inlineStr">
        <is>
          <t>arrondi</t>
        </is>
      </c>
      <c r="B661" s="30">
        <f>IFERROR(INDEX(Mots!$B:$B,MATCH($A661,Mots!$A:$A,0)),"introuvable")</f>
        <v/>
      </c>
      <c r="C661" s="30">
        <f>IFERROR(INDEX(Mots!$S:$S,MATCH($A661,Mots!$A:$A,0)),"")</f>
        <v/>
      </c>
      <c r="D661" s="30">
        <f>IFERROR(COUNTA(INDEX(Mots!$J:$J,MATCH($A661,Mots!$A:$A,0)):INDEX(Mots!$P:$P,MATCH($A661,Mots!$A:$A,0))),0)</f>
        <v/>
      </c>
      <c r="E661" s="30">
        <f>IF(COUNTIF(Classement!$A:$A,$A661)&gt;0,"ok","à faire")</f>
        <v/>
      </c>
      <c r="F661" s="30">
        <f>IF(COUNTIF(Tags!$A:$A,$A661)&gt;0,"ok","à faire")</f>
        <v/>
      </c>
      <c r="G661" s="30">
        <f>IF(COUNTIF(Phrases!$A:$A,$A661)&gt;0,"ok","à faire")</f>
        <v/>
      </c>
      <c r="H661" s="30">
        <f>IF(COUNTIFS(Phrases!$A:$A,$A661,Phrases!$I:$I,"&lt;&gt;")&gt;0,"ok","à faire")</f>
        <v/>
      </c>
      <c r="I661" s="30">
        <f>IF(COUNTIF(Synonymes!$A:$A,$A661)&gt;0,"ok","")</f>
        <v/>
      </c>
      <c r="J661" s="30">
        <f>COUNTIF(E661:H661,"à faire")</f>
        <v/>
      </c>
    </row>
    <row r="662">
      <c r="A662" s="30" t="inlineStr">
        <is>
          <t>assez</t>
        </is>
      </c>
      <c r="B662" s="30">
        <f>IFERROR(INDEX(Mots!$B:$B,MATCH($A662,Mots!$A:$A,0)),"introuvable")</f>
        <v/>
      </c>
      <c r="C662" s="30">
        <f>IFERROR(INDEX(Mots!$S:$S,MATCH($A662,Mots!$A:$A,0)),"")</f>
        <v/>
      </c>
      <c r="D662" s="30">
        <f>IFERROR(COUNTA(INDEX(Mots!$J:$J,MATCH($A662,Mots!$A:$A,0)):INDEX(Mots!$P:$P,MATCH($A662,Mots!$A:$A,0))),0)</f>
        <v/>
      </c>
      <c r="E662" s="30">
        <f>IF(COUNTIF(Classement!$A:$A,$A662)&gt;0,"ok","à faire")</f>
        <v/>
      </c>
      <c r="F662" s="30">
        <f>IF(COUNTIF(Tags!$A:$A,$A662)&gt;0,"ok","à faire")</f>
        <v/>
      </c>
      <c r="G662" s="30">
        <f>IF(COUNTIF(Phrases!$A:$A,$A662)&gt;0,"ok","à faire")</f>
        <v/>
      </c>
      <c r="H662" s="30">
        <f>IF(COUNTIFS(Phrases!$A:$A,$A662,Phrases!$I:$I,"&lt;&gt;")&gt;0,"ok","à faire")</f>
        <v/>
      </c>
      <c r="I662" s="30">
        <f>IF(COUNTIF(Synonymes!$A:$A,$A662)&gt;0,"ok","")</f>
        <v/>
      </c>
      <c r="J662" s="30">
        <f>COUNTIF(E662:H662,"à faire")</f>
        <v/>
      </c>
    </row>
    <row r="663">
      <c r="A663" s="30" t="inlineStr">
        <is>
          <t>v_attendre</t>
        </is>
      </c>
      <c r="B663" s="30">
        <f>IFERROR(INDEX(Mots!$B:$B,MATCH($A663,Mots!$A:$A,0)),"introuvable")</f>
        <v/>
      </c>
      <c r="C663" s="30">
        <f>IFERROR(INDEX(Mots!$S:$S,MATCH($A663,Mots!$A:$A,0)),"")</f>
        <v/>
      </c>
      <c r="D663" s="30">
        <f>IFERROR(COUNTA(INDEX(Mots!$J:$J,MATCH($A663,Mots!$A:$A,0)):INDEX(Mots!$P:$P,MATCH($A663,Mots!$A:$A,0))),0)</f>
        <v/>
      </c>
      <c r="E663" s="30">
        <f>IF(COUNTIF(Classement!$A:$A,$A663)&gt;0,"ok","à faire")</f>
        <v/>
      </c>
      <c r="F663" s="30">
        <f>IF(COUNTIF(Tags!$A:$A,$A663)&gt;0,"ok","à faire")</f>
        <v/>
      </c>
      <c r="G663" s="30">
        <f>IF(COUNTIF(Phrases!$A:$A,$A663)&gt;0,"ok","à faire")</f>
        <v/>
      </c>
      <c r="H663" s="30">
        <f>IF(COUNTIFS(Phrases!$A:$A,$A663,Phrases!$I:$I,"&lt;&gt;")&gt;0,"ok","à faire")</f>
        <v/>
      </c>
      <c r="I663" s="30">
        <f>IF(COUNTIF(Synonymes!$A:$A,$A663)&gt;0,"ok","")</f>
        <v/>
      </c>
      <c r="J663" s="30">
        <f>COUNTIF(E663:H663,"à faire")</f>
        <v/>
      </c>
    </row>
    <row r="664">
      <c r="A664" s="30" t="inlineStr">
        <is>
          <t>aussi</t>
        </is>
      </c>
      <c r="B664" s="30">
        <f>IFERROR(INDEX(Mots!$B:$B,MATCH($A664,Mots!$A:$A,0)),"introuvable")</f>
        <v/>
      </c>
      <c r="C664" s="30">
        <f>IFERROR(INDEX(Mots!$S:$S,MATCH($A664,Mots!$A:$A,0)),"")</f>
        <v/>
      </c>
      <c r="D664" s="30">
        <f>IFERROR(COUNTA(INDEX(Mots!$J:$J,MATCH($A664,Mots!$A:$A,0)):INDEX(Mots!$P:$P,MATCH($A664,Mots!$A:$A,0))),0)</f>
        <v/>
      </c>
      <c r="E664" s="30">
        <f>IF(COUNTIF(Classement!$A:$A,$A664)&gt;0,"ok","à faire")</f>
        <v/>
      </c>
      <c r="F664" s="30">
        <f>IF(COUNTIF(Tags!$A:$A,$A664)&gt;0,"ok","à faire")</f>
        <v/>
      </c>
      <c r="G664" s="30">
        <f>IF(COUNTIF(Phrases!$A:$A,$A664)&gt;0,"ok","à faire")</f>
        <v/>
      </c>
      <c r="H664" s="30">
        <f>IF(COUNTIFS(Phrases!$A:$A,$A664,Phrases!$I:$I,"&lt;&gt;")&gt;0,"ok","à faire")</f>
        <v/>
      </c>
      <c r="I664" s="30">
        <f>IF(COUNTIF(Synonymes!$A:$A,$A664)&gt;0,"ok","")</f>
        <v/>
      </c>
      <c r="J664" s="30">
        <f>COUNTIF(E664:H664,"à faire")</f>
        <v/>
      </c>
    </row>
    <row r="665">
      <c r="A665" s="30" t="inlineStr">
        <is>
          <t>autant</t>
        </is>
      </c>
      <c r="B665" s="30">
        <f>IFERROR(INDEX(Mots!$B:$B,MATCH($A665,Mots!$A:$A,0)),"introuvable")</f>
        <v/>
      </c>
      <c r="C665" s="30">
        <f>IFERROR(INDEX(Mots!$S:$S,MATCH($A665,Mots!$A:$A,0)),"")</f>
        <v/>
      </c>
      <c r="D665" s="30">
        <f>IFERROR(COUNTA(INDEX(Mots!$J:$J,MATCH($A665,Mots!$A:$A,0)):INDEX(Mots!$P:$P,MATCH($A665,Mots!$A:$A,0))),0)</f>
        <v/>
      </c>
      <c r="E665" s="30">
        <f>IF(COUNTIF(Classement!$A:$A,$A665)&gt;0,"ok","à faire")</f>
        <v/>
      </c>
      <c r="F665" s="30">
        <f>IF(COUNTIF(Tags!$A:$A,$A665)&gt;0,"ok","à faire")</f>
        <v/>
      </c>
      <c r="G665" s="30">
        <f>IF(COUNTIF(Phrases!$A:$A,$A665)&gt;0,"ok","à faire")</f>
        <v/>
      </c>
      <c r="H665" s="30">
        <f>IF(COUNTIFS(Phrases!$A:$A,$A665,Phrases!$I:$I,"&lt;&gt;")&gt;0,"ok","à faire")</f>
        <v/>
      </c>
      <c r="I665" s="30">
        <f>IF(COUNTIF(Synonymes!$A:$A,$A665)&gt;0,"ok","")</f>
        <v/>
      </c>
      <c r="J665" s="30">
        <f>COUNTIF(E665:H665,"à faire")</f>
        <v/>
      </c>
    </row>
    <row r="666">
      <c r="A666" s="30" t="inlineStr">
        <is>
          <t>autour</t>
        </is>
      </c>
      <c r="B666" s="30">
        <f>IFERROR(INDEX(Mots!$B:$B,MATCH($A666,Mots!$A:$A,0)),"introuvable")</f>
        <v/>
      </c>
      <c r="C666" s="30">
        <f>IFERROR(INDEX(Mots!$S:$S,MATCH($A666,Mots!$A:$A,0)),"")</f>
        <v/>
      </c>
      <c r="D666" s="30">
        <f>IFERROR(COUNTA(INDEX(Mots!$J:$J,MATCH($A666,Mots!$A:$A,0)):INDEX(Mots!$P:$P,MATCH($A666,Mots!$A:$A,0))),0)</f>
        <v/>
      </c>
      <c r="E666" s="30">
        <f>IF(COUNTIF(Classement!$A:$A,$A666)&gt;0,"ok","à faire")</f>
        <v/>
      </c>
      <c r="F666" s="30">
        <f>IF(COUNTIF(Tags!$A:$A,$A666)&gt;0,"ok","à faire")</f>
        <v/>
      </c>
      <c r="G666" s="30">
        <f>IF(COUNTIF(Phrases!$A:$A,$A666)&gt;0,"ok","à faire")</f>
        <v/>
      </c>
      <c r="H666" s="30">
        <f>IF(COUNTIFS(Phrases!$A:$A,$A666,Phrases!$I:$I,"&lt;&gt;")&gt;0,"ok","à faire")</f>
        <v/>
      </c>
      <c r="I666" s="30">
        <f>IF(COUNTIF(Synonymes!$A:$A,$A666)&gt;0,"ok","")</f>
        <v/>
      </c>
      <c r="J666" s="30">
        <f>COUNTIF(E666:H666,"à faire")</f>
        <v/>
      </c>
    </row>
    <row r="667">
      <c r="A667" s="30" t="inlineStr">
        <is>
          <t>v_avoir</t>
        </is>
      </c>
      <c r="B667" s="30">
        <f>IFERROR(INDEX(Mots!$B:$B,MATCH($A667,Mots!$A:$A,0)),"introuvable")</f>
        <v/>
      </c>
      <c r="C667" s="30">
        <f>IFERROR(INDEX(Mots!$S:$S,MATCH($A667,Mots!$A:$A,0)),"")</f>
        <v/>
      </c>
      <c r="D667" s="30">
        <f>IFERROR(COUNTA(INDEX(Mots!$J:$J,MATCH($A667,Mots!$A:$A,0)):INDEX(Mots!$P:$P,MATCH($A667,Mots!$A:$A,0))),0)</f>
        <v/>
      </c>
      <c r="E667" s="30">
        <f>IF(COUNTIF(Classement!$A:$A,$A667)&gt;0,"ok","à faire")</f>
        <v/>
      </c>
      <c r="F667" s="30">
        <f>IF(COUNTIF(Tags!$A:$A,$A667)&gt;0,"ok","à faire")</f>
        <v/>
      </c>
      <c r="G667" s="30">
        <f>IF(COUNTIF(Phrases!$A:$A,$A667)&gt;0,"ok","à faire")</f>
        <v/>
      </c>
      <c r="H667" s="30">
        <f>IF(COUNTIFS(Phrases!$A:$A,$A667,Phrases!$I:$I,"&lt;&gt;")&gt;0,"ok","à faire")</f>
        <v/>
      </c>
      <c r="I667" s="30">
        <f>IF(COUNTIF(Synonymes!$A:$A,$A667)&gt;0,"ok","")</f>
        <v/>
      </c>
      <c r="J667" s="30">
        <f>COUNTIF(E667:H667,"à faire")</f>
        <v/>
      </c>
    </row>
    <row r="668">
      <c r="A668" s="30" t="inlineStr">
        <is>
          <t>v_avouer</t>
        </is>
      </c>
      <c r="B668" s="30">
        <f>IFERROR(INDEX(Mots!$B:$B,MATCH($A668,Mots!$A:$A,0)),"introuvable")</f>
        <v/>
      </c>
      <c r="C668" s="30">
        <f>IFERROR(INDEX(Mots!$S:$S,MATCH($A668,Mots!$A:$A,0)),"")</f>
        <v/>
      </c>
      <c r="D668" s="30">
        <f>IFERROR(COUNTA(INDEX(Mots!$J:$J,MATCH($A668,Mots!$A:$A,0)):INDEX(Mots!$P:$P,MATCH($A668,Mots!$A:$A,0))),0)</f>
        <v/>
      </c>
      <c r="E668" s="30">
        <f>IF(COUNTIF(Classement!$A:$A,$A668)&gt;0,"ok","à faire")</f>
        <v/>
      </c>
      <c r="F668" s="30">
        <f>IF(COUNTIF(Tags!$A:$A,$A668)&gt;0,"ok","à faire")</f>
        <v/>
      </c>
      <c r="G668" s="30">
        <f>IF(COUNTIF(Phrases!$A:$A,$A668)&gt;0,"ok","à faire")</f>
        <v/>
      </c>
      <c r="H668" s="30">
        <f>IF(COUNTIFS(Phrases!$A:$A,$A668,Phrases!$I:$I,"&lt;&gt;")&gt;0,"ok","à faire")</f>
        <v/>
      </c>
      <c r="I668" s="30">
        <f>IF(COUNTIF(Synonymes!$A:$A,$A668)&gt;0,"ok","")</f>
        <v/>
      </c>
      <c r="J668" s="30">
        <f>COUNTIF(E668:H668,"à faire")</f>
        <v/>
      </c>
    </row>
    <row r="669">
      <c r="A669" s="30" t="inlineStr">
        <is>
          <t>beaucoup</t>
        </is>
      </c>
      <c r="B669" s="30">
        <f>IFERROR(INDEX(Mots!$B:$B,MATCH($A669,Mots!$A:$A,0)),"introuvable")</f>
        <v/>
      </c>
      <c r="C669" s="30">
        <f>IFERROR(INDEX(Mots!$S:$S,MATCH($A669,Mots!$A:$A,0)),"")</f>
        <v/>
      </c>
      <c r="D669" s="30">
        <f>IFERROR(COUNTA(INDEX(Mots!$J:$J,MATCH($A669,Mots!$A:$A,0)):INDEX(Mots!$P:$P,MATCH($A669,Mots!$A:$A,0))),0)</f>
        <v/>
      </c>
      <c r="E669" s="30">
        <f>IF(COUNTIF(Classement!$A:$A,$A669)&gt;0,"ok","à faire")</f>
        <v/>
      </c>
      <c r="F669" s="30">
        <f>IF(COUNTIF(Tags!$A:$A,$A669)&gt;0,"ok","à faire")</f>
        <v/>
      </c>
      <c r="G669" s="30">
        <f>IF(COUNTIF(Phrases!$A:$A,$A669)&gt;0,"ok","à faire")</f>
        <v/>
      </c>
      <c r="H669" s="30">
        <f>IF(COUNTIFS(Phrases!$A:$A,$A669,Phrases!$I:$I,"&lt;&gt;")&gt;0,"ok","à faire")</f>
        <v/>
      </c>
      <c r="I669" s="30">
        <f>IF(COUNTIF(Synonymes!$A:$A,$A669)&gt;0,"ok","")</f>
        <v/>
      </c>
      <c r="J669" s="30">
        <f>COUNTIF(E669:H669,"à faire")</f>
        <v/>
      </c>
    </row>
    <row r="670">
      <c r="A670" s="30" t="inlineStr">
        <is>
          <t>bien</t>
        </is>
      </c>
      <c r="B670" s="30">
        <f>IFERROR(INDEX(Mots!$B:$B,MATCH($A670,Mots!$A:$A,0)),"introuvable")</f>
        <v/>
      </c>
      <c r="C670" s="30">
        <f>IFERROR(INDEX(Mots!$S:$S,MATCH($A670,Mots!$A:$A,0)),"")</f>
        <v/>
      </c>
      <c r="D670" s="30">
        <f>IFERROR(COUNTA(INDEX(Mots!$J:$J,MATCH($A670,Mots!$A:$A,0)):INDEX(Mots!$P:$P,MATCH($A670,Mots!$A:$A,0))),0)</f>
        <v/>
      </c>
      <c r="E670" s="30">
        <f>IF(COUNTIF(Classement!$A:$A,$A670)&gt;0,"ok","à faire")</f>
        <v/>
      </c>
      <c r="F670" s="30">
        <f>IF(COUNTIF(Tags!$A:$A,$A670)&gt;0,"ok","à faire")</f>
        <v/>
      </c>
      <c r="G670" s="30">
        <f>IF(COUNTIF(Phrases!$A:$A,$A670)&gt;0,"ok","à faire")</f>
        <v/>
      </c>
      <c r="H670" s="30">
        <f>IF(COUNTIFS(Phrases!$A:$A,$A670,Phrases!$I:$I,"&lt;&gt;")&gt;0,"ok","à faire")</f>
        <v/>
      </c>
      <c r="I670" s="30">
        <f>IF(COUNTIF(Synonymes!$A:$A,$A670)&gt;0,"ok","")</f>
        <v/>
      </c>
      <c r="J670" s="30">
        <f>COUNTIF(E670:H670,"à faire")</f>
        <v/>
      </c>
    </row>
    <row r="671">
      <c r="A671" s="30" t="inlineStr">
        <is>
          <t>bientot</t>
        </is>
      </c>
      <c r="B671" s="30">
        <f>IFERROR(INDEX(Mots!$B:$B,MATCH($A671,Mots!$A:$A,0)),"introuvable")</f>
        <v/>
      </c>
      <c r="C671" s="30">
        <f>IFERROR(INDEX(Mots!$S:$S,MATCH($A671,Mots!$A:$A,0)),"")</f>
        <v/>
      </c>
      <c r="D671" s="30">
        <f>IFERROR(COUNTA(INDEX(Mots!$J:$J,MATCH($A671,Mots!$A:$A,0)):INDEX(Mots!$P:$P,MATCH($A671,Mots!$A:$A,0))),0)</f>
        <v/>
      </c>
      <c r="E671" s="30">
        <f>IF(COUNTIF(Classement!$A:$A,$A671)&gt;0,"ok","à faire")</f>
        <v/>
      </c>
      <c r="F671" s="30">
        <f>IF(COUNTIF(Tags!$A:$A,$A671)&gt;0,"ok","à faire")</f>
        <v/>
      </c>
      <c r="G671" s="30">
        <f>IF(COUNTIF(Phrases!$A:$A,$A671)&gt;0,"ok","à faire")</f>
        <v/>
      </c>
      <c r="H671" s="30">
        <f>IF(COUNTIFS(Phrases!$A:$A,$A671,Phrases!$I:$I,"&lt;&gt;")&gt;0,"ok","à faire")</f>
        <v/>
      </c>
      <c r="I671" s="30">
        <f>IF(COUNTIF(Synonymes!$A:$A,$A671)&gt;0,"ok","")</f>
        <v/>
      </c>
      <c r="J671" s="30">
        <f>COUNTIF(E671:H671,"à faire")</f>
        <v/>
      </c>
    </row>
    <row r="672">
      <c r="A672" s="30" t="inlineStr">
        <is>
          <t>v_boire</t>
        </is>
      </c>
      <c r="B672" s="30">
        <f>IFERROR(INDEX(Mots!$B:$B,MATCH($A672,Mots!$A:$A,0)),"introuvable")</f>
        <v/>
      </c>
      <c r="C672" s="30">
        <f>IFERROR(INDEX(Mots!$S:$S,MATCH($A672,Mots!$A:$A,0)),"")</f>
        <v/>
      </c>
      <c r="D672" s="30">
        <f>IFERROR(COUNTA(INDEX(Mots!$J:$J,MATCH($A672,Mots!$A:$A,0)):INDEX(Mots!$P:$P,MATCH($A672,Mots!$A:$A,0))),0)</f>
        <v/>
      </c>
      <c r="E672" s="30">
        <f>IF(COUNTIF(Classement!$A:$A,$A672)&gt;0,"ok","à faire")</f>
        <v/>
      </c>
      <c r="F672" s="30">
        <f>IF(COUNTIF(Tags!$A:$A,$A672)&gt;0,"ok","à faire")</f>
        <v/>
      </c>
      <c r="G672" s="30">
        <f>IF(COUNTIF(Phrases!$A:$A,$A672)&gt;0,"ok","à faire")</f>
        <v/>
      </c>
      <c r="H672" s="30">
        <f>IF(COUNTIFS(Phrases!$A:$A,$A672,Phrases!$I:$I,"&lt;&gt;")&gt;0,"ok","à faire")</f>
        <v/>
      </c>
      <c r="I672" s="30">
        <f>IF(COUNTIF(Synonymes!$A:$A,$A672)&gt;0,"ok","")</f>
        <v/>
      </c>
      <c r="J672" s="30">
        <f>COUNTIF(E672:H672,"à faire")</f>
        <v/>
      </c>
    </row>
    <row r="673">
      <c r="A673" s="30" t="inlineStr">
        <is>
          <t>brun</t>
        </is>
      </c>
      <c r="B673" s="30">
        <f>IFERROR(INDEX(Mots!$B:$B,MATCH($A673,Mots!$A:$A,0)),"introuvable")</f>
        <v/>
      </c>
      <c r="C673" s="30">
        <f>IFERROR(INDEX(Mots!$S:$S,MATCH($A673,Mots!$A:$A,0)),"")</f>
        <v/>
      </c>
      <c r="D673" s="30">
        <f>IFERROR(COUNTA(INDEX(Mots!$J:$J,MATCH($A673,Mots!$A:$A,0)):INDEX(Mots!$P:$P,MATCH($A673,Mots!$A:$A,0))),0)</f>
        <v/>
      </c>
      <c r="E673" s="30">
        <f>IF(COUNTIF(Classement!$A:$A,$A673)&gt;0,"ok","à faire")</f>
        <v/>
      </c>
      <c r="F673" s="30">
        <f>IF(COUNTIF(Tags!$A:$A,$A673)&gt;0,"ok","à faire")</f>
        <v/>
      </c>
      <c r="G673" s="30">
        <f>IF(COUNTIF(Phrases!$A:$A,$A673)&gt;0,"ok","à faire")</f>
        <v/>
      </c>
      <c r="H673" s="30">
        <f>IF(COUNTIFS(Phrases!$A:$A,$A673,Phrases!$I:$I,"&lt;&gt;")&gt;0,"ok","à faire")</f>
        <v/>
      </c>
      <c r="I673" s="30">
        <f>IF(COUNTIF(Synonymes!$A:$A,$A673)&gt;0,"ok","")</f>
        <v/>
      </c>
      <c r="J673" s="30">
        <f>COUNTIF(E673:H673,"à faire")</f>
        <v/>
      </c>
    </row>
    <row r="674">
      <c r="A674" s="30" t="inlineStr">
        <is>
          <t>brusquement</t>
        </is>
      </c>
      <c r="B674" s="30">
        <f>IFERROR(INDEX(Mots!$B:$B,MATCH($A674,Mots!$A:$A,0)),"introuvable")</f>
        <v/>
      </c>
      <c r="C674" s="30">
        <f>IFERROR(INDEX(Mots!$S:$S,MATCH($A674,Mots!$A:$A,0)),"")</f>
        <v/>
      </c>
      <c r="D674" s="30">
        <f>IFERROR(COUNTA(INDEX(Mots!$J:$J,MATCH($A674,Mots!$A:$A,0)):INDEX(Mots!$P:$P,MATCH($A674,Mots!$A:$A,0))),0)</f>
        <v/>
      </c>
      <c r="E674" s="30">
        <f>IF(COUNTIF(Classement!$A:$A,$A674)&gt;0,"ok","à faire")</f>
        <v/>
      </c>
      <c r="F674" s="30">
        <f>IF(COUNTIF(Tags!$A:$A,$A674)&gt;0,"ok","à faire")</f>
        <v/>
      </c>
      <c r="G674" s="30">
        <f>IF(COUNTIF(Phrases!$A:$A,$A674)&gt;0,"ok","à faire")</f>
        <v/>
      </c>
      <c r="H674" s="30">
        <f>IF(COUNTIFS(Phrases!$A:$A,$A674,Phrases!$I:$I,"&lt;&gt;")&gt;0,"ok","à faire")</f>
        <v/>
      </c>
      <c r="I674" s="30">
        <f>IF(COUNTIF(Synonymes!$A:$A,$A674)&gt;0,"ok","")</f>
        <v/>
      </c>
      <c r="J674" s="30">
        <f>COUNTIF(E674:H674,"à faire")</f>
        <v/>
      </c>
    </row>
    <row r="675">
      <c r="A675" s="30" t="inlineStr">
        <is>
          <t>v_cacher</t>
        </is>
      </c>
      <c r="B675" s="30">
        <f>IFERROR(INDEX(Mots!$B:$B,MATCH($A675,Mots!$A:$A,0)),"introuvable")</f>
        <v/>
      </c>
      <c r="C675" s="30">
        <f>IFERROR(INDEX(Mots!$S:$S,MATCH($A675,Mots!$A:$A,0)),"")</f>
        <v/>
      </c>
      <c r="D675" s="30">
        <f>IFERROR(COUNTA(INDEX(Mots!$J:$J,MATCH($A675,Mots!$A:$A,0)):INDEX(Mots!$P:$P,MATCH($A675,Mots!$A:$A,0))),0)</f>
        <v/>
      </c>
      <c r="E675" s="30">
        <f>IF(COUNTIF(Classement!$A:$A,$A675)&gt;0,"ok","à faire")</f>
        <v/>
      </c>
      <c r="F675" s="30">
        <f>IF(COUNTIF(Tags!$A:$A,$A675)&gt;0,"ok","à faire")</f>
        <v/>
      </c>
      <c r="G675" s="30">
        <f>IF(COUNTIF(Phrases!$A:$A,$A675)&gt;0,"ok","à faire")</f>
        <v/>
      </c>
      <c r="H675" s="30">
        <f>IF(COUNTIFS(Phrases!$A:$A,$A675,Phrases!$I:$I,"&lt;&gt;")&gt;0,"ok","à faire")</f>
        <v/>
      </c>
      <c r="I675" s="30">
        <f>IF(COUNTIF(Synonymes!$A:$A,$A675)&gt;0,"ok","")</f>
        <v/>
      </c>
      <c r="J675" s="30">
        <f>COUNTIF(E675:H675,"à faire")</f>
        <v/>
      </c>
    </row>
    <row r="676">
      <c r="A676" s="30" t="inlineStr">
        <is>
          <t>casse</t>
        </is>
      </c>
      <c r="B676" s="30">
        <f>IFERROR(INDEX(Mots!$B:$B,MATCH($A676,Mots!$A:$A,0)),"introuvable")</f>
        <v/>
      </c>
      <c r="C676" s="30">
        <f>IFERROR(INDEX(Mots!$S:$S,MATCH($A676,Mots!$A:$A,0)),"")</f>
        <v/>
      </c>
      <c r="D676" s="30">
        <f>IFERROR(COUNTA(INDEX(Mots!$J:$J,MATCH($A676,Mots!$A:$A,0)):INDEX(Mots!$P:$P,MATCH($A676,Mots!$A:$A,0))),0)</f>
        <v/>
      </c>
      <c r="E676" s="30">
        <f>IF(COUNTIF(Classement!$A:$A,$A676)&gt;0,"ok","à faire")</f>
        <v/>
      </c>
      <c r="F676" s="30">
        <f>IF(COUNTIF(Tags!$A:$A,$A676)&gt;0,"ok","à faire")</f>
        <v/>
      </c>
      <c r="G676" s="30">
        <f>IF(COUNTIF(Phrases!$A:$A,$A676)&gt;0,"ok","à faire")</f>
        <v/>
      </c>
      <c r="H676" s="30">
        <f>IF(COUNTIFS(Phrases!$A:$A,$A676,Phrases!$I:$I,"&lt;&gt;")&gt;0,"ok","à faire")</f>
        <v/>
      </c>
      <c r="I676" s="30">
        <f>IF(COUNTIF(Synonymes!$A:$A,$A676)&gt;0,"ok","")</f>
        <v/>
      </c>
      <c r="J676" s="30">
        <f>COUNTIF(E676:H676,"à faire")</f>
        <v/>
      </c>
    </row>
    <row r="677">
      <c r="A677" s="30" t="inlineStr">
        <is>
          <t>v_casser</t>
        </is>
      </c>
      <c r="B677" s="30">
        <f>IFERROR(INDEX(Mots!$B:$B,MATCH($A677,Mots!$A:$A,0)),"introuvable")</f>
        <v/>
      </c>
      <c r="C677" s="30">
        <f>IFERROR(INDEX(Mots!$S:$S,MATCH($A677,Mots!$A:$A,0)),"")</f>
        <v/>
      </c>
      <c r="D677" s="30">
        <f>IFERROR(COUNTA(INDEX(Mots!$J:$J,MATCH($A677,Mots!$A:$A,0)):INDEX(Mots!$P:$P,MATCH($A677,Mots!$A:$A,0))),0)</f>
        <v/>
      </c>
      <c r="E677" s="30">
        <f>IF(COUNTIF(Classement!$A:$A,$A677)&gt;0,"ok","à faire")</f>
        <v/>
      </c>
      <c r="F677" s="30">
        <f>IF(COUNTIF(Tags!$A:$A,$A677)&gt;0,"ok","à faire")</f>
        <v/>
      </c>
      <c r="G677" s="30">
        <f>IF(COUNTIF(Phrases!$A:$A,$A677)&gt;0,"ok","à faire")</f>
        <v/>
      </c>
      <c r="H677" s="30">
        <f>IF(COUNTIFS(Phrases!$A:$A,$A677,Phrases!$I:$I,"&lt;&gt;")&gt;0,"ok","à faire")</f>
        <v/>
      </c>
      <c r="I677" s="30">
        <f>IF(COUNTIF(Synonymes!$A:$A,$A677)&gt;0,"ok","")</f>
        <v/>
      </c>
      <c r="J677" s="30">
        <f>COUNTIF(E677:H677,"à faire")</f>
        <v/>
      </c>
    </row>
    <row r="678">
      <c r="A678" s="30" t="inlineStr">
        <is>
          <t>certain</t>
        </is>
      </c>
      <c r="B678" s="30">
        <f>IFERROR(INDEX(Mots!$B:$B,MATCH($A678,Mots!$A:$A,0)),"introuvable")</f>
        <v/>
      </c>
      <c r="C678" s="30">
        <f>IFERROR(INDEX(Mots!$S:$S,MATCH($A678,Mots!$A:$A,0)),"")</f>
        <v/>
      </c>
      <c r="D678" s="30">
        <f>IFERROR(COUNTA(INDEX(Mots!$J:$J,MATCH($A678,Mots!$A:$A,0)):INDEX(Mots!$P:$P,MATCH($A678,Mots!$A:$A,0))),0)</f>
        <v/>
      </c>
      <c r="E678" s="30">
        <f>IF(COUNTIF(Classement!$A:$A,$A678)&gt;0,"ok","à faire")</f>
        <v/>
      </c>
      <c r="F678" s="30">
        <f>IF(COUNTIF(Tags!$A:$A,$A678)&gt;0,"ok","à faire")</f>
        <v/>
      </c>
      <c r="G678" s="30">
        <f>IF(COUNTIF(Phrases!$A:$A,$A678)&gt;0,"ok","à faire")</f>
        <v/>
      </c>
      <c r="H678" s="30">
        <f>IF(COUNTIFS(Phrases!$A:$A,$A678,Phrases!$I:$I,"&lt;&gt;")&gt;0,"ok","à faire")</f>
        <v/>
      </c>
      <c r="I678" s="30">
        <f>IF(COUNTIF(Synonymes!$A:$A,$A678)&gt;0,"ok","")</f>
        <v/>
      </c>
      <c r="J678" s="30">
        <f>COUNTIF(E678:H678,"à faire")</f>
        <v/>
      </c>
    </row>
    <row r="679">
      <c r="A679" s="30" t="inlineStr">
        <is>
          <t>v_changer</t>
        </is>
      </c>
      <c r="B679" s="30">
        <f>IFERROR(INDEX(Mots!$B:$B,MATCH($A679,Mots!$A:$A,0)),"introuvable")</f>
        <v/>
      </c>
      <c r="C679" s="30">
        <f>IFERROR(INDEX(Mots!$S:$S,MATCH($A679,Mots!$A:$A,0)),"")</f>
        <v/>
      </c>
      <c r="D679" s="30">
        <f>IFERROR(COUNTA(INDEX(Mots!$J:$J,MATCH($A679,Mots!$A:$A,0)):INDEX(Mots!$P:$P,MATCH($A679,Mots!$A:$A,0))),0)</f>
        <v/>
      </c>
      <c r="E679" s="30">
        <f>IF(COUNTIF(Classement!$A:$A,$A679)&gt;0,"ok","à faire")</f>
        <v/>
      </c>
      <c r="F679" s="30">
        <f>IF(COUNTIF(Tags!$A:$A,$A679)&gt;0,"ok","à faire")</f>
        <v/>
      </c>
      <c r="G679" s="30">
        <f>IF(COUNTIF(Phrases!$A:$A,$A679)&gt;0,"ok","à faire")</f>
        <v/>
      </c>
      <c r="H679" s="30">
        <f>IF(COUNTIFS(Phrases!$A:$A,$A679,Phrases!$I:$I,"&lt;&gt;")&gt;0,"ok","à faire")</f>
        <v/>
      </c>
      <c r="I679" s="30">
        <f>IF(COUNTIF(Synonymes!$A:$A,$A679)&gt;0,"ok","")</f>
        <v/>
      </c>
      <c r="J679" s="30">
        <f>COUNTIF(E679:H679,"à faire")</f>
        <v/>
      </c>
    </row>
    <row r="680">
      <c r="A680" s="30" t="inlineStr">
        <is>
          <t>v_chanter</t>
        </is>
      </c>
      <c r="B680" s="30">
        <f>IFERROR(INDEX(Mots!$B:$B,MATCH($A680,Mots!$A:$A,0)),"introuvable")</f>
        <v/>
      </c>
      <c r="C680" s="30">
        <f>IFERROR(INDEX(Mots!$S:$S,MATCH($A680,Mots!$A:$A,0)),"")</f>
        <v/>
      </c>
      <c r="D680" s="30">
        <f>IFERROR(COUNTA(INDEX(Mots!$J:$J,MATCH($A680,Mots!$A:$A,0)):INDEX(Mots!$P:$P,MATCH($A680,Mots!$A:$A,0))),0)</f>
        <v/>
      </c>
      <c r="E680" s="30">
        <f>IF(COUNTIF(Classement!$A:$A,$A680)&gt;0,"ok","à faire")</f>
        <v/>
      </c>
      <c r="F680" s="30">
        <f>IF(COUNTIF(Tags!$A:$A,$A680)&gt;0,"ok","à faire")</f>
        <v/>
      </c>
      <c r="G680" s="30">
        <f>IF(COUNTIF(Phrases!$A:$A,$A680)&gt;0,"ok","à faire")</f>
        <v/>
      </c>
      <c r="H680" s="30">
        <f>IF(COUNTIFS(Phrases!$A:$A,$A680,Phrases!$I:$I,"&lt;&gt;")&gt;0,"ok","à faire")</f>
        <v/>
      </c>
      <c r="I680" s="30">
        <f>IF(COUNTIF(Synonymes!$A:$A,$A680)&gt;0,"ok","")</f>
        <v/>
      </c>
      <c r="J680" s="30">
        <f>COUNTIF(E680:H680,"à faire")</f>
        <v/>
      </c>
    </row>
    <row r="681">
      <c r="A681" s="30" t="inlineStr">
        <is>
          <t>v_chercher</t>
        </is>
      </c>
      <c r="B681" s="30">
        <f>IFERROR(INDEX(Mots!$B:$B,MATCH($A681,Mots!$A:$A,0)),"introuvable")</f>
        <v/>
      </c>
      <c r="C681" s="30">
        <f>IFERROR(INDEX(Mots!$S:$S,MATCH($A681,Mots!$A:$A,0)),"")</f>
        <v/>
      </c>
      <c r="D681" s="30">
        <f>IFERROR(COUNTA(INDEX(Mots!$J:$J,MATCH($A681,Mots!$A:$A,0)):INDEX(Mots!$P:$P,MATCH($A681,Mots!$A:$A,0))),0)</f>
        <v/>
      </c>
      <c r="E681" s="30">
        <f>IF(COUNTIF(Classement!$A:$A,$A681)&gt;0,"ok","à faire")</f>
        <v/>
      </c>
      <c r="F681" s="30">
        <f>IF(COUNTIF(Tags!$A:$A,$A681)&gt;0,"ok","à faire")</f>
        <v/>
      </c>
      <c r="G681" s="30">
        <f>IF(COUNTIF(Phrases!$A:$A,$A681)&gt;0,"ok","à faire")</f>
        <v/>
      </c>
      <c r="H681" s="30">
        <f>IF(COUNTIFS(Phrases!$A:$A,$A681,Phrases!$I:$I,"&lt;&gt;")&gt;0,"ok","à faire")</f>
        <v/>
      </c>
      <c r="I681" s="30">
        <f>IF(COUNTIF(Synonymes!$A:$A,$A681)&gt;0,"ok","")</f>
        <v/>
      </c>
      <c r="J681" s="30">
        <f>COUNTIF(E681:H681,"à faire")</f>
        <v/>
      </c>
    </row>
    <row r="682">
      <c r="A682" s="30" t="inlineStr">
        <is>
          <t>v_choisir</t>
        </is>
      </c>
      <c r="B682" s="30">
        <f>IFERROR(INDEX(Mots!$B:$B,MATCH($A682,Mots!$A:$A,0)),"introuvable")</f>
        <v/>
      </c>
      <c r="C682" s="30">
        <f>IFERROR(INDEX(Mots!$S:$S,MATCH($A682,Mots!$A:$A,0)),"")</f>
        <v/>
      </c>
      <c r="D682" s="30">
        <f>IFERROR(COUNTA(INDEX(Mots!$J:$J,MATCH($A682,Mots!$A:$A,0)):INDEX(Mots!$P:$P,MATCH($A682,Mots!$A:$A,0))),0)</f>
        <v/>
      </c>
      <c r="E682" s="30">
        <f>IF(COUNTIF(Classement!$A:$A,$A682)&gt;0,"ok","à faire")</f>
        <v/>
      </c>
      <c r="F682" s="30">
        <f>IF(COUNTIF(Tags!$A:$A,$A682)&gt;0,"ok","à faire")</f>
        <v/>
      </c>
      <c r="G682" s="30">
        <f>IF(COUNTIF(Phrases!$A:$A,$A682)&gt;0,"ok","à faire")</f>
        <v/>
      </c>
      <c r="H682" s="30">
        <f>IF(COUNTIFS(Phrases!$A:$A,$A682,Phrases!$I:$I,"&lt;&gt;")&gt;0,"ok","à faire")</f>
        <v/>
      </c>
      <c r="I682" s="30">
        <f>IF(COUNTIF(Synonymes!$A:$A,$A682)&gt;0,"ok","")</f>
        <v/>
      </c>
      <c r="J682" s="30">
        <f>COUNTIF(E682:H682,"à faire")</f>
        <v/>
      </c>
    </row>
    <row r="683">
      <c r="A683" s="30" t="inlineStr">
        <is>
          <t>christophe_g</t>
        </is>
      </c>
      <c r="B683" s="30">
        <f>IFERROR(INDEX(Mots!$B:$B,MATCH($A683,Mots!$A:$A,0)),"introuvable")</f>
        <v/>
      </c>
      <c r="C683" s="30">
        <f>IFERROR(INDEX(Mots!$S:$S,MATCH($A683,Mots!$A:$A,0)),"")</f>
        <v/>
      </c>
      <c r="D683" s="30">
        <f>IFERROR(COUNTA(INDEX(Mots!$J:$J,MATCH($A683,Mots!$A:$A,0)):INDEX(Mots!$P:$P,MATCH($A683,Mots!$A:$A,0))),0)</f>
        <v/>
      </c>
      <c r="E683" s="30">
        <f>IF(COUNTIF(Classement!$A:$A,$A683)&gt;0,"ok","à faire")</f>
        <v/>
      </c>
      <c r="F683" s="30">
        <f>IF(COUNTIF(Tags!$A:$A,$A683)&gt;0,"ok","à faire")</f>
        <v/>
      </c>
      <c r="G683" s="30">
        <f>IF(COUNTIF(Phrases!$A:$A,$A683)&gt;0,"ok","à faire")</f>
        <v/>
      </c>
      <c r="H683" s="30">
        <f>IF(COUNTIFS(Phrases!$A:$A,$A683,Phrases!$I:$I,"&lt;&gt;")&gt;0,"ok","à faire")</f>
        <v/>
      </c>
      <c r="I683" s="30">
        <f>IF(COUNTIF(Synonymes!$A:$A,$A683)&gt;0,"ok","")</f>
        <v/>
      </c>
      <c r="J683" s="30">
        <f>COUNTIF(E683:H683,"à faire")</f>
        <v/>
      </c>
    </row>
    <row r="684">
      <c r="A684" s="30" t="inlineStr">
        <is>
          <t>v_chuchoter</t>
        </is>
      </c>
      <c r="B684" s="30">
        <f>IFERROR(INDEX(Mots!$B:$B,MATCH($A684,Mots!$A:$A,0)),"introuvable")</f>
        <v/>
      </c>
      <c r="C684" s="30">
        <f>IFERROR(INDEX(Mots!$S:$S,MATCH($A684,Mots!$A:$A,0)),"")</f>
        <v/>
      </c>
      <c r="D684" s="30">
        <f>IFERROR(COUNTA(INDEX(Mots!$J:$J,MATCH($A684,Mots!$A:$A,0)):INDEX(Mots!$P:$P,MATCH($A684,Mots!$A:$A,0))),0)</f>
        <v/>
      </c>
      <c r="E684" s="30">
        <f>IF(COUNTIF(Classement!$A:$A,$A684)&gt;0,"ok","à faire")</f>
        <v/>
      </c>
      <c r="F684" s="30">
        <f>IF(COUNTIF(Tags!$A:$A,$A684)&gt;0,"ok","à faire")</f>
        <v/>
      </c>
      <c r="G684" s="30">
        <f>IF(COUNTIF(Phrases!$A:$A,$A684)&gt;0,"ok","à faire")</f>
        <v/>
      </c>
      <c r="H684" s="30">
        <f>IF(COUNTIFS(Phrases!$A:$A,$A684,Phrases!$I:$I,"&lt;&gt;")&gt;0,"ok","à faire")</f>
        <v/>
      </c>
      <c r="I684" s="30">
        <f>IF(COUNTIF(Synonymes!$A:$A,$A684)&gt;0,"ok","")</f>
        <v/>
      </c>
      <c r="J684" s="30">
        <f>COUNTIF(E684:H684,"à faire")</f>
        <v/>
      </c>
    </row>
    <row r="685">
      <c r="A685" s="30" t="inlineStr">
        <is>
          <t>claudine_f</t>
        </is>
      </c>
      <c r="B685" s="30">
        <f>IFERROR(INDEX(Mots!$B:$B,MATCH($A685,Mots!$A:$A,0)),"introuvable")</f>
        <v/>
      </c>
      <c r="C685" s="30">
        <f>IFERROR(INDEX(Mots!$S:$S,MATCH($A685,Mots!$A:$A,0)),"")</f>
        <v/>
      </c>
      <c r="D685" s="30">
        <f>IFERROR(COUNTA(INDEX(Mots!$J:$J,MATCH($A685,Mots!$A:$A,0)):INDEX(Mots!$P:$P,MATCH($A685,Mots!$A:$A,0))),0)</f>
        <v/>
      </c>
      <c r="E685" s="30">
        <f>IF(COUNTIF(Classement!$A:$A,$A685)&gt;0,"ok","à faire")</f>
        <v/>
      </c>
      <c r="F685" s="30">
        <f>IF(COUNTIF(Tags!$A:$A,$A685)&gt;0,"ok","à faire")</f>
        <v/>
      </c>
      <c r="G685" s="30">
        <f>IF(COUNTIF(Phrases!$A:$A,$A685)&gt;0,"ok","à faire")</f>
        <v/>
      </c>
      <c r="H685" s="30">
        <f>IF(COUNTIFS(Phrases!$A:$A,$A685,Phrases!$I:$I,"&lt;&gt;")&gt;0,"ok","à faire")</f>
        <v/>
      </c>
      <c r="I685" s="30">
        <f>IF(COUNTIF(Synonymes!$A:$A,$A685)&gt;0,"ok","")</f>
        <v/>
      </c>
      <c r="J685" s="30">
        <f>COUNTIF(E685:H685,"à faire")</f>
        <v/>
      </c>
    </row>
    <row r="686">
      <c r="A686" s="30" t="inlineStr">
        <is>
          <t>collant</t>
        </is>
      </c>
      <c r="B686" s="30">
        <f>IFERROR(INDEX(Mots!$B:$B,MATCH($A686,Mots!$A:$A,0)),"introuvable")</f>
        <v/>
      </c>
      <c r="C686" s="30">
        <f>IFERROR(INDEX(Mots!$S:$S,MATCH($A686,Mots!$A:$A,0)),"")</f>
        <v/>
      </c>
      <c r="D686" s="30">
        <f>IFERROR(COUNTA(INDEX(Mots!$J:$J,MATCH($A686,Mots!$A:$A,0)):INDEX(Mots!$P:$P,MATCH($A686,Mots!$A:$A,0))),0)</f>
        <v/>
      </c>
      <c r="E686" s="30">
        <f>IF(COUNTIF(Classement!$A:$A,$A686)&gt;0,"ok","à faire")</f>
        <v/>
      </c>
      <c r="F686" s="30">
        <f>IF(COUNTIF(Tags!$A:$A,$A686)&gt;0,"ok","à faire")</f>
        <v/>
      </c>
      <c r="G686" s="30">
        <f>IF(COUNTIF(Phrases!$A:$A,$A686)&gt;0,"ok","à faire")</f>
        <v/>
      </c>
      <c r="H686" s="30">
        <f>IF(COUNTIFS(Phrases!$A:$A,$A686,Phrases!$I:$I,"&lt;&gt;")&gt;0,"ok","à faire")</f>
        <v/>
      </c>
      <c r="I686" s="30">
        <f>IF(COUNTIF(Synonymes!$A:$A,$A686)&gt;0,"ok","")</f>
        <v/>
      </c>
      <c r="J686" s="30">
        <f>COUNTIF(E686:H686,"à faire")</f>
        <v/>
      </c>
    </row>
    <row r="687">
      <c r="A687" s="30" t="inlineStr">
        <is>
          <t>coloree</t>
        </is>
      </c>
      <c r="B687" s="30">
        <f>IFERROR(INDEX(Mots!$B:$B,MATCH($A687,Mots!$A:$A,0)),"introuvable")</f>
        <v/>
      </c>
      <c r="C687" s="30">
        <f>IFERROR(INDEX(Mots!$S:$S,MATCH($A687,Mots!$A:$A,0)),"")</f>
        <v/>
      </c>
      <c r="D687" s="30">
        <f>IFERROR(COUNTA(INDEX(Mots!$J:$J,MATCH($A687,Mots!$A:$A,0)):INDEX(Mots!$P:$P,MATCH($A687,Mots!$A:$A,0))),0)</f>
        <v/>
      </c>
      <c r="E687" s="30">
        <f>IF(COUNTIF(Classement!$A:$A,$A687)&gt;0,"ok","à faire")</f>
        <v/>
      </c>
      <c r="F687" s="30">
        <f>IF(COUNTIF(Tags!$A:$A,$A687)&gt;0,"ok","à faire")</f>
        <v/>
      </c>
      <c r="G687" s="30">
        <f>IF(COUNTIF(Phrases!$A:$A,$A687)&gt;0,"ok","à faire")</f>
        <v/>
      </c>
      <c r="H687" s="30">
        <f>IF(COUNTIFS(Phrases!$A:$A,$A687,Phrases!$I:$I,"&lt;&gt;")&gt;0,"ok","à faire")</f>
        <v/>
      </c>
      <c r="I687" s="30">
        <f>IF(COUNTIF(Synonymes!$A:$A,$A687)&gt;0,"ok","")</f>
        <v/>
      </c>
      <c r="J687" s="30">
        <f>COUNTIF(E687:H687,"à faire")</f>
        <v/>
      </c>
    </row>
    <row r="688">
      <c r="A688" s="30" t="inlineStr">
        <is>
          <t>v_commencer</t>
        </is>
      </c>
      <c r="B688" s="30">
        <f>IFERROR(INDEX(Mots!$B:$B,MATCH($A688,Mots!$A:$A,0)),"introuvable")</f>
        <v/>
      </c>
      <c r="C688" s="30">
        <f>IFERROR(INDEX(Mots!$S:$S,MATCH($A688,Mots!$A:$A,0)),"")</f>
        <v/>
      </c>
      <c r="D688" s="30">
        <f>IFERROR(COUNTA(INDEX(Mots!$J:$J,MATCH($A688,Mots!$A:$A,0)):INDEX(Mots!$P:$P,MATCH($A688,Mots!$A:$A,0))),0)</f>
        <v/>
      </c>
      <c r="E688" s="30">
        <f>IF(COUNTIF(Classement!$A:$A,$A688)&gt;0,"ok","à faire")</f>
        <v/>
      </c>
      <c r="F688" s="30">
        <f>IF(COUNTIF(Tags!$A:$A,$A688)&gt;0,"ok","à faire")</f>
        <v/>
      </c>
      <c r="G688" s="30">
        <f>IF(COUNTIF(Phrases!$A:$A,$A688)&gt;0,"ok","à faire")</f>
        <v/>
      </c>
      <c r="H688" s="30">
        <f>IF(COUNTIFS(Phrases!$A:$A,$A688,Phrases!$I:$I,"&lt;&gt;")&gt;0,"ok","à faire")</f>
        <v/>
      </c>
      <c r="I688" s="30">
        <f>IF(COUNTIF(Synonymes!$A:$A,$A688)&gt;0,"ok","")</f>
        <v/>
      </c>
      <c r="J688" s="30">
        <f>COUNTIF(E688:H688,"à faire")</f>
        <v/>
      </c>
    </row>
    <row r="689">
      <c r="A689" s="30" t="inlineStr">
        <is>
          <t>v_comparer</t>
        </is>
      </c>
      <c r="B689" s="30">
        <f>IFERROR(INDEX(Mots!$B:$B,MATCH($A689,Mots!$A:$A,0)),"introuvable")</f>
        <v/>
      </c>
      <c r="C689" s="30">
        <f>IFERROR(INDEX(Mots!$S:$S,MATCH($A689,Mots!$A:$A,0)),"")</f>
        <v/>
      </c>
      <c r="D689" s="30">
        <f>IFERROR(COUNTA(INDEX(Mots!$J:$J,MATCH($A689,Mots!$A:$A,0)):INDEX(Mots!$P:$P,MATCH($A689,Mots!$A:$A,0))),0)</f>
        <v/>
      </c>
      <c r="E689" s="30">
        <f>IF(COUNTIF(Classement!$A:$A,$A689)&gt;0,"ok","à faire")</f>
        <v/>
      </c>
      <c r="F689" s="30">
        <f>IF(COUNTIF(Tags!$A:$A,$A689)&gt;0,"ok","à faire")</f>
        <v/>
      </c>
      <c r="G689" s="30">
        <f>IF(COUNTIF(Phrases!$A:$A,$A689)&gt;0,"ok","à faire")</f>
        <v/>
      </c>
      <c r="H689" s="30">
        <f>IF(COUNTIFS(Phrases!$A:$A,$A689,Phrases!$I:$I,"&lt;&gt;")&gt;0,"ok","à faire")</f>
        <v/>
      </c>
      <c r="I689" s="30">
        <f>IF(COUNTIF(Synonymes!$A:$A,$A689)&gt;0,"ok","")</f>
        <v/>
      </c>
      <c r="J689" s="30">
        <f>COUNTIF(E689:H689,"à faire")</f>
        <v/>
      </c>
    </row>
    <row r="690">
      <c r="A690" s="30" t="inlineStr">
        <is>
          <t>complet</t>
        </is>
      </c>
      <c r="B690" s="30">
        <f>IFERROR(INDEX(Mots!$B:$B,MATCH($A690,Mots!$A:$A,0)),"introuvable")</f>
        <v/>
      </c>
      <c r="C690" s="30">
        <f>IFERROR(INDEX(Mots!$S:$S,MATCH($A690,Mots!$A:$A,0)),"")</f>
        <v/>
      </c>
      <c r="D690" s="30">
        <f>IFERROR(COUNTA(INDEX(Mots!$J:$J,MATCH($A690,Mots!$A:$A,0)):INDEX(Mots!$P:$P,MATCH($A690,Mots!$A:$A,0))),0)</f>
        <v/>
      </c>
      <c r="E690" s="30">
        <f>IF(COUNTIF(Classement!$A:$A,$A690)&gt;0,"ok","à faire")</f>
        <v/>
      </c>
      <c r="F690" s="30">
        <f>IF(COUNTIF(Tags!$A:$A,$A690)&gt;0,"ok","à faire")</f>
        <v/>
      </c>
      <c r="G690" s="30">
        <f>IF(COUNTIF(Phrases!$A:$A,$A690)&gt;0,"ok","à faire")</f>
        <v/>
      </c>
      <c r="H690" s="30">
        <f>IF(COUNTIFS(Phrases!$A:$A,$A690,Phrases!$I:$I,"&lt;&gt;")&gt;0,"ok","à faire")</f>
        <v/>
      </c>
      <c r="I690" s="30">
        <f>IF(COUNTIF(Synonymes!$A:$A,$A690)&gt;0,"ok","")</f>
        <v/>
      </c>
      <c r="J690" s="30">
        <f>COUNTIF(E690:H690,"à faire")</f>
        <v/>
      </c>
    </row>
    <row r="691">
      <c r="A691" s="30" t="inlineStr">
        <is>
          <t>v_comprendre</t>
        </is>
      </c>
      <c r="B691" s="30">
        <f>IFERROR(INDEX(Mots!$B:$B,MATCH($A691,Mots!$A:$A,0)),"introuvable")</f>
        <v/>
      </c>
      <c r="C691" s="30">
        <f>IFERROR(INDEX(Mots!$S:$S,MATCH($A691,Mots!$A:$A,0)),"")</f>
        <v/>
      </c>
      <c r="D691" s="30">
        <f>IFERROR(COUNTA(INDEX(Mots!$J:$J,MATCH($A691,Mots!$A:$A,0)):INDEX(Mots!$P:$P,MATCH($A691,Mots!$A:$A,0))),0)</f>
        <v/>
      </c>
      <c r="E691" s="30">
        <f>IF(COUNTIF(Classement!$A:$A,$A691)&gt;0,"ok","à faire")</f>
        <v/>
      </c>
      <c r="F691" s="30">
        <f>IF(COUNTIF(Tags!$A:$A,$A691)&gt;0,"ok","à faire")</f>
        <v/>
      </c>
      <c r="G691" s="30">
        <f>IF(COUNTIF(Phrases!$A:$A,$A691)&gt;0,"ok","à faire")</f>
        <v/>
      </c>
      <c r="H691" s="30">
        <f>IF(COUNTIFS(Phrases!$A:$A,$A691,Phrases!$I:$I,"&lt;&gt;")&gt;0,"ok","à faire")</f>
        <v/>
      </c>
      <c r="I691" s="30">
        <f>IF(COUNTIF(Synonymes!$A:$A,$A691)&gt;0,"ok","")</f>
        <v/>
      </c>
      <c r="J691" s="30">
        <f>COUNTIF(E691:H691,"à faire")</f>
        <v/>
      </c>
    </row>
    <row r="692">
      <c r="A692" s="30" t="inlineStr">
        <is>
          <t>v_compter</t>
        </is>
      </c>
      <c r="B692" s="30">
        <f>IFERROR(INDEX(Mots!$B:$B,MATCH($A692,Mots!$A:$A,0)),"introuvable")</f>
        <v/>
      </c>
      <c r="C692" s="30">
        <f>IFERROR(INDEX(Mots!$S:$S,MATCH($A692,Mots!$A:$A,0)),"")</f>
        <v/>
      </c>
      <c r="D692" s="30">
        <f>IFERROR(COUNTA(INDEX(Mots!$J:$J,MATCH($A692,Mots!$A:$A,0)):INDEX(Mots!$P:$P,MATCH($A692,Mots!$A:$A,0))),0)</f>
        <v/>
      </c>
      <c r="E692" s="30">
        <f>IF(COUNTIF(Classement!$A:$A,$A692)&gt;0,"ok","à faire")</f>
        <v/>
      </c>
      <c r="F692" s="30">
        <f>IF(COUNTIF(Tags!$A:$A,$A692)&gt;0,"ok","à faire")</f>
        <v/>
      </c>
      <c r="G692" s="30">
        <f>IF(COUNTIF(Phrases!$A:$A,$A692)&gt;0,"ok","à faire")</f>
        <v/>
      </c>
      <c r="H692" s="30">
        <f>IF(COUNTIFS(Phrases!$A:$A,$A692,Phrases!$I:$I,"&lt;&gt;")&gt;0,"ok","à faire")</f>
        <v/>
      </c>
      <c r="I692" s="30">
        <f>IF(COUNTIF(Synonymes!$A:$A,$A692)&gt;0,"ok","")</f>
        <v/>
      </c>
      <c r="J692" s="30">
        <f>COUNTIF(E692:H692,"à faire")</f>
        <v/>
      </c>
    </row>
    <row r="693">
      <c r="A693" s="30" t="inlineStr">
        <is>
          <t>confortable</t>
        </is>
      </c>
      <c r="B693" s="30">
        <f>IFERROR(INDEX(Mots!$B:$B,MATCH($A693,Mots!$A:$A,0)),"introuvable")</f>
        <v/>
      </c>
      <c r="C693" s="30">
        <f>IFERROR(INDEX(Mots!$S:$S,MATCH($A693,Mots!$A:$A,0)),"")</f>
        <v/>
      </c>
      <c r="D693" s="30">
        <f>IFERROR(COUNTA(INDEX(Mots!$J:$J,MATCH($A693,Mots!$A:$A,0)):INDEX(Mots!$P:$P,MATCH($A693,Mots!$A:$A,0))),0)</f>
        <v/>
      </c>
      <c r="E693" s="30">
        <f>IF(COUNTIF(Classement!$A:$A,$A693)&gt;0,"ok","à faire")</f>
        <v/>
      </c>
      <c r="F693" s="30">
        <f>IF(COUNTIF(Tags!$A:$A,$A693)&gt;0,"ok","à faire")</f>
        <v/>
      </c>
      <c r="G693" s="30">
        <f>IF(COUNTIF(Phrases!$A:$A,$A693)&gt;0,"ok","à faire")</f>
        <v/>
      </c>
      <c r="H693" s="30">
        <f>IF(COUNTIFS(Phrases!$A:$A,$A693,Phrases!$I:$I,"&lt;&gt;")&gt;0,"ok","à faire")</f>
        <v/>
      </c>
      <c r="I693" s="30">
        <f>IF(COUNTIF(Synonymes!$A:$A,$A693)&gt;0,"ok","")</f>
        <v/>
      </c>
      <c r="J693" s="30">
        <f>COUNTIF(E693:H693,"à faire")</f>
        <v/>
      </c>
    </row>
    <row r="694">
      <c r="A694" s="30" t="inlineStr">
        <is>
          <t>v_connaitre</t>
        </is>
      </c>
      <c r="B694" s="30">
        <f>IFERROR(INDEX(Mots!$B:$B,MATCH($A694,Mots!$A:$A,0)),"introuvable")</f>
        <v/>
      </c>
      <c r="C694" s="30">
        <f>IFERROR(INDEX(Mots!$S:$S,MATCH($A694,Mots!$A:$A,0)),"")</f>
        <v/>
      </c>
      <c r="D694" s="30">
        <f>IFERROR(COUNTA(INDEX(Mots!$J:$J,MATCH($A694,Mots!$A:$A,0)):INDEX(Mots!$P:$P,MATCH($A694,Mots!$A:$A,0))),0)</f>
        <v/>
      </c>
      <c r="E694" s="30">
        <f>IF(COUNTIF(Classement!$A:$A,$A694)&gt;0,"ok","à faire")</f>
        <v/>
      </c>
      <c r="F694" s="30">
        <f>IF(COUNTIF(Tags!$A:$A,$A694)&gt;0,"ok","à faire")</f>
        <v/>
      </c>
      <c r="G694" s="30">
        <f>IF(COUNTIF(Phrases!$A:$A,$A694)&gt;0,"ok","à faire")</f>
        <v/>
      </c>
      <c r="H694" s="30">
        <f>IF(COUNTIFS(Phrases!$A:$A,$A694,Phrases!$I:$I,"&lt;&gt;")&gt;0,"ok","à faire")</f>
        <v/>
      </c>
      <c r="I694" s="30">
        <f>IF(COUNTIF(Synonymes!$A:$A,$A694)&gt;0,"ok","")</f>
        <v/>
      </c>
      <c r="J694" s="30">
        <f>COUNTIF(E694:H694,"à faire")</f>
        <v/>
      </c>
    </row>
    <row r="695">
      <c r="A695" s="30" t="inlineStr">
        <is>
          <t>v_conseiller</t>
        </is>
      </c>
      <c r="B695" s="30">
        <f>IFERROR(INDEX(Mots!$B:$B,MATCH($A695,Mots!$A:$A,0)),"introuvable")</f>
        <v/>
      </c>
      <c r="C695" s="30">
        <f>IFERROR(INDEX(Mots!$S:$S,MATCH($A695,Mots!$A:$A,0)),"")</f>
        <v/>
      </c>
      <c r="D695" s="30">
        <f>IFERROR(COUNTA(INDEX(Mots!$J:$J,MATCH($A695,Mots!$A:$A,0)):INDEX(Mots!$P:$P,MATCH($A695,Mots!$A:$A,0))),0)</f>
        <v/>
      </c>
      <c r="E695" s="30">
        <f>IF(COUNTIF(Classement!$A:$A,$A695)&gt;0,"ok","à faire")</f>
        <v/>
      </c>
      <c r="F695" s="30">
        <f>IF(COUNTIF(Tags!$A:$A,$A695)&gt;0,"ok","à faire")</f>
        <v/>
      </c>
      <c r="G695" s="30">
        <f>IF(COUNTIF(Phrases!$A:$A,$A695)&gt;0,"ok","à faire")</f>
        <v/>
      </c>
      <c r="H695" s="30">
        <f>IF(COUNTIFS(Phrases!$A:$A,$A695,Phrases!$I:$I,"&lt;&gt;")&gt;0,"ok","à faire")</f>
        <v/>
      </c>
      <c r="I695" s="30">
        <f>IF(COUNTIF(Synonymes!$A:$A,$A695)&gt;0,"ok","")</f>
        <v/>
      </c>
      <c r="J695" s="30">
        <f>COUNTIF(E695:H695,"à faire")</f>
        <v/>
      </c>
    </row>
    <row r="696">
      <c r="A696" s="30" t="inlineStr">
        <is>
          <t>contre</t>
        </is>
      </c>
      <c r="B696" s="30">
        <f>IFERROR(INDEX(Mots!$B:$B,MATCH($A696,Mots!$A:$A,0)),"introuvable")</f>
        <v/>
      </c>
      <c r="C696" s="30">
        <f>IFERROR(INDEX(Mots!$S:$S,MATCH($A696,Mots!$A:$A,0)),"")</f>
        <v/>
      </c>
      <c r="D696" s="30">
        <f>IFERROR(COUNTA(INDEX(Mots!$J:$J,MATCH($A696,Mots!$A:$A,0)):INDEX(Mots!$P:$P,MATCH($A696,Mots!$A:$A,0))),0)</f>
        <v/>
      </c>
      <c r="E696" s="30">
        <f>IF(COUNTIF(Classement!$A:$A,$A696)&gt;0,"ok","à faire")</f>
        <v/>
      </c>
      <c r="F696" s="30">
        <f>IF(COUNTIF(Tags!$A:$A,$A696)&gt;0,"ok","à faire")</f>
        <v/>
      </c>
      <c r="G696" s="30">
        <f>IF(COUNTIF(Phrases!$A:$A,$A696)&gt;0,"ok","à faire")</f>
        <v/>
      </c>
      <c r="H696" s="30">
        <f>IF(COUNTIFS(Phrases!$A:$A,$A696,Phrases!$I:$I,"&lt;&gt;")&gt;0,"ok","à faire")</f>
        <v/>
      </c>
      <c r="I696" s="30">
        <f>IF(COUNTIF(Synonymes!$A:$A,$A696)&gt;0,"ok","")</f>
        <v/>
      </c>
      <c r="J696" s="30">
        <f>COUNTIF(E696:H696,"à faire")</f>
        <v/>
      </c>
    </row>
    <row r="697">
      <c r="A697" s="30" t="inlineStr">
        <is>
          <t>correct</t>
        </is>
      </c>
      <c r="B697" s="30">
        <f>IFERROR(INDEX(Mots!$B:$B,MATCH($A697,Mots!$A:$A,0)),"introuvable")</f>
        <v/>
      </c>
      <c r="C697" s="30">
        <f>IFERROR(INDEX(Mots!$S:$S,MATCH($A697,Mots!$A:$A,0)),"")</f>
        <v/>
      </c>
      <c r="D697" s="30">
        <f>IFERROR(COUNTA(INDEX(Mots!$J:$J,MATCH($A697,Mots!$A:$A,0)):INDEX(Mots!$P:$P,MATCH($A697,Mots!$A:$A,0))),0)</f>
        <v/>
      </c>
      <c r="E697" s="30">
        <f>IF(COUNTIF(Classement!$A:$A,$A697)&gt;0,"ok","à faire")</f>
        <v/>
      </c>
      <c r="F697" s="30">
        <f>IF(COUNTIF(Tags!$A:$A,$A697)&gt;0,"ok","à faire")</f>
        <v/>
      </c>
      <c r="G697" s="30">
        <f>IF(COUNTIF(Phrases!$A:$A,$A697)&gt;0,"ok","à faire")</f>
        <v/>
      </c>
      <c r="H697" s="30">
        <f>IF(COUNTIFS(Phrases!$A:$A,$A697,Phrases!$I:$I,"&lt;&gt;")&gt;0,"ok","à faire")</f>
        <v/>
      </c>
      <c r="I697" s="30">
        <f>IF(COUNTIF(Synonymes!$A:$A,$A697)&gt;0,"ok","")</f>
        <v/>
      </c>
      <c r="J697" s="30">
        <f>COUNTIF(E697:H697,"à faire")</f>
        <v/>
      </c>
    </row>
    <row r="698">
      <c r="A698" s="30" t="inlineStr">
        <is>
          <t>coupant</t>
        </is>
      </c>
      <c r="B698" s="30">
        <f>IFERROR(INDEX(Mots!$B:$B,MATCH($A698,Mots!$A:$A,0)),"introuvable")</f>
        <v/>
      </c>
      <c r="C698" s="30">
        <f>IFERROR(INDEX(Mots!$S:$S,MATCH($A698,Mots!$A:$A,0)),"")</f>
        <v/>
      </c>
      <c r="D698" s="30">
        <f>IFERROR(COUNTA(INDEX(Mots!$J:$J,MATCH($A698,Mots!$A:$A,0)):INDEX(Mots!$P:$P,MATCH($A698,Mots!$A:$A,0))),0)</f>
        <v/>
      </c>
      <c r="E698" s="30">
        <f>IF(COUNTIF(Classement!$A:$A,$A698)&gt;0,"ok","à faire")</f>
        <v/>
      </c>
      <c r="F698" s="30">
        <f>IF(COUNTIF(Tags!$A:$A,$A698)&gt;0,"ok","à faire")</f>
        <v/>
      </c>
      <c r="G698" s="30">
        <f>IF(COUNTIF(Phrases!$A:$A,$A698)&gt;0,"ok","à faire")</f>
        <v/>
      </c>
      <c r="H698" s="30">
        <f>IF(COUNTIFS(Phrases!$A:$A,$A698,Phrases!$I:$I,"&lt;&gt;")&gt;0,"ok","à faire")</f>
        <v/>
      </c>
      <c r="I698" s="30">
        <f>IF(COUNTIF(Synonymes!$A:$A,$A698)&gt;0,"ok","")</f>
        <v/>
      </c>
      <c r="J698" s="30">
        <f>COUNTIF(E698:H698,"à faire")</f>
        <v/>
      </c>
    </row>
    <row r="699">
      <c r="A699" s="30" t="inlineStr">
        <is>
          <t>v_couper</t>
        </is>
      </c>
      <c r="B699" s="30">
        <f>IFERROR(INDEX(Mots!$B:$B,MATCH($A699,Mots!$A:$A,0)),"introuvable")</f>
        <v/>
      </c>
      <c r="C699" s="30">
        <f>IFERROR(INDEX(Mots!$S:$S,MATCH($A699,Mots!$A:$A,0)),"")</f>
        <v/>
      </c>
      <c r="D699" s="30">
        <f>IFERROR(COUNTA(INDEX(Mots!$J:$J,MATCH($A699,Mots!$A:$A,0)):INDEX(Mots!$P:$P,MATCH($A699,Mots!$A:$A,0))),0)</f>
        <v/>
      </c>
      <c r="E699" s="30">
        <f>IF(COUNTIF(Classement!$A:$A,$A699)&gt;0,"ok","à faire")</f>
        <v/>
      </c>
      <c r="F699" s="30">
        <f>IF(COUNTIF(Tags!$A:$A,$A699)&gt;0,"ok","à faire")</f>
        <v/>
      </c>
      <c r="G699" s="30">
        <f>IF(COUNTIF(Phrases!$A:$A,$A699)&gt;0,"ok","à faire")</f>
        <v/>
      </c>
      <c r="H699" s="30">
        <f>IF(COUNTIFS(Phrases!$A:$A,$A699,Phrases!$I:$I,"&lt;&gt;")&gt;0,"ok","à faire")</f>
        <v/>
      </c>
      <c r="I699" s="30">
        <f>IF(COUNTIF(Synonymes!$A:$A,$A699)&gt;0,"ok","")</f>
        <v/>
      </c>
      <c r="J699" s="30">
        <f>COUNTIF(E699:H699,"à faire")</f>
        <v/>
      </c>
    </row>
    <row r="700">
      <c r="A700" s="30" t="inlineStr">
        <is>
          <t>v_courir</t>
        </is>
      </c>
      <c r="B700" s="30">
        <f>IFERROR(INDEX(Mots!$B:$B,MATCH($A700,Mots!$A:$A,0)),"introuvable")</f>
        <v/>
      </c>
      <c r="C700" s="30">
        <f>IFERROR(INDEX(Mots!$S:$S,MATCH($A700,Mots!$A:$A,0)),"")</f>
        <v/>
      </c>
      <c r="D700" s="30">
        <f>IFERROR(COUNTA(INDEX(Mots!$J:$J,MATCH($A700,Mots!$A:$A,0)):INDEX(Mots!$P:$P,MATCH($A700,Mots!$A:$A,0))),0)</f>
        <v/>
      </c>
      <c r="E700" s="30">
        <f>IF(COUNTIF(Classement!$A:$A,$A700)&gt;0,"ok","à faire")</f>
        <v/>
      </c>
      <c r="F700" s="30">
        <f>IF(COUNTIF(Tags!$A:$A,$A700)&gt;0,"ok","à faire")</f>
        <v/>
      </c>
      <c r="G700" s="30">
        <f>IF(COUNTIF(Phrases!$A:$A,$A700)&gt;0,"ok","à faire")</f>
        <v/>
      </c>
      <c r="H700" s="30">
        <f>IF(COUNTIFS(Phrases!$A:$A,$A700,Phrases!$I:$I,"&lt;&gt;")&gt;0,"ok","à faire")</f>
        <v/>
      </c>
      <c r="I700" s="30">
        <f>IF(COUNTIF(Synonymes!$A:$A,$A700)&gt;0,"ok","")</f>
        <v/>
      </c>
      <c r="J700" s="30">
        <f>COUNTIF(E700:H700,"à faire")</f>
        <v/>
      </c>
    </row>
    <row r="701">
      <c r="A701" s="30" t="inlineStr">
        <is>
          <t>creux</t>
        </is>
      </c>
      <c r="B701" s="30">
        <f>IFERROR(INDEX(Mots!$B:$B,MATCH($A701,Mots!$A:$A,0)),"introuvable")</f>
        <v/>
      </c>
      <c r="C701" s="30">
        <f>IFERROR(INDEX(Mots!$S:$S,MATCH($A701,Mots!$A:$A,0)),"")</f>
        <v/>
      </c>
      <c r="D701" s="30">
        <f>IFERROR(COUNTA(INDEX(Mots!$J:$J,MATCH($A701,Mots!$A:$A,0)):INDEX(Mots!$P:$P,MATCH($A701,Mots!$A:$A,0))),0)</f>
        <v/>
      </c>
      <c r="E701" s="30">
        <f>IF(COUNTIF(Classement!$A:$A,$A701)&gt;0,"ok","à faire")</f>
        <v/>
      </c>
      <c r="F701" s="30">
        <f>IF(COUNTIF(Tags!$A:$A,$A701)&gt;0,"ok","à faire")</f>
        <v/>
      </c>
      <c r="G701" s="30">
        <f>IF(COUNTIF(Phrases!$A:$A,$A701)&gt;0,"ok","à faire")</f>
        <v/>
      </c>
      <c r="H701" s="30">
        <f>IF(COUNTIFS(Phrases!$A:$A,$A701,Phrases!$I:$I,"&lt;&gt;")&gt;0,"ok","à faire")</f>
        <v/>
      </c>
      <c r="I701" s="30">
        <f>IF(COUNTIF(Synonymes!$A:$A,$A701)&gt;0,"ok","")</f>
        <v/>
      </c>
      <c r="J701" s="30">
        <f>COUNTIF(E701:H701,"à faire")</f>
        <v/>
      </c>
    </row>
    <row r="702">
      <c r="A702" s="30" t="inlineStr">
        <is>
          <t>v_crier</t>
        </is>
      </c>
      <c r="B702" s="30">
        <f>IFERROR(INDEX(Mots!$B:$B,MATCH($A702,Mots!$A:$A,0)),"introuvable")</f>
        <v/>
      </c>
      <c r="C702" s="30">
        <f>IFERROR(INDEX(Mots!$S:$S,MATCH($A702,Mots!$A:$A,0)),"")</f>
        <v/>
      </c>
      <c r="D702" s="30">
        <f>IFERROR(COUNTA(INDEX(Mots!$J:$J,MATCH($A702,Mots!$A:$A,0)):INDEX(Mots!$P:$P,MATCH($A702,Mots!$A:$A,0))),0)</f>
        <v/>
      </c>
      <c r="E702" s="30">
        <f>IF(COUNTIF(Classement!$A:$A,$A702)&gt;0,"ok","à faire")</f>
        <v/>
      </c>
      <c r="F702" s="30">
        <f>IF(COUNTIF(Tags!$A:$A,$A702)&gt;0,"ok","à faire")</f>
        <v/>
      </c>
      <c r="G702" s="30">
        <f>IF(COUNTIF(Phrases!$A:$A,$A702)&gt;0,"ok","à faire")</f>
        <v/>
      </c>
      <c r="H702" s="30">
        <f>IF(COUNTIFS(Phrases!$A:$A,$A702,Phrases!$I:$I,"&lt;&gt;")&gt;0,"ok","à faire")</f>
        <v/>
      </c>
      <c r="I702" s="30">
        <f>IF(COUNTIF(Synonymes!$A:$A,$A702)&gt;0,"ok","")</f>
        <v/>
      </c>
      <c r="J702" s="30">
        <f>COUNTIF(E702:H702,"à faire")</f>
        <v/>
      </c>
    </row>
    <row r="703">
      <c r="A703" s="30" t="inlineStr">
        <is>
          <t>v_croire</t>
        </is>
      </c>
      <c r="B703" s="30">
        <f>IFERROR(INDEX(Mots!$B:$B,MATCH($A703,Mots!$A:$A,0)),"introuvable")</f>
        <v/>
      </c>
      <c r="C703" s="30">
        <f>IFERROR(INDEX(Mots!$S:$S,MATCH($A703,Mots!$A:$A,0)),"")</f>
        <v/>
      </c>
      <c r="D703" s="30">
        <f>IFERROR(COUNTA(INDEX(Mots!$J:$J,MATCH($A703,Mots!$A:$A,0)):INDEX(Mots!$P:$P,MATCH($A703,Mots!$A:$A,0))),0)</f>
        <v/>
      </c>
      <c r="E703" s="30">
        <f>IF(COUNTIF(Classement!$A:$A,$A703)&gt;0,"ok","à faire")</f>
        <v/>
      </c>
      <c r="F703" s="30">
        <f>IF(COUNTIF(Tags!$A:$A,$A703)&gt;0,"ok","à faire")</f>
        <v/>
      </c>
      <c r="G703" s="30">
        <f>IF(COUNTIF(Phrases!$A:$A,$A703)&gt;0,"ok","à faire")</f>
        <v/>
      </c>
      <c r="H703" s="30">
        <f>IF(COUNTIFS(Phrases!$A:$A,$A703,Phrases!$I:$I,"&lt;&gt;")&gt;0,"ok","à faire")</f>
        <v/>
      </c>
      <c r="I703" s="30">
        <f>IF(COUNTIF(Synonymes!$A:$A,$A703)&gt;0,"ok","")</f>
        <v/>
      </c>
      <c r="J703" s="30">
        <f>COUNTIF(E703:H703,"à faire")</f>
        <v/>
      </c>
    </row>
    <row r="704">
      <c r="A704" s="30" t="inlineStr">
        <is>
          <t>v_cuire</t>
        </is>
      </c>
      <c r="B704" s="30">
        <f>IFERROR(INDEX(Mots!$B:$B,MATCH($A704,Mots!$A:$A,0)),"introuvable")</f>
        <v/>
      </c>
      <c r="C704" s="30">
        <f>IFERROR(INDEX(Mots!$S:$S,MATCH($A704,Mots!$A:$A,0)),"")</f>
        <v/>
      </c>
      <c r="D704" s="30">
        <f>IFERROR(COUNTA(INDEX(Mots!$J:$J,MATCH($A704,Mots!$A:$A,0)):INDEX(Mots!$P:$P,MATCH($A704,Mots!$A:$A,0))),0)</f>
        <v/>
      </c>
      <c r="E704" s="30">
        <f>IF(COUNTIF(Classement!$A:$A,$A704)&gt;0,"ok","à faire")</f>
        <v/>
      </c>
      <c r="F704" s="30">
        <f>IF(COUNTIF(Tags!$A:$A,$A704)&gt;0,"ok","à faire")</f>
        <v/>
      </c>
      <c r="G704" s="30">
        <f>IF(COUNTIF(Phrases!$A:$A,$A704)&gt;0,"ok","à faire")</f>
        <v/>
      </c>
      <c r="H704" s="30">
        <f>IF(COUNTIFS(Phrases!$A:$A,$A704,Phrases!$I:$I,"&lt;&gt;")&gt;0,"ok","à faire")</f>
        <v/>
      </c>
      <c r="I704" s="30">
        <f>IF(COUNTIF(Synonymes!$A:$A,$A704)&gt;0,"ok","")</f>
        <v/>
      </c>
      <c r="J704" s="30">
        <f>COUNTIF(E704:H704,"à faire")</f>
        <v/>
      </c>
    </row>
    <row r="705">
      <c r="A705" s="30" t="inlineStr">
        <is>
          <t>d_abord</t>
        </is>
      </c>
      <c r="B705" s="30">
        <f>IFERROR(INDEX(Mots!$B:$B,MATCH($A705,Mots!$A:$A,0)),"introuvable")</f>
        <v/>
      </c>
      <c r="C705" s="30">
        <f>IFERROR(INDEX(Mots!$S:$S,MATCH($A705,Mots!$A:$A,0)),"")</f>
        <v/>
      </c>
      <c r="D705" s="30">
        <f>IFERROR(COUNTA(INDEX(Mots!$J:$J,MATCH($A705,Mots!$A:$A,0)):INDEX(Mots!$P:$P,MATCH($A705,Mots!$A:$A,0))),0)</f>
        <v/>
      </c>
      <c r="E705" s="30">
        <f>IF(COUNTIF(Classement!$A:$A,$A705)&gt;0,"ok","à faire")</f>
        <v/>
      </c>
      <c r="F705" s="30">
        <f>IF(COUNTIF(Tags!$A:$A,$A705)&gt;0,"ok","à faire")</f>
        <v/>
      </c>
      <c r="G705" s="30">
        <f>IF(COUNTIF(Phrases!$A:$A,$A705)&gt;0,"ok","à faire")</f>
        <v/>
      </c>
      <c r="H705" s="30">
        <f>IF(COUNTIFS(Phrases!$A:$A,$A705,Phrases!$I:$I,"&lt;&gt;")&gt;0,"ok","à faire")</f>
        <v/>
      </c>
      <c r="I705" s="30">
        <f>IF(COUNTIF(Synonymes!$A:$A,$A705)&gt;0,"ok","")</f>
        <v/>
      </c>
      <c r="J705" s="30">
        <f>COUNTIF(E705:H705,"à faire")</f>
        <v/>
      </c>
    </row>
    <row r="706">
      <c r="A706" s="30" t="inlineStr">
        <is>
          <t>damien_lagger</t>
        </is>
      </c>
      <c r="B706" s="30">
        <f>IFERROR(INDEX(Mots!$B:$B,MATCH($A706,Mots!$A:$A,0)),"introuvable")</f>
        <v/>
      </c>
      <c r="C706" s="30">
        <f>IFERROR(INDEX(Mots!$S:$S,MATCH($A706,Mots!$A:$A,0)),"")</f>
        <v/>
      </c>
      <c r="D706" s="30">
        <f>IFERROR(COUNTA(INDEX(Mots!$J:$J,MATCH($A706,Mots!$A:$A,0)):INDEX(Mots!$P:$P,MATCH($A706,Mots!$A:$A,0))),0)</f>
        <v/>
      </c>
      <c r="E706" s="30">
        <f>IF(COUNTIF(Classement!$A:$A,$A706)&gt;0,"ok","à faire")</f>
        <v/>
      </c>
      <c r="F706" s="30">
        <f>IF(COUNTIF(Tags!$A:$A,$A706)&gt;0,"ok","à faire")</f>
        <v/>
      </c>
      <c r="G706" s="30">
        <f>IF(COUNTIF(Phrases!$A:$A,$A706)&gt;0,"ok","à faire")</f>
        <v/>
      </c>
      <c r="H706" s="30">
        <f>IF(COUNTIFS(Phrases!$A:$A,$A706,Phrases!$I:$I,"&lt;&gt;")&gt;0,"ok","à faire")</f>
        <v/>
      </c>
      <c r="I706" s="30">
        <f>IF(COUNTIF(Synonymes!$A:$A,$A706)&gt;0,"ok","")</f>
        <v/>
      </c>
      <c r="J706" s="30">
        <f>COUNTIF(E706:H706,"à faire")</f>
        <v/>
      </c>
    </row>
    <row r="707">
      <c r="A707" s="30" t="inlineStr">
        <is>
          <t>dangereux</t>
        </is>
      </c>
      <c r="B707" s="30">
        <f>IFERROR(INDEX(Mots!$B:$B,MATCH($A707,Mots!$A:$A,0)),"introuvable")</f>
        <v/>
      </c>
      <c r="C707" s="30">
        <f>IFERROR(INDEX(Mots!$S:$S,MATCH($A707,Mots!$A:$A,0)),"")</f>
        <v/>
      </c>
      <c r="D707" s="30">
        <f>IFERROR(COUNTA(INDEX(Mots!$J:$J,MATCH($A707,Mots!$A:$A,0)):INDEX(Mots!$P:$P,MATCH($A707,Mots!$A:$A,0))),0)</f>
        <v/>
      </c>
      <c r="E707" s="30">
        <f>IF(COUNTIF(Classement!$A:$A,$A707)&gt;0,"ok","à faire")</f>
        <v/>
      </c>
      <c r="F707" s="30">
        <f>IF(COUNTIF(Tags!$A:$A,$A707)&gt;0,"ok","à faire")</f>
        <v/>
      </c>
      <c r="G707" s="30">
        <f>IF(COUNTIF(Phrases!$A:$A,$A707)&gt;0,"ok","à faire")</f>
        <v/>
      </c>
      <c r="H707" s="30">
        <f>IF(COUNTIFS(Phrases!$A:$A,$A707,Phrases!$I:$I,"&lt;&gt;")&gt;0,"ok","à faire")</f>
        <v/>
      </c>
      <c r="I707" s="30">
        <f>IF(COUNTIF(Synonymes!$A:$A,$A707)&gt;0,"ok","")</f>
        <v/>
      </c>
      <c r="J707" s="30">
        <f>COUNTIF(E707:H707,"à faire")</f>
        <v/>
      </c>
    </row>
    <row r="708">
      <c r="A708" s="30" t="inlineStr">
        <is>
          <t>v_danser</t>
        </is>
      </c>
      <c r="B708" s="30">
        <f>IFERROR(INDEX(Mots!$B:$B,MATCH($A708,Mots!$A:$A,0)),"introuvable")</f>
        <v/>
      </c>
      <c r="C708" s="30">
        <f>IFERROR(INDEX(Mots!$S:$S,MATCH($A708,Mots!$A:$A,0)),"")</f>
        <v/>
      </c>
      <c r="D708" s="30">
        <f>IFERROR(COUNTA(INDEX(Mots!$J:$J,MATCH($A708,Mots!$A:$A,0)):INDEX(Mots!$P:$P,MATCH($A708,Mots!$A:$A,0))),0)</f>
        <v/>
      </c>
      <c r="E708" s="30">
        <f>IF(COUNTIF(Classement!$A:$A,$A708)&gt;0,"ok","à faire")</f>
        <v/>
      </c>
      <c r="F708" s="30">
        <f>IF(COUNTIF(Tags!$A:$A,$A708)&gt;0,"ok","à faire")</f>
        <v/>
      </c>
      <c r="G708" s="30">
        <f>IF(COUNTIF(Phrases!$A:$A,$A708)&gt;0,"ok","à faire")</f>
        <v/>
      </c>
      <c r="H708" s="30">
        <f>IF(COUNTIFS(Phrases!$A:$A,$A708,Phrases!$I:$I,"&lt;&gt;")&gt;0,"ok","à faire")</f>
        <v/>
      </c>
      <c r="I708" s="30">
        <f>IF(COUNTIF(Synonymes!$A:$A,$A708)&gt;0,"ok","")</f>
        <v/>
      </c>
      <c r="J708" s="30">
        <f>COUNTIF(E708:H708,"à faire")</f>
        <v/>
      </c>
    </row>
    <row r="709">
      <c r="A709" s="30" t="inlineStr">
        <is>
          <t>v_decider</t>
        </is>
      </c>
      <c r="B709" s="30">
        <f>IFERROR(INDEX(Mots!$B:$B,MATCH($A709,Mots!$A:$A,0)),"introuvable")</f>
        <v/>
      </c>
      <c r="C709" s="30">
        <f>IFERROR(INDEX(Mots!$S:$S,MATCH($A709,Mots!$A:$A,0)),"")</f>
        <v/>
      </c>
      <c r="D709" s="30">
        <f>IFERROR(COUNTA(INDEX(Mots!$J:$J,MATCH($A709,Mots!$A:$A,0)):INDEX(Mots!$P:$P,MATCH($A709,Mots!$A:$A,0))),0)</f>
        <v/>
      </c>
      <c r="E709" s="30">
        <f>IF(COUNTIF(Classement!$A:$A,$A709)&gt;0,"ok","à faire")</f>
        <v/>
      </c>
      <c r="F709" s="30">
        <f>IF(COUNTIF(Tags!$A:$A,$A709)&gt;0,"ok","à faire")</f>
        <v/>
      </c>
      <c r="G709" s="30">
        <f>IF(COUNTIF(Phrases!$A:$A,$A709)&gt;0,"ok","à faire")</f>
        <v/>
      </c>
      <c r="H709" s="30">
        <f>IF(COUNTIFS(Phrases!$A:$A,$A709,Phrases!$I:$I,"&lt;&gt;")&gt;0,"ok","à faire")</f>
        <v/>
      </c>
      <c r="I709" s="30">
        <f>IF(COUNTIF(Synonymes!$A:$A,$A709)&gt;0,"ok","")</f>
        <v/>
      </c>
      <c r="J709" s="30">
        <f>COUNTIF(E709:H709,"à faire")</f>
        <v/>
      </c>
    </row>
    <row r="710">
      <c r="A710" s="30" t="inlineStr">
        <is>
          <t>dedans</t>
        </is>
      </c>
      <c r="B710" s="30">
        <f>IFERROR(INDEX(Mots!$B:$B,MATCH($A710,Mots!$A:$A,0)),"introuvable")</f>
        <v/>
      </c>
      <c r="C710" s="30">
        <f>IFERROR(INDEX(Mots!$S:$S,MATCH($A710,Mots!$A:$A,0)),"")</f>
        <v/>
      </c>
      <c r="D710" s="30">
        <f>IFERROR(COUNTA(INDEX(Mots!$J:$J,MATCH($A710,Mots!$A:$A,0)):INDEX(Mots!$P:$P,MATCH($A710,Mots!$A:$A,0))),0)</f>
        <v/>
      </c>
      <c r="E710" s="30">
        <f>IF(COUNTIF(Classement!$A:$A,$A710)&gt;0,"ok","à faire")</f>
        <v/>
      </c>
      <c r="F710" s="30">
        <f>IF(COUNTIF(Tags!$A:$A,$A710)&gt;0,"ok","à faire")</f>
        <v/>
      </c>
      <c r="G710" s="30">
        <f>IF(COUNTIF(Phrases!$A:$A,$A710)&gt;0,"ok","à faire")</f>
        <v/>
      </c>
      <c r="H710" s="30">
        <f>IF(COUNTIFS(Phrases!$A:$A,$A710,Phrases!$I:$I,"&lt;&gt;")&gt;0,"ok","à faire")</f>
        <v/>
      </c>
      <c r="I710" s="30">
        <f>IF(COUNTIF(Synonymes!$A:$A,$A710)&gt;0,"ok","")</f>
        <v/>
      </c>
      <c r="J710" s="30">
        <f>COUNTIF(E710:H710,"à faire")</f>
        <v/>
      </c>
    </row>
    <row r="711">
      <c r="A711" s="30" t="inlineStr">
        <is>
          <t>dehors</t>
        </is>
      </c>
      <c r="B711" s="30">
        <f>IFERROR(INDEX(Mots!$B:$B,MATCH($A711,Mots!$A:$A,0)),"introuvable")</f>
        <v/>
      </c>
      <c r="C711" s="30">
        <f>IFERROR(INDEX(Mots!$S:$S,MATCH($A711,Mots!$A:$A,0)),"")</f>
        <v/>
      </c>
      <c r="D711" s="30">
        <f>IFERROR(COUNTA(INDEX(Mots!$J:$J,MATCH($A711,Mots!$A:$A,0)):INDEX(Mots!$P:$P,MATCH($A711,Mots!$A:$A,0))),0)</f>
        <v/>
      </c>
      <c r="E711" s="30">
        <f>IF(COUNTIF(Classement!$A:$A,$A711)&gt;0,"ok","à faire")</f>
        <v/>
      </c>
      <c r="F711" s="30">
        <f>IF(COUNTIF(Tags!$A:$A,$A711)&gt;0,"ok","à faire")</f>
        <v/>
      </c>
      <c r="G711" s="30">
        <f>IF(COUNTIF(Phrases!$A:$A,$A711)&gt;0,"ok","à faire")</f>
        <v/>
      </c>
      <c r="H711" s="30">
        <f>IF(COUNTIFS(Phrases!$A:$A,$A711,Phrases!$I:$I,"&lt;&gt;")&gt;0,"ok","à faire")</f>
        <v/>
      </c>
      <c r="I711" s="30">
        <f>IF(COUNTIF(Synonymes!$A:$A,$A711)&gt;0,"ok","")</f>
        <v/>
      </c>
      <c r="J711" s="30">
        <f>COUNTIF(E711:H711,"à faire")</f>
        <v/>
      </c>
    </row>
    <row r="712">
      <c r="A712" s="30" t="inlineStr">
        <is>
          <t>deja</t>
        </is>
      </c>
      <c r="B712" s="30">
        <f>IFERROR(INDEX(Mots!$B:$B,MATCH($A712,Mots!$A:$A,0)),"introuvable")</f>
        <v/>
      </c>
      <c r="C712" s="30">
        <f>IFERROR(INDEX(Mots!$S:$S,MATCH($A712,Mots!$A:$A,0)),"")</f>
        <v/>
      </c>
      <c r="D712" s="30">
        <f>IFERROR(COUNTA(INDEX(Mots!$J:$J,MATCH($A712,Mots!$A:$A,0)):INDEX(Mots!$P:$P,MATCH($A712,Mots!$A:$A,0))),0)</f>
        <v/>
      </c>
      <c r="E712" s="30">
        <f>IF(COUNTIF(Classement!$A:$A,$A712)&gt;0,"ok","à faire")</f>
        <v/>
      </c>
      <c r="F712" s="30">
        <f>IF(COUNTIF(Tags!$A:$A,$A712)&gt;0,"ok","à faire")</f>
        <v/>
      </c>
      <c r="G712" s="30">
        <f>IF(COUNTIF(Phrases!$A:$A,$A712)&gt;0,"ok","à faire")</f>
        <v/>
      </c>
      <c r="H712" s="30">
        <f>IF(COUNTIFS(Phrases!$A:$A,$A712,Phrases!$I:$I,"&lt;&gt;")&gt;0,"ok","à faire")</f>
        <v/>
      </c>
      <c r="I712" s="30">
        <f>IF(COUNTIF(Synonymes!$A:$A,$A712)&gt;0,"ok","")</f>
        <v/>
      </c>
      <c r="J712" s="30">
        <f>COUNTIF(E712:H712,"à faire")</f>
        <v/>
      </c>
    </row>
    <row r="713">
      <c r="A713" s="30" t="inlineStr">
        <is>
          <t>v_demander</t>
        </is>
      </c>
      <c r="B713" s="30">
        <f>IFERROR(INDEX(Mots!$B:$B,MATCH($A713,Mots!$A:$A,0)),"introuvable")</f>
        <v/>
      </c>
      <c r="C713" s="30">
        <f>IFERROR(INDEX(Mots!$S:$S,MATCH($A713,Mots!$A:$A,0)),"")</f>
        <v/>
      </c>
      <c r="D713" s="30">
        <f>IFERROR(COUNTA(INDEX(Mots!$J:$J,MATCH($A713,Mots!$A:$A,0)):INDEX(Mots!$P:$P,MATCH($A713,Mots!$A:$A,0))),0)</f>
        <v/>
      </c>
      <c r="E713" s="30">
        <f>IF(COUNTIF(Classement!$A:$A,$A713)&gt;0,"ok","à faire")</f>
        <v/>
      </c>
      <c r="F713" s="30">
        <f>IF(COUNTIF(Tags!$A:$A,$A713)&gt;0,"ok","à faire")</f>
        <v/>
      </c>
      <c r="G713" s="30">
        <f>IF(COUNTIF(Phrases!$A:$A,$A713)&gt;0,"ok","à faire")</f>
        <v/>
      </c>
      <c r="H713" s="30">
        <f>IF(COUNTIFS(Phrases!$A:$A,$A713,Phrases!$I:$I,"&lt;&gt;")&gt;0,"ok","à faire")</f>
        <v/>
      </c>
      <c r="I713" s="30">
        <f>IF(COUNTIF(Synonymes!$A:$A,$A713)&gt;0,"ok","")</f>
        <v/>
      </c>
      <c r="J713" s="30">
        <f>COUNTIF(E713:H713,"à faire")</f>
        <v/>
      </c>
    </row>
    <row r="714">
      <c r="A714" s="30" t="inlineStr">
        <is>
          <t>v_descendre</t>
        </is>
      </c>
      <c r="B714" s="30">
        <f>IFERROR(INDEX(Mots!$B:$B,MATCH($A714,Mots!$A:$A,0)),"introuvable")</f>
        <v/>
      </c>
      <c r="C714" s="30">
        <f>IFERROR(INDEX(Mots!$S:$S,MATCH($A714,Mots!$A:$A,0)),"")</f>
        <v/>
      </c>
      <c r="D714" s="30">
        <f>IFERROR(COUNTA(INDEX(Mots!$J:$J,MATCH($A714,Mots!$A:$A,0)):INDEX(Mots!$P:$P,MATCH($A714,Mots!$A:$A,0))),0)</f>
        <v/>
      </c>
      <c r="E714" s="30">
        <f>IF(COUNTIF(Classement!$A:$A,$A714)&gt;0,"ok","à faire")</f>
        <v/>
      </c>
      <c r="F714" s="30">
        <f>IF(COUNTIF(Tags!$A:$A,$A714)&gt;0,"ok","à faire")</f>
        <v/>
      </c>
      <c r="G714" s="30">
        <f>IF(COUNTIF(Phrases!$A:$A,$A714)&gt;0,"ok","à faire")</f>
        <v/>
      </c>
      <c r="H714" s="30">
        <f>IF(COUNTIFS(Phrases!$A:$A,$A714,Phrases!$I:$I,"&lt;&gt;")&gt;0,"ok","à faire")</f>
        <v/>
      </c>
      <c r="I714" s="30">
        <f>IF(COUNTIF(Synonymes!$A:$A,$A714)&gt;0,"ok","")</f>
        <v/>
      </c>
      <c r="J714" s="30">
        <f>COUNTIF(E714:H714,"à faire")</f>
        <v/>
      </c>
    </row>
    <row r="715">
      <c r="A715" s="30" t="inlineStr">
        <is>
          <t>v_deviner</t>
        </is>
      </c>
      <c r="B715" s="30">
        <f>IFERROR(INDEX(Mots!$B:$B,MATCH($A715,Mots!$A:$A,0)),"introuvable")</f>
        <v/>
      </c>
      <c r="C715" s="30">
        <f>IFERROR(INDEX(Mots!$S:$S,MATCH($A715,Mots!$A:$A,0)),"")</f>
        <v/>
      </c>
      <c r="D715" s="30">
        <f>IFERROR(COUNTA(INDEX(Mots!$J:$J,MATCH($A715,Mots!$A:$A,0)):INDEX(Mots!$P:$P,MATCH($A715,Mots!$A:$A,0))),0)</f>
        <v/>
      </c>
      <c r="E715" s="30">
        <f>IF(COUNTIF(Classement!$A:$A,$A715)&gt;0,"ok","à faire")</f>
        <v/>
      </c>
      <c r="F715" s="30">
        <f>IF(COUNTIF(Tags!$A:$A,$A715)&gt;0,"ok","à faire")</f>
        <v/>
      </c>
      <c r="G715" s="30">
        <f>IF(COUNTIF(Phrases!$A:$A,$A715)&gt;0,"ok","à faire")</f>
        <v/>
      </c>
      <c r="H715" s="30">
        <f>IF(COUNTIFS(Phrases!$A:$A,$A715,Phrases!$I:$I,"&lt;&gt;")&gt;0,"ok","à faire")</f>
        <v/>
      </c>
      <c r="I715" s="30">
        <f>IF(COUNTIF(Synonymes!$A:$A,$A715)&gt;0,"ok","")</f>
        <v/>
      </c>
      <c r="J715" s="30">
        <f>COUNTIF(E715:H715,"à faire")</f>
        <v/>
      </c>
    </row>
    <row r="716">
      <c r="A716" s="30" t="inlineStr">
        <is>
          <t>différent</t>
        </is>
      </c>
      <c r="B716" s="30">
        <f>IFERROR(INDEX(Mots!$B:$B,MATCH($A716,Mots!$A:$A,0)),"introuvable")</f>
        <v/>
      </c>
      <c r="C716" s="30">
        <f>IFERROR(INDEX(Mots!$S:$S,MATCH($A716,Mots!$A:$A,0)),"")</f>
        <v/>
      </c>
      <c r="D716" s="30">
        <f>IFERROR(COUNTA(INDEX(Mots!$J:$J,MATCH($A716,Mots!$A:$A,0)):INDEX(Mots!$P:$P,MATCH($A716,Mots!$A:$A,0))),0)</f>
        <v/>
      </c>
      <c r="E716" s="30">
        <f>IF(COUNTIF(Classement!$A:$A,$A716)&gt;0,"ok","à faire")</f>
        <v/>
      </c>
      <c r="F716" s="30">
        <f>IF(COUNTIF(Tags!$A:$A,$A716)&gt;0,"ok","à faire")</f>
        <v/>
      </c>
      <c r="G716" s="30">
        <f>IF(COUNTIF(Phrases!$A:$A,$A716)&gt;0,"ok","à faire")</f>
        <v/>
      </c>
      <c r="H716" s="30">
        <f>IF(COUNTIFS(Phrases!$A:$A,$A716,Phrases!$I:$I,"&lt;&gt;")&gt;0,"ok","à faire")</f>
        <v/>
      </c>
      <c r="I716" s="30">
        <f>IF(COUNTIF(Synonymes!$A:$A,$A716)&gt;0,"ok","")</f>
        <v/>
      </c>
      <c r="J716" s="30">
        <f>COUNTIF(E716:H716,"à faire")</f>
        <v/>
      </c>
    </row>
    <row r="717">
      <c r="A717" s="30" t="inlineStr">
        <is>
          <t>v_dire</t>
        </is>
      </c>
      <c r="B717" s="30">
        <f>IFERROR(INDEX(Mots!$B:$B,MATCH($A717,Mots!$A:$A,0)),"introuvable")</f>
        <v/>
      </c>
      <c r="C717" s="30">
        <f>IFERROR(INDEX(Mots!$S:$S,MATCH($A717,Mots!$A:$A,0)),"")</f>
        <v/>
      </c>
      <c r="D717" s="30">
        <f>IFERROR(COUNTA(INDEX(Mots!$J:$J,MATCH($A717,Mots!$A:$A,0)):INDEX(Mots!$P:$P,MATCH($A717,Mots!$A:$A,0))),0)</f>
        <v/>
      </c>
      <c r="E717" s="30">
        <f>IF(COUNTIF(Classement!$A:$A,$A717)&gt;0,"ok","à faire")</f>
        <v/>
      </c>
      <c r="F717" s="30">
        <f>IF(COUNTIF(Tags!$A:$A,$A717)&gt;0,"ok","à faire")</f>
        <v/>
      </c>
      <c r="G717" s="30">
        <f>IF(COUNTIF(Phrases!$A:$A,$A717)&gt;0,"ok","à faire")</f>
        <v/>
      </c>
      <c r="H717" s="30">
        <f>IF(COUNTIFS(Phrases!$A:$A,$A717,Phrases!$I:$I,"&lt;&gt;")&gt;0,"ok","à faire")</f>
        <v/>
      </c>
      <c r="I717" s="30">
        <f>IF(COUNTIF(Synonymes!$A:$A,$A717)&gt;0,"ok","")</f>
        <v/>
      </c>
      <c r="J717" s="30">
        <f>COUNTIF(E717:H717,"à faire")</f>
        <v/>
      </c>
    </row>
    <row r="718">
      <c r="A718" s="30" t="inlineStr">
        <is>
          <t>disponible</t>
        </is>
      </c>
      <c r="B718" s="30">
        <f>IFERROR(INDEX(Mots!$B:$B,MATCH($A718,Mots!$A:$A,0)),"introuvable")</f>
        <v/>
      </c>
      <c r="C718" s="30">
        <f>IFERROR(INDEX(Mots!$S:$S,MATCH($A718,Mots!$A:$A,0)),"")</f>
        <v/>
      </c>
      <c r="D718" s="30">
        <f>IFERROR(COUNTA(INDEX(Mots!$J:$J,MATCH($A718,Mots!$A:$A,0)):INDEX(Mots!$P:$P,MATCH($A718,Mots!$A:$A,0))),0)</f>
        <v/>
      </c>
      <c r="E718" s="30">
        <f>IF(COUNTIF(Classement!$A:$A,$A718)&gt;0,"ok","à faire")</f>
        <v/>
      </c>
      <c r="F718" s="30">
        <f>IF(COUNTIF(Tags!$A:$A,$A718)&gt;0,"ok","à faire")</f>
        <v/>
      </c>
      <c r="G718" s="30">
        <f>IF(COUNTIF(Phrases!$A:$A,$A718)&gt;0,"ok","à faire")</f>
        <v/>
      </c>
      <c r="H718" s="30">
        <f>IF(COUNTIFS(Phrases!$A:$A,$A718,Phrases!$I:$I,"&lt;&gt;")&gt;0,"ok","à faire")</f>
        <v/>
      </c>
      <c r="I718" s="30">
        <f>IF(COUNTIF(Synonymes!$A:$A,$A718)&gt;0,"ok","")</f>
        <v/>
      </c>
      <c r="J718" s="30">
        <f>COUNTIF(E718:H718,"à faire")</f>
        <v/>
      </c>
    </row>
    <row r="719">
      <c r="A719" s="30" t="inlineStr">
        <is>
          <t>domestique</t>
        </is>
      </c>
      <c r="B719" s="30">
        <f>IFERROR(INDEX(Mots!$B:$B,MATCH($A719,Mots!$A:$A,0)),"introuvable")</f>
        <v/>
      </c>
      <c r="C719" s="30">
        <f>IFERROR(INDEX(Mots!$S:$S,MATCH($A719,Mots!$A:$A,0)),"")</f>
        <v/>
      </c>
      <c r="D719" s="30">
        <f>IFERROR(COUNTA(INDEX(Mots!$J:$J,MATCH($A719,Mots!$A:$A,0)):INDEX(Mots!$P:$P,MATCH($A719,Mots!$A:$A,0))),0)</f>
        <v/>
      </c>
      <c r="E719" s="30">
        <f>IF(COUNTIF(Classement!$A:$A,$A719)&gt;0,"ok","à faire")</f>
        <v/>
      </c>
      <c r="F719" s="30">
        <f>IF(COUNTIF(Tags!$A:$A,$A719)&gt;0,"ok","à faire")</f>
        <v/>
      </c>
      <c r="G719" s="30">
        <f>IF(COUNTIF(Phrases!$A:$A,$A719)&gt;0,"ok","à faire")</f>
        <v/>
      </c>
      <c r="H719" s="30">
        <f>IF(COUNTIFS(Phrases!$A:$A,$A719,Phrases!$I:$I,"&lt;&gt;")&gt;0,"ok","à faire")</f>
        <v/>
      </c>
      <c r="I719" s="30">
        <f>IF(COUNTIF(Synonymes!$A:$A,$A719)&gt;0,"ok","")</f>
        <v/>
      </c>
      <c r="J719" s="30">
        <f>COUNTIF(E719:H719,"à faire")</f>
        <v/>
      </c>
    </row>
    <row r="720">
      <c r="A720" s="30" t="inlineStr">
        <is>
          <t>v_donner</t>
        </is>
      </c>
      <c r="B720" s="30">
        <f>IFERROR(INDEX(Mots!$B:$B,MATCH($A720,Mots!$A:$A,0)),"introuvable")</f>
        <v/>
      </c>
      <c r="C720" s="30">
        <f>IFERROR(INDEX(Mots!$S:$S,MATCH($A720,Mots!$A:$A,0)),"")</f>
        <v/>
      </c>
      <c r="D720" s="30">
        <f>IFERROR(COUNTA(INDEX(Mots!$J:$J,MATCH($A720,Mots!$A:$A,0)):INDEX(Mots!$P:$P,MATCH($A720,Mots!$A:$A,0))),0)</f>
        <v/>
      </c>
      <c r="E720" s="30">
        <f>IF(COUNTIF(Classement!$A:$A,$A720)&gt;0,"ok","à faire")</f>
        <v/>
      </c>
      <c r="F720" s="30">
        <f>IF(COUNTIF(Tags!$A:$A,$A720)&gt;0,"ok","à faire")</f>
        <v/>
      </c>
      <c r="G720" s="30">
        <f>IF(COUNTIF(Phrases!$A:$A,$A720)&gt;0,"ok","à faire")</f>
        <v/>
      </c>
      <c r="H720" s="30">
        <f>IF(COUNTIFS(Phrases!$A:$A,$A720,Phrases!$I:$I,"&lt;&gt;")&gt;0,"ok","à faire")</f>
        <v/>
      </c>
      <c r="I720" s="30">
        <f>IF(COUNTIF(Synonymes!$A:$A,$A720)&gt;0,"ok","")</f>
        <v/>
      </c>
      <c r="J720" s="30">
        <f>COUNTIF(E720:H720,"à faire")</f>
        <v/>
      </c>
    </row>
    <row r="721">
      <c r="A721" s="30" t="inlineStr">
        <is>
          <t>v_dormir</t>
        </is>
      </c>
      <c r="B721" s="30">
        <f>IFERROR(INDEX(Mots!$B:$B,MATCH($A721,Mots!$A:$A,0)),"introuvable")</f>
        <v/>
      </c>
      <c r="C721" s="30">
        <f>IFERROR(INDEX(Mots!$S:$S,MATCH($A721,Mots!$A:$A,0)),"")</f>
        <v/>
      </c>
      <c r="D721" s="30">
        <f>IFERROR(COUNTA(INDEX(Mots!$J:$J,MATCH($A721,Mots!$A:$A,0)):INDEX(Mots!$P:$P,MATCH($A721,Mots!$A:$A,0))),0)</f>
        <v/>
      </c>
      <c r="E721" s="30">
        <f>IF(COUNTIF(Classement!$A:$A,$A721)&gt;0,"ok","à faire")</f>
        <v/>
      </c>
      <c r="F721" s="30">
        <f>IF(COUNTIF(Tags!$A:$A,$A721)&gt;0,"ok","à faire")</f>
        <v/>
      </c>
      <c r="G721" s="30">
        <f>IF(COUNTIF(Phrases!$A:$A,$A721)&gt;0,"ok","à faire")</f>
        <v/>
      </c>
      <c r="H721" s="30">
        <f>IF(COUNTIFS(Phrases!$A:$A,$A721,Phrases!$I:$I,"&lt;&gt;")&gt;0,"ok","à faire")</f>
        <v/>
      </c>
      <c r="I721" s="30">
        <f>IF(COUNTIF(Synonymes!$A:$A,$A721)&gt;0,"ok","")</f>
        <v/>
      </c>
      <c r="J721" s="30">
        <f>COUNTIF(E721:H721,"à faire")</f>
        <v/>
      </c>
    </row>
    <row r="722">
      <c r="A722" s="30" t="inlineStr">
        <is>
          <t>douce</t>
        </is>
      </c>
      <c r="B722" s="30">
        <f>IFERROR(INDEX(Mots!$B:$B,MATCH($A722,Mots!$A:$A,0)),"introuvable")</f>
        <v/>
      </c>
      <c r="C722" s="30">
        <f>IFERROR(INDEX(Mots!$S:$S,MATCH($A722,Mots!$A:$A,0)),"")</f>
        <v/>
      </c>
      <c r="D722" s="30">
        <f>IFERROR(COUNTA(INDEX(Mots!$J:$J,MATCH($A722,Mots!$A:$A,0)):INDEX(Mots!$P:$P,MATCH($A722,Mots!$A:$A,0))),0)</f>
        <v/>
      </c>
      <c r="E722" s="30">
        <f>IF(COUNTIF(Classement!$A:$A,$A722)&gt;0,"ok","à faire")</f>
        <v/>
      </c>
      <c r="F722" s="30">
        <f>IF(COUNTIF(Tags!$A:$A,$A722)&gt;0,"ok","à faire")</f>
        <v/>
      </c>
      <c r="G722" s="30">
        <f>IF(COUNTIF(Phrases!$A:$A,$A722)&gt;0,"ok","à faire")</f>
        <v/>
      </c>
      <c r="H722" s="30">
        <f>IF(COUNTIFS(Phrases!$A:$A,$A722,Phrases!$I:$I,"&lt;&gt;")&gt;0,"ok","à faire")</f>
        <v/>
      </c>
      <c r="I722" s="30">
        <f>IF(COUNTIF(Synonymes!$A:$A,$A722)&gt;0,"ok","")</f>
        <v/>
      </c>
      <c r="J722" s="30">
        <f>COUNTIF(E722:H722,"à faire")</f>
        <v/>
      </c>
    </row>
    <row r="723">
      <c r="A723" s="30" t="inlineStr">
        <is>
          <t>doucement</t>
        </is>
      </c>
      <c r="B723" s="30">
        <f>IFERROR(INDEX(Mots!$B:$B,MATCH($A723,Mots!$A:$A,0)),"introuvable")</f>
        <v/>
      </c>
      <c r="C723" s="30">
        <f>IFERROR(INDEX(Mots!$S:$S,MATCH($A723,Mots!$A:$A,0)),"")</f>
        <v/>
      </c>
      <c r="D723" s="30">
        <f>IFERROR(COUNTA(INDEX(Mots!$J:$J,MATCH($A723,Mots!$A:$A,0)):INDEX(Mots!$P:$P,MATCH($A723,Mots!$A:$A,0))),0)</f>
        <v/>
      </c>
      <c r="E723" s="30">
        <f>IF(COUNTIF(Classement!$A:$A,$A723)&gt;0,"ok","à faire")</f>
        <v/>
      </c>
      <c r="F723" s="30">
        <f>IF(COUNTIF(Tags!$A:$A,$A723)&gt;0,"ok","à faire")</f>
        <v/>
      </c>
      <c r="G723" s="30">
        <f>IF(COUNTIF(Phrases!$A:$A,$A723)&gt;0,"ok","à faire")</f>
        <v/>
      </c>
      <c r="H723" s="30">
        <f>IF(COUNTIFS(Phrases!$A:$A,$A723,Phrases!$I:$I,"&lt;&gt;")&gt;0,"ok","à faire")</f>
        <v/>
      </c>
      <c r="I723" s="30">
        <f>IF(COUNTIF(Synonymes!$A:$A,$A723)&gt;0,"ok","")</f>
        <v/>
      </c>
      <c r="J723" s="30">
        <f>COUNTIF(E723:H723,"à faire")</f>
        <v/>
      </c>
    </row>
    <row r="724">
      <c r="A724" s="30" t="inlineStr">
        <is>
          <t>v_douter</t>
        </is>
      </c>
      <c r="B724" s="30">
        <f>IFERROR(INDEX(Mots!$B:$B,MATCH($A724,Mots!$A:$A,0)),"introuvable")</f>
        <v/>
      </c>
      <c r="C724" s="30">
        <f>IFERROR(INDEX(Mots!$S:$S,MATCH($A724,Mots!$A:$A,0)),"")</f>
        <v/>
      </c>
      <c r="D724" s="30">
        <f>IFERROR(COUNTA(INDEX(Mots!$J:$J,MATCH($A724,Mots!$A:$A,0)):INDEX(Mots!$P:$P,MATCH($A724,Mots!$A:$A,0))),0)</f>
        <v/>
      </c>
      <c r="E724" s="30">
        <f>IF(COUNTIF(Classement!$A:$A,$A724)&gt;0,"ok","à faire")</f>
        <v/>
      </c>
      <c r="F724" s="30">
        <f>IF(COUNTIF(Tags!$A:$A,$A724)&gt;0,"ok","à faire")</f>
        <v/>
      </c>
      <c r="G724" s="30">
        <f>IF(COUNTIF(Phrases!$A:$A,$A724)&gt;0,"ok","à faire")</f>
        <v/>
      </c>
      <c r="H724" s="30">
        <f>IF(COUNTIFS(Phrases!$A:$A,$A724,Phrases!$I:$I,"&lt;&gt;")&gt;0,"ok","à faire")</f>
        <v/>
      </c>
      <c r="I724" s="30">
        <f>IF(COUNTIF(Synonymes!$A:$A,$A724)&gt;0,"ok","")</f>
        <v/>
      </c>
      <c r="J724" s="30">
        <f>COUNTIF(E724:H724,"à faire")</f>
        <v/>
      </c>
    </row>
    <row r="725">
      <c r="A725" s="30" t="inlineStr">
        <is>
          <t>v_ecouter</t>
        </is>
      </c>
      <c r="B725" s="30">
        <f>IFERROR(INDEX(Mots!$B:$B,MATCH($A725,Mots!$A:$A,0)),"introuvable")</f>
        <v/>
      </c>
      <c r="C725" s="30">
        <f>IFERROR(INDEX(Mots!$S:$S,MATCH($A725,Mots!$A:$A,0)),"")</f>
        <v/>
      </c>
      <c r="D725" s="30">
        <f>IFERROR(COUNTA(INDEX(Mots!$J:$J,MATCH($A725,Mots!$A:$A,0)):INDEX(Mots!$P:$P,MATCH($A725,Mots!$A:$A,0))),0)</f>
        <v/>
      </c>
      <c r="E725" s="30">
        <f>IF(COUNTIF(Classement!$A:$A,$A725)&gt;0,"ok","à faire")</f>
        <v/>
      </c>
      <c r="F725" s="30">
        <f>IF(COUNTIF(Tags!$A:$A,$A725)&gt;0,"ok","à faire")</f>
        <v/>
      </c>
      <c r="G725" s="30">
        <f>IF(COUNTIF(Phrases!$A:$A,$A725)&gt;0,"ok","à faire")</f>
        <v/>
      </c>
      <c r="H725" s="30">
        <f>IF(COUNTIFS(Phrases!$A:$A,$A725,Phrases!$I:$I,"&lt;&gt;")&gt;0,"ok","à faire")</f>
        <v/>
      </c>
      <c r="I725" s="30">
        <f>IF(COUNTIF(Synonymes!$A:$A,$A725)&gt;0,"ok","")</f>
        <v/>
      </c>
      <c r="J725" s="30">
        <f>COUNTIF(E725:H725,"à faire")</f>
        <v/>
      </c>
    </row>
    <row r="726">
      <c r="A726" s="30" t="inlineStr">
        <is>
          <t>v_ecrire</t>
        </is>
      </c>
      <c r="B726" s="30">
        <f>IFERROR(INDEX(Mots!$B:$B,MATCH($A726,Mots!$A:$A,0)),"introuvable")</f>
        <v/>
      </c>
      <c r="C726" s="30">
        <f>IFERROR(INDEX(Mots!$S:$S,MATCH($A726,Mots!$A:$A,0)),"")</f>
        <v/>
      </c>
      <c r="D726" s="30">
        <f>IFERROR(COUNTA(INDEX(Mots!$J:$J,MATCH($A726,Mots!$A:$A,0)):INDEX(Mots!$P:$P,MATCH($A726,Mots!$A:$A,0))),0)</f>
        <v/>
      </c>
      <c r="E726" s="30">
        <f>IF(COUNTIF(Classement!$A:$A,$A726)&gt;0,"ok","à faire")</f>
        <v/>
      </c>
      <c r="F726" s="30">
        <f>IF(COUNTIF(Tags!$A:$A,$A726)&gt;0,"ok","à faire")</f>
        <v/>
      </c>
      <c r="G726" s="30">
        <f>IF(COUNTIF(Phrases!$A:$A,$A726)&gt;0,"ok","à faire")</f>
        <v/>
      </c>
      <c r="H726" s="30">
        <f>IF(COUNTIFS(Phrases!$A:$A,$A726,Phrases!$I:$I,"&lt;&gt;")&gt;0,"ok","à faire")</f>
        <v/>
      </c>
      <c r="I726" s="30">
        <f>IF(COUNTIF(Synonymes!$A:$A,$A726)&gt;0,"ok","")</f>
        <v/>
      </c>
      <c r="J726" s="30">
        <f>COUNTIF(E726:H726,"à faire")</f>
        <v/>
      </c>
    </row>
    <row r="727">
      <c r="A727" s="30" t="inlineStr">
        <is>
          <t>a_electrique</t>
        </is>
      </c>
      <c r="B727" s="30">
        <f>IFERROR(INDEX(Mots!$B:$B,MATCH($A727,Mots!$A:$A,0)),"introuvable")</f>
        <v/>
      </c>
      <c r="C727" s="30">
        <f>IFERROR(INDEX(Mots!$S:$S,MATCH($A727,Mots!$A:$A,0)),"")</f>
        <v/>
      </c>
      <c r="D727" s="30">
        <f>IFERROR(COUNTA(INDEX(Mots!$J:$J,MATCH($A727,Mots!$A:$A,0)):INDEX(Mots!$P:$P,MATCH($A727,Mots!$A:$A,0))),0)</f>
        <v/>
      </c>
      <c r="E727" s="30">
        <f>IF(COUNTIF(Classement!$A:$A,$A727)&gt;0,"ok","à faire")</f>
        <v/>
      </c>
      <c r="F727" s="30">
        <f>IF(COUNTIF(Tags!$A:$A,$A727)&gt;0,"ok","à faire")</f>
        <v/>
      </c>
      <c r="G727" s="30">
        <f>IF(COUNTIF(Phrases!$A:$A,$A727)&gt;0,"ok","à faire")</f>
        <v/>
      </c>
      <c r="H727" s="30">
        <f>IF(COUNTIFS(Phrases!$A:$A,$A727,Phrases!$I:$I,"&lt;&gt;")&gt;0,"ok","à faire")</f>
        <v/>
      </c>
      <c r="I727" s="30">
        <f>IF(COUNTIF(Synonymes!$A:$A,$A727)&gt;0,"ok","")</f>
        <v/>
      </c>
      <c r="J727" s="30">
        <f>COUNTIF(E727:H727,"à faire")</f>
        <v/>
      </c>
    </row>
    <row r="728">
      <c r="A728" s="30" t="inlineStr">
        <is>
          <t>a_eleve</t>
        </is>
      </c>
      <c r="B728" s="30">
        <f>IFERROR(INDEX(Mots!$B:$B,MATCH($A728,Mots!$A:$A,0)),"introuvable")</f>
        <v/>
      </c>
      <c r="C728" s="30">
        <f>IFERROR(INDEX(Mots!$S:$S,MATCH($A728,Mots!$A:$A,0)),"")</f>
        <v/>
      </c>
      <c r="D728" s="30">
        <f>IFERROR(COUNTA(INDEX(Mots!$J:$J,MATCH($A728,Mots!$A:$A,0)):INDEX(Mots!$P:$P,MATCH($A728,Mots!$A:$A,0))),0)</f>
        <v/>
      </c>
      <c r="E728" s="30">
        <f>IF(COUNTIF(Classement!$A:$A,$A728)&gt;0,"ok","à faire")</f>
        <v/>
      </c>
      <c r="F728" s="30">
        <f>IF(COUNTIF(Tags!$A:$A,$A728)&gt;0,"ok","à faire")</f>
        <v/>
      </c>
      <c r="G728" s="30">
        <f>IF(COUNTIF(Phrases!$A:$A,$A728)&gt;0,"ok","à faire")</f>
        <v/>
      </c>
      <c r="H728" s="30">
        <f>IF(COUNTIFS(Phrases!$A:$A,$A728,Phrases!$I:$I,"&lt;&gt;")&gt;0,"ok","à faire")</f>
        <v/>
      </c>
      <c r="I728" s="30">
        <f>IF(COUNTIF(Synonymes!$A:$A,$A728)&gt;0,"ok","")</f>
        <v/>
      </c>
      <c r="J728" s="30">
        <f>COUNTIF(E728:H728,"à faire")</f>
        <v/>
      </c>
    </row>
    <row r="729">
      <c r="A729" s="30" t="inlineStr">
        <is>
          <t>encore</t>
        </is>
      </c>
      <c r="B729" s="30">
        <f>IFERROR(INDEX(Mots!$B:$B,MATCH($A729,Mots!$A:$A,0)),"introuvable")</f>
        <v/>
      </c>
      <c r="C729" s="30">
        <f>IFERROR(INDEX(Mots!$S:$S,MATCH($A729,Mots!$A:$A,0)),"")</f>
        <v/>
      </c>
      <c r="D729" s="30">
        <f>IFERROR(COUNTA(INDEX(Mots!$J:$J,MATCH($A729,Mots!$A:$A,0)):INDEX(Mots!$P:$P,MATCH($A729,Mots!$A:$A,0))),0)</f>
        <v/>
      </c>
      <c r="E729" s="30">
        <f>IF(COUNTIF(Classement!$A:$A,$A729)&gt;0,"ok","à faire")</f>
        <v/>
      </c>
      <c r="F729" s="30">
        <f>IF(COUNTIF(Tags!$A:$A,$A729)&gt;0,"ok","à faire")</f>
        <v/>
      </c>
      <c r="G729" s="30">
        <f>IF(COUNTIF(Phrases!$A:$A,$A729)&gt;0,"ok","à faire")</f>
        <v/>
      </c>
      <c r="H729" s="30">
        <f>IF(COUNTIFS(Phrases!$A:$A,$A729,Phrases!$I:$I,"&lt;&gt;")&gt;0,"ok","à faire")</f>
        <v/>
      </c>
      <c r="I729" s="30">
        <f>IF(COUNTIF(Synonymes!$A:$A,$A729)&gt;0,"ok","")</f>
        <v/>
      </c>
      <c r="J729" s="30">
        <f>COUNTIF(E729:H729,"à faire")</f>
        <v/>
      </c>
    </row>
    <row r="730">
      <c r="A730" s="30" t="inlineStr">
        <is>
          <t>enfin</t>
        </is>
      </c>
      <c r="B730" s="30">
        <f>IFERROR(INDEX(Mots!$B:$B,MATCH($A730,Mots!$A:$A,0)),"introuvable")</f>
        <v/>
      </c>
      <c r="C730" s="30">
        <f>IFERROR(INDEX(Mots!$S:$S,MATCH($A730,Mots!$A:$A,0)),"")</f>
        <v/>
      </c>
      <c r="D730" s="30">
        <f>IFERROR(COUNTA(INDEX(Mots!$J:$J,MATCH($A730,Mots!$A:$A,0)):INDEX(Mots!$P:$P,MATCH($A730,Mots!$A:$A,0))),0)</f>
        <v/>
      </c>
      <c r="E730" s="30">
        <f>IF(COUNTIF(Classement!$A:$A,$A730)&gt;0,"ok","à faire")</f>
        <v/>
      </c>
      <c r="F730" s="30">
        <f>IF(COUNTIF(Tags!$A:$A,$A730)&gt;0,"ok","à faire")</f>
        <v/>
      </c>
      <c r="G730" s="30">
        <f>IF(COUNTIF(Phrases!$A:$A,$A730)&gt;0,"ok","à faire")</f>
        <v/>
      </c>
      <c r="H730" s="30">
        <f>IF(COUNTIFS(Phrases!$A:$A,$A730,Phrases!$I:$I,"&lt;&gt;")&gt;0,"ok","à faire")</f>
        <v/>
      </c>
      <c r="I730" s="30">
        <f>IF(COUNTIF(Synonymes!$A:$A,$A730)&gt;0,"ok","")</f>
        <v/>
      </c>
      <c r="J730" s="30">
        <f>COUNTIF(E730:H730,"à faire")</f>
        <v/>
      </c>
    </row>
    <row r="731">
      <c r="A731" s="30" t="inlineStr">
        <is>
          <t>a_enflamme</t>
        </is>
      </c>
      <c r="B731" s="30">
        <f>IFERROR(INDEX(Mots!$B:$B,MATCH($A731,Mots!$A:$A,0)),"introuvable")</f>
        <v/>
      </c>
      <c r="C731" s="30">
        <f>IFERROR(INDEX(Mots!$S:$S,MATCH($A731,Mots!$A:$A,0)),"")</f>
        <v/>
      </c>
      <c r="D731" s="30">
        <f>IFERROR(COUNTA(INDEX(Mots!$J:$J,MATCH($A731,Mots!$A:$A,0)):INDEX(Mots!$P:$P,MATCH($A731,Mots!$A:$A,0))),0)</f>
        <v/>
      </c>
      <c r="E731" s="30">
        <f>IF(COUNTIF(Classement!$A:$A,$A731)&gt;0,"ok","à faire")</f>
        <v/>
      </c>
      <c r="F731" s="30">
        <f>IF(COUNTIF(Tags!$A:$A,$A731)&gt;0,"ok","à faire")</f>
        <v/>
      </c>
      <c r="G731" s="30">
        <f>IF(COUNTIF(Phrases!$A:$A,$A731)&gt;0,"ok","à faire")</f>
        <v/>
      </c>
      <c r="H731" s="30">
        <f>IF(COUNTIFS(Phrases!$A:$A,$A731,Phrases!$I:$I,"&lt;&gt;")&gt;0,"ok","à faire")</f>
        <v/>
      </c>
      <c r="I731" s="30">
        <f>IF(COUNTIF(Synonymes!$A:$A,$A731)&gt;0,"ok","")</f>
        <v/>
      </c>
      <c r="J731" s="30">
        <f>COUNTIF(E731:H731,"à faire")</f>
        <v/>
      </c>
    </row>
    <row r="732">
      <c r="A732" s="30" t="inlineStr">
        <is>
          <t>ensemble</t>
        </is>
      </c>
      <c r="B732" s="30">
        <f>IFERROR(INDEX(Mots!$B:$B,MATCH($A732,Mots!$A:$A,0)),"introuvable")</f>
        <v/>
      </c>
      <c r="C732" s="30">
        <f>IFERROR(INDEX(Mots!$S:$S,MATCH($A732,Mots!$A:$A,0)),"")</f>
        <v/>
      </c>
      <c r="D732" s="30">
        <f>IFERROR(COUNTA(INDEX(Mots!$J:$J,MATCH($A732,Mots!$A:$A,0)):INDEX(Mots!$P:$P,MATCH($A732,Mots!$A:$A,0))),0)</f>
        <v/>
      </c>
      <c r="E732" s="30">
        <f>IF(COUNTIF(Classement!$A:$A,$A732)&gt;0,"ok","à faire")</f>
        <v/>
      </c>
      <c r="F732" s="30">
        <f>IF(COUNTIF(Tags!$A:$A,$A732)&gt;0,"ok","à faire")</f>
        <v/>
      </c>
      <c r="G732" s="30">
        <f>IF(COUNTIF(Phrases!$A:$A,$A732)&gt;0,"ok","à faire")</f>
        <v/>
      </c>
      <c r="H732" s="30">
        <f>IF(COUNTIFS(Phrases!$A:$A,$A732,Phrases!$I:$I,"&lt;&gt;")&gt;0,"ok","à faire")</f>
        <v/>
      </c>
      <c r="I732" s="30">
        <f>IF(COUNTIF(Synonymes!$A:$A,$A732)&gt;0,"ok","")</f>
        <v/>
      </c>
      <c r="J732" s="30">
        <f>COUNTIF(E732:H732,"à faire")</f>
        <v/>
      </c>
    </row>
    <row r="733">
      <c r="A733" s="30" t="inlineStr">
        <is>
          <t>ensuite</t>
        </is>
      </c>
      <c r="B733" s="30">
        <f>IFERROR(INDEX(Mots!$B:$B,MATCH($A733,Mots!$A:$A,0)),"introuvable")</f>
        <v/>
      </c>
      <c r="C733" s="30">
        <f>IFERROR(INDEX(Mots!$S:$S,MATCH($A733,Mots!$A:$A,0)),"")</f>
        <v/>
      </c>
      <c r="D733" s="30">
        <f>IFERROR(COUNTA(INDEX(Mots!$J:$J,MATCH($A733,Mots!$A:$A,0)):INDEX(Mots!$P:$P,MATCH($A733,Mots!$A:$A,0))),0)</f>
        <v/>
      </c>
      <c r="E733" s="30">
        <f>IF(COUNTIF(Classement!$A:$A,$A733)&gt;0,"ok","à faire")</f>
        <v/>
      </c>
      <c r="F733" s="30">
        <f>IF(COUNTIF(Tags!$A:$A,$A733)&gt;0,"ok","à faire")</f>
        <v/>
      </c>
      <c r="G733" s="30">
        <f>IF(COUNTIF(Phrases!$A:$A,$A733)&gt;0,"ok","à faire")</f>
        <v/>
      </c>
      <c r="H733" s="30">
        <f>IF(COUNTIFS(Phrases!$A:$A,$A733,Phrases!$I:$I,"&lt;&gt;")&gt;0,"ok","à faire")</f>
        <v/>
      </c>
      <c r="I733" s="30">
        <f>IF(COUNTIF(Synonymes!$A:$A,$A733)&gt;0,"ok","")</f>
        <v/>
      </c>
      <c r="J733" s="30">
        <f>COUNTIF(E733:H733,"à faire")</f>
        <v/>
      </c>
    </row>
    <row r="734">
      <c r="A734" s="30" t="inlineStr">
        <is>
          <t>v_entendre</t>
        </is>
      </c>
      <c r="B734" s="30">
        <f>IFERROR(INDEX(Mots!$B:$B,MATCH($A734,Mots!$A:$A,0)),"introuvable")</f>
        <v/>
      </c>
      <c r="C734" s="30">
        <f>IFERROR(INDEX(Mots!$S:$S,MATCH($A734,Mots!$A:$A,0)),"")</f>
        <v/>
      </c>
      <c r="D734" s="30">
        <f>IFERROR(COUNTA(INDEX(Mots!$J:$J,MATCH($A734,Mots!$A:$A,0)):INDEX(Mots!$P:$P,MATCH($A734,Mots!$A:$A,0))),0)</f>
        <v/>
      </c>
      <c r="E734" s="30">
        <f>IF(COUNTIF(Classement!$A:$A,$A734)&gt;0,"ok","à faire")</f>
        <v/>
      </c>
      <c r="F734" s="30">
        <f>IF(COUNTIF(Tags!$A:$A,$A734)&gt;0,"ok","à faire")</f>
        <v/>
      </c>
      <c r="G734" s="30">
        <f>IF(COUNTIF(Phrases!$A:$A,$A734)&gt;0,"ok","à faire")</f>
        <v/>
      </c>
      <c r="H734" s="30">
        <f>IF(COUNTIFS(Phrases!$A:$A,$A734,Phrases!$I:$I,"&lt;&gt;")&gt;0,"ok","à faire")</f>
        <v/>
      </c>
      <c r="I734" s="30">
        <f>IF(COUNTIF(Synonymes!$A:$A,$A734)&gt;0,"ok","")</f>
        <v/>
      </c>
      <c r="J734" s="30">
        <f>COUNTIF(E734:H734,"à faire")</f>
        <v/>
      </c>
    </row>
    <row r="735">
      <c r="A735" s="30" t="inlineStr">
        <is>
          <t>entier</t>
        </is>
      </c>
      <c r="B735" s="30">
        <f>IFERROR(INDEX(Mots!$B:$B,MATCH($A735,Mots!$A:$A,0)),"introuvable")</f>
        <v/>
      </c>
      <c r="C735" s="30">
        <f>IFERROR(INDEX(Mots!$S:$S,MATCH($A735,Mots!$A:$A,0)),"")</f>
        <v/>
      </c>
      <c r="D735" s="30">
        <f>IFERROR(COUNTA(INDEX(Mots!$J:$J,MATCH($A735,Mots!$A:$A,0)):INDEX(Mots!$P:$P,MATCH($A735,Mots!$A:$A,0))),0)</f>
        <v/>
      </c>
      <c r="E735" s="30">
        <f>IF(COUNTIF(Classement!$A:$A,$A735)&gt;0,"ok","à faire")</f>
        <v/>
      </c>
      <c r="F735" s="30">
        <f>IF(COUNTIF(Tags!$A:$A,$A735)&gt;0,"ok","à faire")</f>
        <v/>
      </c>
      <c r="G735" s="30">
        <f>IF(COUNTIF(Phrases!$A:$A,$A735)&gt;0,"ok","à faire")</f>
        <v/>
      </c>
      <c r="H735" s="30">
        <f>IF(COUNTIFS(Phrases!$A:$A,$A735,Phrases!$I:$I,"&lt;&gt;")&gt;0,"ok","à faire")</f>
        <v/>
      </c>
      <c r="I735" s="30">
        <f>IF(COUNTIF(Synonymes!$A:$A,$A735)&gt;0,"ok","")</f>
        <v/>
      </c>
      <c r="J735" s="30">
        <f>COUNTIF(E735:H735,"à faire")</f>
        <v/>
      </c>
    </row>
    <row r="736">
      <c r="A736" s="30" t="inlineStr">
        <is>
          <t>v_entrer</t>
        </is>
      </c>
      <c r="B736" s="30">
        <f>IFERROR(INDEX(Mots!$B:$B,MATCH($A736,Mots!$A:$A,0)),"introuvable")</f>
        <v/>
      </c>
      <c r="C736" s="30">
        <f>IFERROR(INDEX(Mots!$S:$S,MATCH($A736,Mots!$A:$A,0)),"")</f>
        <v/>
      </c>
      <c r="D736" s="30">
        <f>IFERROR(COUNTA(INDEX(Mots!$J:$J,MATCH($A736,Mots!$A:$A,0)):INDEX(Mots!$P:$P,MATCH($A736,Mots!$A:$A,0))),0)</f>
        <v/>
      </c>
      <c r="E736" s="30">
        <f>IF(COUNTIF(Classement!$A:$A,$A736)&gt;0,"ok","à faire")</f>
        <v/>
      </c>
      <c r="F736" s="30">
        <f>IF(COUNTIF(Tags!$A:$A,$A736)&gt;0,"ok","à faire")</f>
        <v/>
      </c>
      <c r="G736" s="30">
        <f>IF(COUNTIF(Phrases!$A:$A,$A736)&gt;0,"ok","à faire")</f>
        <v/>
      </c>
      <c r="H736" s="30">
        <f>IF(COUNTIFS(Phrases!$A:$A,$A736,Phrases!$I:$I,"&lt;&gt;")&gt;0,"ok","à faire")</f>
        <v/>
      </c>
      <c r="I736" s="30">
        <f>IF(COUNTIF(Synonymes!$A:$A,$A736)&gt;0,"ok","")</f>
        <v/>
      </c>
      <c r="J736" s="30">
        <f>COUNTIF(E736:H736,"à faire")</f>
        <v/>
      </c>
    </row>
    <row r="737">
      <c r="A737" s="30" t="inlineStr">
        <is>
          <t>environ</t>
        </is>
      </c>
      <c r="B737" s="30">
        <f>IFERROR(INDEX(Mots!$B:$B,MATCH($A737,Mots!$A:$A,0)),"introuvable")</f>
        <v/>
      </c>
      <c r="C737" s="30">
        <f>IFERROR(INDEX(Mots!$S:$S,MATCH($A737,Mots!$A:$A,0)),"")</f>
        <v/>
      </c>
      <c r="D737" s="30">
        <f>IFERROR(COUNTA(INDEX(Mots!$J:$J,MATCH($A737,Mots!$A:$A,0)):INDEX(Mots!$P:$P,MATCH($A737,Mots!$A:$A,0))),0)</f>
        <v/>
      </c>
      <c r="E737" s="30">
        <f>IF(COUNTIF(Classement!$A:$A,$A737)&gt;0,"ok","à faire")</f>
        <v/>
      </c>
      <c r="F737" s="30">
        <f>IF(COUNTIF(Tags!$A:$A,$A737)&gt;0,"ok","à faire")</f>
        <v/>
      </c>
      <c r="G737" s="30">
        <f>IF(COUNTIF(Phrases!$A:$A,$A737)&gt;0,"ok","à faire")</f>
        <v/>
      </c>
      <c r="H737" s="30">
        <f>IF(COUNTIFS(Phrases!$A:$A,$A737,Phrases!$I:$I,"&lt;&gt;")&gt;0,"ok","à faire")</f>
        <v/>
      </c>
      <c r="I737" s="30">
        <f>IF(COUNTIF(Synonymes!$A:$A,$A737)&gt;0,"ok","")</f>
        <v/>
      </c>
      <c r="J737" s="30">
        <f>COUNTIF(E737:H737,"à faire")</f>
        <v/>
      </c>
    </row>
    <row r="738">
      <c r="A738" s="30" t="inlineStr">
        <is>
          <t>a_equitable</t>
        </is>
      </c>
      <c r="B738" s="30">
        <f>IFERROR(INDEX(Mots!$B:$B,MATCH($A738,Mots!$A:$A,0)),"introuvable")</f>
        <v/>
      </c>
      <c r="C738" s="30">
        <f>IFERROR(INDEX(Mots!$S:$S,MATCH($A738,Mots!$A:$A,0)),"")</f>
        <v/>
      </c>
      <c r="D738" s="30">
        <f>IFERROR(COUNTA(INDEX(Mots!$J:$J,MATCH($A738,Mots!$A:$A,0)):INDEX(Mots!$P:$P,MATCH($A738,Mots!$A:$A,0))),0)</f>
        <v/>
      </c>
      <c r="E738" s="30">
        <f>IF(COUNTIF(Classement!$A:$A,$A738)&gt;0,"ok","à faire")</f>
        <v/>
      </c>
      <c r="F738" s="30">
        <f>IF(COUNTIF(Tags!$A:$A,$A738)&gt;0,"ok","à faire")</f>
        <v/>
      </c>
      <c r="G738" s="30">
        <f>IF(COUNTIF(Phrases!$A:$A,$A738)&gt;0,"ok","à faire")</f>
        <v/>
      </c>
      <c r="H738" s="30">
        <f>IF(COUNTIFS(Phrases!$A:$A,$A738,Phrases!$I:$I,"&lt;&gt;")&gt;0,"ok","à faire")</f>
        <v/>
      </c>
      <c r="I738" s="30">
        <f>IF(COUNTIF(Synonymes!$A:$A,$A738)&gt;0,"ok","")</f>
        <v/>
      </c>
      <c r="J738" s="30">
        <f>COUNTIF(E738:H738,"à faire")</f>
        <v/>
      </c>
    </row>
    <row r="739">
      <c r="A739" s="30" t="inlineStr">
        <is>
          <t>v_essayer</t>
        </is>
      </c>
      <c r="B739" s="30">
        <f>IFERROR(INDEX(Mots!$B:$B,MATCH($A739,Mots!$A:$A,0)),"introuvable")</f>
        <v/>
      </c>
      <c r="C739" s="30">
        <f>IFERROR(INDEX(Mots!$S:$S,MATCH($A739,Mots!$A:$A,0)),"")</f>
        <v/>
      </c>
      <c r="D739" s="30">
        <f>IFERROR(COUNTA(INDEX(Mots!$J:$J,MATCH($A739,Mots!$A:$A,0)):INDEX(Mots!$P:$P,MATCH($A739,Mots!$A:$A,0))),0)</f>
        <v/>
      </c>
      <c r="E739" s="30">
        <f>IF(COUNTIF(Classement!$A:$A,$A739)&gt;0,"ok","à faire")</f>
        <v/>
      </c>
      <c r="F739" s="30">
        <f>IF(COUNTIF(Tags!$A:$A,$A739)&gt;0,"ok","à faire")</f>
        <v/>
      </c>
      <c r="G739" s="30">
        <f>IF(COUNTIF(Phrases!$A:$A,$A739)&gt;0,"ok","à faire")</f>
        <v/>
      </c>
      <c r="H739" s="30">
        <f>IF(COUNTIFS(Phrases!$A:$A,$A739,Phrases!$I:$I,"&lt;&gt;")&gt;0,"ok","à faire")</f>
        <v/>
      </c>
      <c r="I739" s="30">
        <f>IF(COUNTIF(Synonymes!$A:$A,$A739)&gt;0,"ok","")</f>
        <v/>
      </c>
      <c r="J739" s="30">
        <f>COUNTIF(E739:H739,"à faire")</f>
        <v/>
      </c>
    </row>
    <row r="740">
      <c r="A740" s="30" t="inlineStr">
        <is>
          <t>exact</t>
        </is>
      </c>
      <c r="B740" s="30">
        <f>IFERROR(INDEX(Mots!$B:$B,MATCH($A740,Mots!$A:$A,0)),"introuvable")</f>
        <v/>
      </c>
      <c r="C740" s="30">
        <f>IFERROR(INDEX(Mots!$S:$S,MATCH($A740,Mots!$A:$A,0)),"")</f>
        <v/>
      </c>
      <c r="D740" s="30">
        <f>IFERROR(COUNTA(INDEX(Mots!$J:$J,MATCH($A740,Mots!$A:$A,0)):INDEX(Mots!$P:$P,MATCH($A740,Mots!$A:$A,0))),0)</f>
        <v/>
      </c>
      <c r="E740" s="30">
        <f>IF(COUNTIF(Classement!$A:$A,$A740)&gt;0,"ok","à faire")</f>
        <v/>
      </c>
      <c r="F740" s="30">
        <f>IF(COUNTIF(Tags!$A:$A,$A740)&gt;0,"ok","à faire")</f>
        <v/>
      </c>
      <c r="G740" s="30">
        <f>IF(COUNTIF(Phrases!$A:$A,$A740)&gt;0,"ok","à faire")</f>
        <v/>
      </c>
      <c r="H740" s="30">
        <f>IF(COUNTIFS(Phrases!$A:$A,$A740,Phrases!$I:$I,"&lt;&gt;")&gt;0,"ok","à faire")</f>
        <v/>
      </c>
      <c r="I740" s="30">
        <f>IF(COUNTIF(Synonymes!$A:$A,$A740)&gt;0,"ok","")</f>
        <v/>
      </c>
      <c r="J740" s="30">
        <f>COUNTIF(E740:H740,"à faire")</f>
        <v/>
      </c>
    </row>
    <row r="741">
      <c r="A741" s="30" t="inlineStr">
        <is>
          <t>v_expliquer</t>
        </is>
      </c>
      <c r="B741" s="30">
        <f>IFERROR(INDEX(Mots!$B:$B,MATCH($A741,Mots!$A:$A,0)),"introuvable")</f>
        <v/>
      </c>
      <c r="C741" s="30">
        <f>IFERROR(INDEX(Mots!$S:$S,MATCH($A741,Mots!$A:$A,0)),"")</f>
        <v/>
      </c>
      <c r="D741" s="30">
        <f>IFERROR(COUNTA(INDEX(Mots!$J:$J,MATCH($A741,Mots!$A:$A,0)):INDEX(Mots!$P:$P,MATCH($A741,Mots!$A:$A,0))),0)</f>
        <v/>
      </c>
      <c r="E741" s="30">
        <f>IF(COUNTIF(Classement!$A:$A,$A741)&gt;0,"ok","à faire")</f>
        <v/>
      </c>
      <c r="F741" s="30">
        <f>IF(COUNTIF(Tags!$A:$A,$A741)&gt;0,"ok","à faire")</f>
        <v/>
      </c>
      <c r="G741" s="30">
        <f>IF(COUNTIF(Phrases!$A:$A,$A741)&gt;0,"ok","à faire")</f>
        <v/>
      </c>
      <c r="H741" s="30">
        <f>IF(COUNTIFS(Phrases!$A:$A,$A741,Phrases!$I:$I,"&lt;&gt;")&gt;0,"ok","à faire")</f>
        <v/>
      </c>
      <c r="I741" s="30">
        <f>IF(COUNTIF(Synonymes!$A:$A,$A741)&gt;0,"ok","")</f>
        <v/>
      </c>
      <c r="J741" s="30">
        <f>COUNTIF(E741:H741,"à faire")</f>
        <v/>
      </c>
    </row>
    <row r="742">
      <c r="A742" s="30" t="inlineStr">
        <is>
          <t>expres</t>
        </is>
      </c>
      <c r="B742" s="30">
        <f>IFERROR(INDEX(Mots!$B:$B,MATCH($A742,Mots!$A:$A,0)),"introuvable")</f>
        <v/>
      </c>
      <c r="C742" s="30">
        <f>IFERROR(INDEX(Mots!$S:$S,MATCH($A742,Mots!$A:$A,0)),"")</f>
        <v/>
      </c>
      <c r="D742" s="30">
        <f>IFERROR(COUNTA(INDEX(Mots!$J:$J,MATCH($A742,Mots!$A:$A,0)):INDEX(Mots!$P:$P,MATCH($A742,Mots!$A:$A,0))),0)</f>
        <v/>
      </c>
      <c r="E742" s="30">
        <f>IF(COUNTIF(Classement!$A:$A,$A742)&gt;0,"ok","à faire")</f>
        <v/>
      </c>
      <c r="F742" s="30">
        <f>IF(COUNTIF(Tags!$A:$A,$A742)&gt;0,"ok","à faire")</f>
        <v/>
      </c>
      <c r="G742" s="30">
        <f>IF(COUNTIF(Phrases!$A:$A,$A742)&gt;0,"ok","à faire")</f>
        <v/>
      </c>
      <c r="H742" s="30">
        <f>IF(COUNTIFS(Phrases!$A:$A,$A742,Phrases!$I:$I,"&lt;&gt;")&gt;0,"ok","à faire")</f>
        <v/>
      </c>
      <c r="I742" s="30">
        <f>IF(COUNTIF(Synonymes!$A:$A,$A742)&gt;0,"ok","")</f>
        <v/>
      </c>
      <c r="J742" s="30">
        <f>COUNTIF(E742:H742,"à faire")</f>
        <v/>
      </c>
    </row>
    <row r="743">
      <c r="A743" s="30" t="inlineStr">
        <is>
          <t>exterieur</t>
        </is>
      </c>
      <c r="B743" s="30">
        <f>IFERROR(INDEX(Mots!$B:$B,MATCH($A743,Mots!$A:$A,0)),"introuvable")</f>
        <v/>
      </c>
      <c r="C743" s="30">
        <f>IFERROR(INDEX(Mots!$S:$S,MATCH($A743,Mots!$A:$A,0)),"")</f>
        <v/>
      </c>
      <c r="D743" s="30">
        <f>IFERROR(COUNTA(INDEX(Mots!$J:$J,MATCH($A743,Mots!$A:$A,0)):INDEX(Mots!$P:$P,MATCH($A743,Mots!$A:$A,0))),0)</f>
        <v/>
      </c>
      <c r="E743" s="30">
        <f>IF(COUNTIF(Classement!$A:$A,$A743)&gt;0,"ok","à faire")</f>
        <v/>
      </c>
      <c r="F743" s="30">
        <f>IF(COUNTIF(Tags!$A:$A,$A743)&gt;0,"ok","à faire")</f>
        <v/>
      </c>
      <c r="G743" s="30">
        <f>IF(COUNTIF(Phrases!$A:$A,$A743)&gt;0,"ok","à faire")</f>
        <v/>
      </c>
      <c r="H743" s="30">
        <f>IF(COUNTIFS(Phrases!$A:$A,$A743,Phrases!$I:$I,"&lt;&gt;")&gt;0,"ok","à faire")</f>
        <v/>
      </c>
      <c r="I743" s="30">
        <f>IF(COUNTIF(Synonymes!$A:$A,$A743)&gt;0,"ok","")</f>
        <v/>
      </c>
      <c r="J743" s="30">
        <f>COUNTIF(E743:H743,"à faire")</f>
        <v/>
      </c>
    </row>
    <row r="744">
      <c r="A744" s="30" t="inlineStr">
        <is>
          <t>v_faire</t>
        </is>
      </c>
      <c r="B744" s="30">
        <f>IFERROR(INDEX(Mots!$B:$B,MATCH($A744,Mots!$A:$A,0)),"introuvable")</f>
        <v/>
      </c>
      <c r="C744" s="30">
        <f>IFERROR(INDEX(Mots!$S:$S,MATCH($A744,Mots!$A:$A,0)),"")</f>
        <v/>
      </c>
      <c r="D744" s="30">
        <f>IFERROR(COUNTA(INDEX(Mots!$J:$J,MATCH($A744,Mots!$A:$A,0)):INDEX(Mots!$P:$P,MATCH($A744,Mots!$A:$A,0))),0)</f>
        <v/>
      </c>
      <c r="E744" s="30">
        <f>IF(COUNTIF(Classement!$A:$A,$A744)&gt;0,"ok","à faire")</f>
        <v/>
      </c>
      <c r="F744" s="30">
        <f>IF(COUNTIF(Tags!$A:$A,$A744)&gt;0,"ok","à faire")</f>
        <v/>
      </c>
      <c r="G744" s="30">
        <f>IF(COUNTIF(Phrases!$A:$A,$A744)&gt;0,"ok","à faire")</f>
        <v/>
      </c>
      <c r="H744" s="30">
        <f>IF(COUNTIFS(Phrases!$A:$A,$A744,Phrases!$I:$I,"&lt;&gt;")&gt;0,"ok","à faire")</f>
        <v/>
      </c>
      <c r="I744" s="30">
        <f>IF(COUNTIF(Synonymes!$A:$A,$A744)&gt;0,"ok","")</f>
        <v/>
      </c>
      <c r="J744" s="30">
        <f>COUNTIF(E744:H744,"à faire")</f>
        <v/>
      </c>
    </row>
    <row r="745">
      <c r="A745" s="30" t="inlineStr">
        <is>
          <t>a_fatigue</t>
        </is>
      </c>
      <c r="B745" s="30">
        <f>IFERROR(INDEX(Mots!$B:$B,MATCH($A745,Mots!$A:$A,0)),"introuvable")</f>
        <v/>
      </c>
      <c r="C745" s="30">
        <f>IFERROR(INDEX(Mots!$S:$S,MATCH($A745,Mots!$A:$A,0)),"")</f>
        <v/>
      </c>
      <c r="D745" s="30">
        <f>IFERROR(COUNTA(INDEX(Mots!$J:$J,MATCH($A745,Mots!$A:$A,0)):INDEX(Mots!$P:$P,MATCH($A745,Mots!$A:$A,0))),0)</f>
        <v/>
      </c>
      <c r="E745" s="30">
        <f>IF(COUNTIF(Classement!$A:$A,$A745)&gt;0,"ok","à faire")</f>
        <v/>
      </c>
      <c r="F745" s="30">
        <f>IF(COUNTIF(Tags!$A:$A,$A745)&gt;0,"ok","à faire")</f>
        <v/>
      </c>
      <c r="G745" s="30">
        <f>IF(COUNTIF(Phrases!$A:$A,$A745)&gt;0,"ok","à faire")</f>
        <v/>
      </c>
      <c r="H745" s="30">
        <f>IF(COUNTIFS(Phrases!$A:$A,$A745,Phrases!$I:$I,"&lt;&gt;")&gt;0,"ok","à faire")</f>
        <v/>
      </c>
      <c r="I745" s="30">
        <f>IF(COUNTIF(Synonymes!$A:$A,$A745)&gt;0,"ok","")</f>
        <v/>
      </c>
      <c r="J745" s="30">
        <f>COUNTIF(E745:H745,"à faire")</f>
        <v/>
      </c>
    </row>
    <row r="746">
      <c r="A746" s="30" t="inlineStr">
        <is>
          <t>v_feliciter</t>
        </is>
      </c>
      <c r="B746" s="30">
        <f>IFERROR(INDEX(Mots!$B:$B,MATCH($A746,Mots!$A:$A,0)),"introuvable")</f>
        <v/>
      </c>
      <c r="C746" s="30">
        <f>IFERROR(INDEX(Mots!$S:$S,MATCH($A746,Mots!$A:$A,0)),"")</f>
        <v/>
      </c>
      <c r="D746" s="30">
        <f>IFERROR(COUNTA(INDEX(Mots!$J:$J,MATCH($A746,Mots!$A:$A,0)):INDEX(Mots!$P:$P,MATCH($A746,Mots!$A:$A,0))),0)</f>
        <v/>
      </c>
      <c r="E746" s="30">
        <f>IF(COUNTIF(Classement!$A:$A,$A746)&gt;0,"ok","à faire")</f>
        <v/>
      </c>
      <c r="F746" s="30">
        <f>IF(COUNTIF(Tags!$A:$A,$A746)&gt;0,"ok","à faire")</f>
        <v/>
      </c>
      <c r="G746" s="30">
        <f>IF(COUNTIF(Phrases!$A:$A,$A746)&gt;0,"ok","à faire")</f>
        <v/>
      </c>
      <c r="H746" s="30">
        <f>IF(COUNTIFS(Phrases!$A:$A,$A746,Phrases!$I:$I,"&lt;&gt;")&gt;0,"ok","à faire")</f>
        <v/>
      </c>
      <c r="I746" s="30">
        <f>IF(COUNTIF(Synonymes!$A:$A,$A746)&gt;0,"ok","")</f>
        <v/>
      </c>
      <c r="J746" s="30">
        <f>COUNTIF(E746:H746,"à faire")</f>
        <v/>
      </c>
    </row>
    <row r="747">
      <c r="A747" s="30" t="inlineStr">
        <is>
          <t>feminin</t>
        </is>
      </c>
      <c r="B747" s="30">
        <f>IFERROR(INDEX(Mots!$B:$B,MATCH($A747,Mots!$A:$A,0)),"introuvable")</f>
        <v/>
      </c>
      <c r="C747" s="30">
        <f>IFERROR(INDEX(Mots!$S:$S,MATCH($A747,Mots!$A:$A,0)),"")</f>
        <v/>
      </c>
      <c r="D747" s="30">
        <f>IFERROR(COUNTA(INDEX(Mots!$J:$J,MATCH($A747,Mots!$A:$A,0)):INDEX(Mots!$P:$P,MATCH($A747,Mots!$A:$A,0))),0)</f>
        <v/>
      </c>
      <c r="E747" s="30">
        <f>IF(COUNTIF(Classement!$A:$A,$A747)&gt;0,"ok","à faire")</f>
        <v/>
      </c>
      <c r="F747" s="30">
        <f>IF(COUNTIF(Tags!$A:$A,$A747)&gt;0,"ok","à faire")</f>
        <v/>
      </c>
      <c r="G747" s="30">
        <f>IF(COUNTIF(Phrases!$A:$A,$A747)&gt;0,"ok","à faire")</f>
        <v/>
      </c>
      <c r="H747" s="30">
        <f>IF(COUNTIFS(Phrases!$A:$A,$A747,Phrases!$I:$I,"&lt;&gt;")&gt;0,"ok","à faire")</f>
        <v/>
      </c>
      <c r="I747" s="30">
        <f>IF(COUNTIF(Synonymes!$A:$A,$A747)&gt;0,"ok","")</f>
        <v/>
      </c>
      <c r="J747" s="30">
        <f>COUNTIF(E747:H747,"à faire")</f>
        <v/>
      </c>
    </row>
    <row r="748">
      <c r="A748" s="30" t="inlineStr">
        <is>
          <t>v_fermer</t>
        </is>
      </c>
      <c r="B748" s="30">
        <f>IFERROR(INDEX(Mots!$B:$B,MATCH($A748,Mots!$A:$A,0)),"introuvable")</f>
        <v/>
      </c>
      <c r="C748" s="30">
        <f>IFERROR(INDEX(Mots!$S:$S,MATCH($A748,Mots!$A:$A,0)),"")</f>
        <v/>
      </c>
      <c r="D748" s="30">
        <f>IFERROR(COUNTA(INDEX(Mots!$J:$J,MATCH($A748,Mots!$A:$A,0)):INDEX(Mots!$P:$P,MATCH($A748,Mots!$A:$A,0))),0)</f>
        <v/>
      </c>
      <c r="E748" s="30">
        <f>IF(COUNTIF(Classement!$A:$A,$A748)&gt;0,"ok","à faire")</f>
        <v/>
      </c>
      <c r="F748" s="30">
        <f>IF(COUNTIF(Tags!$A:$A,$A748)&gt;0,"ok","à faire")</f>
        <v/>
      </c>
      <c r="G748" s="30">
        <f>IF(COUNTIF(Phrases!$A:$A,$A748)&gt;0,"ok","à faire")</f>
        <v/>
      </c>
      <c r="H748" s="30">
        <f>IF(COUNTIFS(Phrases!$A:$A,$A748,Phrases!$I:$I,"&lt;&gt;")&gt;0,"ok","à faire")</f>
        <v/>
      </c>
      <c r="I748" s="30">
        <f>IF(COUNTIF(Synonymes!$A:$A,$A748)&gt;0,"ok","")</f>
        <v/>
      </c>
      <c r="J748" s="30">
        <f>COUNTIF(E748:H748,"à faire")</f>
        <v/>
      </c>
    </row>
    <row r="749">
      <c r="A749" s="30" t="inlineStr">
        <is>
          <t>v_finir</t>
        </is>
      </c>
      <c r="B749" s="30">
        <f>IFERROR(INDEX(Mots!$B:$B,MATCH($A749,Mots!$A:$A,0)),"introuvable")</f>
        <v/>
      </c>
      <c r="C749" s="30">
        <f>IFERROR(INDEX(Mots!$S:$S,MATCH($A749,Mots!$A:$A,0)),"")</f>
        <v/>
      </c>
      <c r="D749" s="30">
        <f>IFERROR(COUNTA(INDEX(Mots!$J:$J,MATCH($A749,Mots!$A:$A,0)):INDEX(Mots!$P:$P,MATCH($A749,Mots!$A:$A,0))),0)</f>
        <v/>
      </c>
      <c r="E749" s="30">
        <f>IF(COUNTIF(Classement!$A:$A,$A749)&gt;0,"ok","à faire")</f>
        <v/>
      </c>
      <c r="F749" s="30">
        <f>IF(COUNTIF(Tags!$A:$A,$A749)&gt;0,"ok","à faire")</f>
        <v/>
      </c>
      <c r="G749" s="30">
        <f>IF(COUNTIF(Phrases!$A:$A,$A749)&gt;0,"ok","à faire")</f>
        <v/>
      </c>
      <c r="H749" s="30">
        <f>IF(COUNTIFS(Phrases!$A:$A,$A749,Phrases!$I:$I,"&lt;&gt;")&gt;0,"ok","à faire")</f>
        <v/>
      </c>
      <c r="I749" s="30">
        <f>IF(COUNTIF(Synonymes!$A:$A,$A749)&gt;0,"ok","")</f>
        <v/>
      </c>
      <c r="J749" s="30">
        <f>COUNTIF(E749:H749,"à faire")</f>
        <v/>
      </c>
    </row>
    <row r="750">
      <c r="A750" s="30" t="inlineStr">
        <is>
          <t>a_frais</t>
        </is>
      </c>
      <c r="B750" s="30">
        <f>IFERROR(INDEX(Mots!$B:$B,MATCH($A750,Mots!$A:$A,0)),"introuvable")</f>
        <v/>
      </c>
      <c r="C750" s="30">
        <f>IFERROR(INDEX(Mots!$S:$S,MATCH($A750,Mots!$A:$A,0)),"")</f>
        <v/>
      </c>
      <c r="D750" s="30">
        <f>IFERROR(COUNTA(INDEX(Mots!$J:$J,MATCH($A750,Mots!$A:$A,0)):INDEX(Mots!$P:$P,MATCH($A750,Mots!$A:$A,0))),0)</f>
        <v/>
      </c>
      <c r="E750" s="30">
        <f>IF(COUNTIF(Classement!$A:$A,$A750)&gt;0,"ok","à faire")</f>
        <v/>
      </c>
      <c r="F750" s="30">
        <f>IF(COUNTIF(Tags!$A:$A,$A750)&gt;0,"ok","à faire")</f>
        <v/>
      </c>
      <c r="G750" s="30">
        <f>IF(COUNTIF(Phrases!$A:$A,$A750)&gt;0,"ok","à faire")</f>
        <v/>
      </c>
      <c r="H750" s="30">
        <f>IF(COUNTIFS(Phrases!$A:$A,$A750,Phrases!$I:$I,"&lt;&gt;")&gt;0,"ok","à faire")</f>
        <v/>
      </c>
      <c r="I750" s="30">
        <f>IF(COUNTIF(Synonymes!$A:$A,$A750)&gt;0,"ok","")</f>
        <v/>
      </c>
      <c r="J750" s="30">
        <f>COUNTIF(E750:H750,"à faire")</f>
        <v/>
      </c>
    </row>
    <row r="751">
      <c r="A751" s="30" t="inlineStr">
        <is>
          <t>v_frapper</t>
        </is>
      </c>
      <c r="B751" s="30">
        <f>IFERROR(INDEX(Mots!$B:$B,MATCH($A751,Mots!$A:$A,0)),"introuvable")</f>
        <v/>
      </c>
      <c r="C751" s="30">
        <f>IFERROR(INDEX(Mots!$S:$S,MATCH($A751,Mots!$A:$A,0)),"")</f>
        <v/>
      </c>
      <c r="D751" s="30">
        <f>IFERROR(COUNTA(INDEX(Mots!$J:$J,MATCH($A751,Mots!$A:$A,0)):INDEX(Mots!$P:$P,MATCH($A751,Mots!$A:$A,0))),0)</f>
        <v/>
      </c>
      <c r="E751" s="30">
        <f>IF(COUNTIF(Classement!$A:$A,$A751)&gt;0,"ok","à faire")</f>
        <v/>
      </c>
      <c r="F751" s="30">
        <f>IF(COUNTIF(Tags!$A:$A,$A751)&gt;0,"ok","à faire")</f>
        <v/>
      </c>
      <c r="G751" s="30">
        <f>IF(COUNTIF(Phrases!$A:$A,$A751)&gt;0,"ok","à faire")</f>
        <v/>
      </c>
      <c r="H751" s="30">
        <f>IF(COUNTIFS(Phrases!$A:$A,$A751,Phrases!$I:$I,"&lt;&gt;")&gt;0,"ok","à faire")</f>
        <v/>
      </c>
      <c r="I751" s="30">
        <f>IF(COUNTIF(Synonymes!$A:$A,$A751)&gt;0,"ok","")</f>
        <v/>
      </c>
      <c r="J751" s="30">
        <f>COUNTIF(E751:H751,"à faire")</f>
        <v/>
      </c>
    </row>
    <row r="752">
      <c r="A752" s="30" t="inlineStr">
        <is>
          <t>v_gagner</t>
        </is>
      </c>
      <c r="B752" s="30">
        <f>IFERROR(INDEX(Mots!$B:$B,MATCH($A752,Mots!$A:$A,0)),"introuvable")</f>
        <v/>
      </c>
      <c r="C752" s="30">
        <f>IFERROR(INDEX(Mots!$S:$S,MATCH($A752,Mots!$A:$A,0)),"")</f>
        <v/>
      </c>
      <c r="D752" s="30">
        <f>IFERROR(COUNTA(INDEX(Mots!$J:$J,MATCH($A752,Mots!$A:$A,0)):INDEX(Mots!$P:$P,MATCH($A752,Mots!$A:$A,0))),0)</f>
        <v/>
      </c>
      <c r="E752" s="30">
        <f>IF(COUNTIF(Classement!$A:$A,$A752)&gt;0,"ok","à faire")</f>
        <v/>
      </c>
      <c r="F752" s="30">
        <f>IF(COUNTIF(Tags!$A:$A,$A752)&gt;0,"ok","à faire")</f>
        <v/>
      </c>
      <c r="G752" s="30">
        <f>IF(COUNTIF(Phrases!$A:$A,$A752)&gt;0,"ok","à faire")</f>
        <v/>
      </c>
      <c r="H752" s="30">
        <f>IF(COUNTIFS(Phrases!$A:$A,$A752,Phrases!$I:$I,"&lt;&gt;")&gt;0,"ok","à faire")</f>
        <v/>
      </c>
      <c r="I752" s="30">
        <f>IF(COUNTIF(Synonymes!$A:$A,$A752)&gt;0,"ok","")</f>
        <v/>
      </c>
      <c r="J752" s="30">
        <f>COUNTIF(E752:H752,"à faire")</f>
        <v/>
      </c>
    </row>
    <row r="753">
      <c r="A753" s="30" t="inlineStr">
        <is>
          <t>gautier_m</t>
        </is>
      </c>
      <c r="B753" s="30">
        <f>IFERROR(INDEX(Mots!$B:$B,MATCH($A753,Mots!$A:$A,0)),"introuvable")</f>
        <v/>
      </c>
      <c r="C753" s="30">
        <f>IFERROR(INDEX(Mots!$S:$S,MATCH($A753,Mots!$A:$A,0)),"")</f>
        <v/>
      </c>
      <c r="D753" s="30">
        <f>IFERROR(COUNTA(INDEX(Mots!$J:$J,MATCH($A753,Mots!$A:$A,0)):INDEX(Mots!$P:$P,MATCH($A753,Mots!$A:$A,0))),0)</f>
        <v/>
      </c>
      <c r="E753" s="30">
        <f>IF(COUNTIF(Classement!$A:$A,$A753)&gt;0,"ok","à faire")</f>
        <v/>
      </c>
      <c r="F753" s="30">
        <f>IF(COUNTIF(Tags!$A:$A,$A753)&gt;0,"ok","à faire")</f>
        <v/>
      </c>
      <c r="G753" s="30">
        <f>IF(COUNTIF(Phrases!$A:$A,$A753)&gt;0,"ok","à faire")</f>
        <v/>
      </c>
      <c r="H753" s="30">
        <f>IF(COUNTIFS(Phrases!$A:$A,$A753,Phrases!$I:$I,"&lt;&gt;")&gt;0,"ok","à faire")</f>
        <v/>
      </c>
      <c r="I753" s="30">
        <f>IF(COUNTIF(Synonymes!$A:$A,$A753)&gt;0,"ok","")</f>
        <v/>
      </c>
      <c r="J753" s="30">
        <f>COUNTIF(E753:H753,"à faire")</f>
        <v/>
      </c>
    </row>
    <row r="754">
      <c r="A754" s="30" t="inlineStr">
        <is>
          <t>gentiment</t>
        </is>
      </c>
      <c r="B754" s="30">
        <f>IFERROR(INDEX(Mots!$B:$B,MATCH($A754,Mots!$A:$A,0)),"introuvable")</f>
        <v/>
      </c>
      <c r="C754" s="30">
        <f>IFERROR(INDEX(Mots!$S:$S,MATCH($A754,Mots!$A:$A,0)),"")</f>
        <v/>
      </c>
      <c r="D754" s="30">
        <f>IFERROR(COUNTA(INDEX(Mots!$J:$J,MATCH($A754,Mots!$A:$A,0)):INDEX(Mots!$P:$P,MATCH($A754,Mots!$A:$A,0))),0)</f>
        <v/>
      </c>
      <c r="E754" s="30">
        <f>IF(COUNTIF(Classement!$A:$A,$A754)&gt;0,"ok","à faire")</f>
        <v/>
      </c>
      <c r="F754" s="30">
        <f>IF(COUNTIF(Tags!$A:$A,$A754)&gt;0,"ok","à faire")</f>
        <v/>
      </c>
      <c r="G754" s="30">
        <f>IF(COUNTIF(Phrases!$A:$A,$A754)&gt;0,"ok","à faire")</f>
        <v/>
      </c>
      <c r="H754" s="30">
        <f>IF(COUNTIFS(Phrases!$A:$A,$A754,Phrases!$I:$I,"&lt;&gt;")&gt;0,"ok","à faire")</f>
        <v/>
      </c>
      <c r="I754" s="30">
        <f>IF(COUNTIF(Synonymes!$A:$A,$A754)&gt;0,"ok","")</f>
        <v/>
      </c>
      <c r="J754" s="30">
        <f>COUNTIF(E754:H754,"à faire")</f>
        <v/>
      </c>
    </row>
    <row r="755">
      <c r="A755" s="30" t="inlineStr">
        <is>
          <t>v_gouter</t>
        </is>
      </c>
      <c r="B755" s="30">
        <f>IFERROR(INDEX(Mots!$B:$B,MATCH($A755,Mots!$A:$A,0)),"introuvable")</f>
        <v/>
      </c>
      <c r="C755" s="30">
        <f>IFERROR(INDEX(Mots!$S:$S,MATCH($A755,Mots!$A:$A,0)),"")</f>
        <v/>
      </c>
      <c r="D755" s="30">
        <f>IFERROR(COUNTA(INDEX(Mots!$J:$J,MATCH($A755,Mots!$A:$A,0)):INDEX(Mots!$P:$P,MATCH($A755,Mots!$A:$A,0))),0)</f>
        <v/>
      </c>
      <c r="E755" s="30">
        <f>IF(COUNTIF(Classement!$A:$A,$A755)&gt;0,"ok","à faire")</f>
        <v/>
      </c>
      <c r="F755" s="30">
        <f>IF(COUNTIF(Tags!$A:$A,$A755)&gt;0,"ok","à faire")</f>
        <v/>
      </c>
      <c r="G755" s="30">
        <f>IF(COUNTIF(Phrases!$A:$A,$A755)&gt;0,"ok","à faire")</f>
        <v/>
      </c>
      <c r="H755" s="30">
        <f>IF(COUNTIFS(Phrases!$A:$A,$A755,Phrases!$I:$I,"&lt;&gt;")&gt;0,"ok","à faire")</f>
        <v/>
      </c>
      <c r="I755" s="30">
        <f>IF(COUNTIF(Synonymes!$A:$A,$A755)&gt;0,"ok","")</f>
        <v/>
      </c>
      <c r="J755" s="30">
        <f>COUNTIF(E755:H755,"à faire")</f>
        <v/>
      </c>
    </row>
    <row r="756">
      <c r="A756" s="30" t="inlineStr">
        <is>
          <t>grand_maman_leontine</t>
        </is>
      </c>
      <c r="B756" s="30">
        <f>IFERROR(INDEX(Mots!$B:$B,MATCH($A756,Mots!$A:$A,0)),"introuvable")</f>
        <v/>
      </c>
      <c r="C756" s="30">
        <f>IFERROR(INDEX(Mots!$S:$S,MATCH($A756,Mots!$A:$A,0)),"")</f>
        <v/>
      </c>
      <c r="D756" s="30">
        <f>IFERROR(COUNTA(INDEX(Mots!$J:$J,MATCH($A756,Mots!$A:$A,0)):INDEX(Mots!$P:$P,MATCH($A756,Mots!$A:$A,0))),0)</f>
        <v/>
      </c>
      <c r="E756" s="30">
        <f>IF(COUNTIF(Classement!$A:$A,$A756)&gt;0,"ok","à faire")</f>
        <v/>
      </c>
      <c r="F756" s="30">
        <f>IF(COUNTIF(Tags!$A:$A,$A756)&gt;0,"ok","à faire")</f>
        <v/>
      </c>
      <c r="G756" s="30">
        <f>IF(COUNTIF(Phrases!$A:$A,$A756)&gt;0,"ok","à faire")</f>
        <v/>
      </c>
      <c r="H756" s="30">
        <f>IF(COUNTIFS(Phrases!$A:$A,$A756,Phrases!$I:$I,"&lt;&gt;")&gt;0,"ok","à faire")</f>
        <v/>
      </c>
      <c r="I756" s="30">
        <f>IF(COUNTIF(Synonymes!$A:$A,$A756)&gt;0,"ok","")</f>
        <v/>
      </c>
      <c r="J756" s="30">
        <f>COUNTIF(E756:H756,"à faire")</f>
        <v/>
      </c>
    </row>
    <row r="757">
      <c r="A757" s="30" t="inlineStr">
        <is>
          <t>gras</t>
        </is>
      </c>
      <c r="B757" s="30">
        <f>IFERROR(INDEX(Mots!$B:$B,MATCH($A757,Mots!$A:$A,0)),"introuvable")</f>
        <v/>
      </c>
      <c r="C757" s="30">
        <f>IFERROR(INDEX(Mots!$S:$S,MATCH($A757,Mots!$A:$A,0)),"")</f>
        <v/>
      </c>
      <c r="D757" s="30">
        <f>IFERROR(COUNTA(INDEX(Mots!$J:$J,MATCH($A757,Mots!$A:$A,0)):INDEX(Mots!$P:$P,MATCH($A757,Mots!$A:$A,0))),0)</f>
        <v/>
      </c>
      <c r="E757" s="30">
        <f>IF(COUNTIF(Classement!$A:$A,$A757)&gt;0,"ok","à faire")</f>
        <v/>
      </c>
      <c r="F757" s="30">
        <f>IF(COUNTIF(Tags!$A:$A,$A757)&gt;0,"ok","à faire")</f>
        <v/>
      </c>
      <c r="G757" s="30">
        <f>IF(COUNTIF(Phrases!$A:$A,$A757)&gt;0,"ok","à faire")</f>
        <v/>
      </c>
      <c r="H757" s="30">
        <f>IF(COUNTIFS(Phrases!$A:$A,$A757,Phrases!$I:$I,"&lt;&gt;")&gt;0,"ok","à faire")</f>
        <v/>
      </c>
      <c r="I757" s="30">
        <f>IF(COUNTIF(Synonymes!$A:$A,$A757)&gt;0,"ok","")</f>
        <v/>
      </c>
      <c r="J757" s="30">
        <f>COUNTIF(E757:H757,"à faire")</f>
        <v/>
      </c>
    </row>
    <row r="758">
      <c r="A758" s="30" t="inlineStr">
        <is>
          <t>gratuit</t>
        </is>
      </c>
      <c r="B758" s="30">
        <f>IFERROR(INDEX(Mots!$B:$B,MATCH($A758,Mots!$A:$A,0)),"introuvable")</f>
        <v/>
      </c>
      <c r="C758" s="30">
        <f>IFERROR(INDEX(Mots!$S:$S,MATCH($A758,Mots!$A:$A,0)),"")</f>
        <v/>
      </c>
      <c r="D758" s="30">
        <f>IFERROR(COUNTA(INDEX(Mots!$J:$J,MATCH($A758,Mots!$A:$A,0)):INDEX(Mots!$P:$P,MATCH($A758,Mots!$A:$A,0))),0)</f>
        <v/>
      </c>
      <c r="E758" s="30">
        <f>IF(COUNTIF(Classement!$A:$A,$A758)&gt;0,"ok","à faire")</f>
        <v/>
      </c>
      <c r="F758" s="30">
        <f>IF(COUNTIF(Tags!$A:$A,$A758)&gt;0,"ok","à faire")</f>
        <v/>
      </c>
      <c r="G758" s="30">
        <f>IF(COUNTIF(Phrases!$A:$A,$A758)&gt;0,"ok","à faire")</f>
        <v/>
      </c>
      <c r="H758" s="30">
        <f>IF(COUNTIFS(Phrases!$A:$A,$A758,Phrases!$I:$I,"&lt;&gt;")&gt;0,"ok","à faire")</f>
        <v/>
      </c>
      <c r="I758" s="30">
        <f>IF(COUNTIF(Synonymes!$A:$A,$A758)&gt;0,"ok","")</f>
        <v/>
      </c>
      <c r="J758" s="30">
        <f>COUNTIF(E758:H758,"à faire")</f>
        <v/>
      </c>
    </row>
    <row r="759">
      <c r="A759" s="30" t="inlineStr">
        <is>
          <t>a_habituel</t>
        </is>
      </c>
      <c r="B759" s="30">
        <f>IFERROR(INDEX(Mots!$B:$B,MATCH($A759,Mots!$A:$A,0)),"introuvable")</f>
        <v/>
      </c>
      <c r="C759" s="30">
        <f>IFERROR(INDEX(Mots!$S:$S,MATCH($A759,Mots!$A:$A,0)),"")</f>
        <v/>
      </c>
      <c r="D759" s="30">
        <f>IFERROR(COUNTA(INDEX(Mots!$J:$J,MATCH($A759,Mots!$A:$A,0)):INDEX(Mots!$P:$P,MATCH($A759,Mots!$A:$A,0))),0)</f>
        <v/>
      </c>
      <c r="E759" s="30">
        <f>IF(COUNTIF(Classement!$A:$A,$A759)&gt;0,"ok","à faire")</f>
        <v/>
      </c>
      <c r="F759" s="30">
        <f>IF(COUNTIF(Tags!$A:$A,$A759)&gt;0,"ok","à faire")</f>
        <v/>
      </c>
      <c r="G759" s="30">
        <f>IF(COUNTIF(Phrases!$A:$A,$A759)&gt;0,"ok","à faire")</f>
        <v/>
      </c>
      <c r="H759" s="30">
        <f>IF(COUNTIFS(Phrases!$A:$A,$A759,Phrases!$I:$I,"&lt;&gt;")&gt;0,"ok","à faire")</f>
        <v/>
      </c>
      <c r="I759" s="30">
        <f>IF(COUNTIF(Synonymes!$A:$A,$A759)&gt;0,"ok","")</f>
        <v/>
      </c>
      <c r="J759" s="30">
        <f>COUNTIF(E759:H759,"à faire")</f>
        <v/>
      </c>
    </row>
    <row r="760">
      <c r="A760" s="30" t="inlineStr">
        <is>
          <t>heureux</t>
        </is>
      </c>
      <c r="B760" s="30">
        <f>IFERROR(INDEX(Mots!$B:$B,MATCH($A760,Mots!$A:$A,0)),"introuvable")</f>
        <v/>
      </c>
      <c r="C760" s="30">
        <f>IFERROR(INDEX(Mots!$S:$S,MATCH($A760,Mots!$A:$A,0)),"")</f>
        <v/>
      </c>
      <c r="D760" s="30">
        <f>IFERROR(COUNTA(INDEX(Mots!$J:$J,MATCH($A760,Mots!$A:$A,0)):INDEX(Mots!$P:$P,MATCH($A760,Mots!$A:$A,0))),0)</f>
        <v/>
      </c>
      <c r="E760" s="30">
        <f>IF(COUNTIF(Classement!$A:$A,$A760)&gt;0,"ok","à faire")</f>
        <v/>
      </c>
      <c r="F760" s="30">
        <f>IF(COUNTIF(Tags!$A:$A,$A760)&gt;0,"ok","à faire")</f>
        <v/>
      </c>
      <c r="G760" s="30">
        <f>IF(COUNTIF(Phrases!$A:$A,$A760)&gt;0,"ok","à faire")</f>
        <v/>
      </c>
      <c r="H760" s="30">
        <f>IF(COUNTIFS(Phrases!$A:$A,$A760,Phrases!$I:$I,"&lt;&gt;")&gt;0,"ok","à faire")</f>
        <v/>
      </c>
      <c r="I760" s="30">
        <f>IF(COUNTIF(Synonymes!$A:$A,$A760)&gt;0,"ok","")</f>
        <v/>
      </c>
      <c r="J760" s="30">
        <f>COUNTIF(E760:H760,"à faire")</f>
        <v/>
      </c>
    </row>
    <row r="761">
      <c r="A761" s="30" t="inlineStr">
        <is>
          <t>a_humain</t>
        </is>
      </c>
      <c r="B761" s="30">
        <f>IFERROR(INDEX(Mots!$B:$B,MATCH($A761,Mots!$A:$A,0)),"introuvable")</f>
        <v/>
      </c>
      <c r="C761" s="30">
        <f>IFERROR(INDEX(Mots!$S:$S,MATCH($A761,Mots!$A:$A,0)),"")</f>
        <v/>
      </c>
      <c r="D761" s="30">
        <f>IFERROR(COUNTA(INDEX(Mots!$J:$J,MATCH($A761,Mots!$A:$A,0)):INDEX(Mots!$P:$P,MATCH($A761,Mots!$A:$A,0))),0)</f>
        <v/>
      </c>
      <c r="E761" s="30">
        <f>IF(COUNTIF(Classement!$A:$A,$A761)&gt;0,"ok","à faire")</f>
        <v/>
      </c>
      <c r="F761" s="30">
        <f>IF(COUNTIF(Tags!$A:$A,$A761)&gt;0,"ok","à faire")</f>
        <v/>
      </c>
      <c r="G761" s="30">
        <f>IF(COUNTIF(Phrases!$A:$A,$A761)&gt;0,"ok","à faire")</f>
        <v/>
      </c>
      <c r="H761" s="30">
        <f>IF(COUNTIFS(Phrases!$A:$A,$A761,Phrases!$I:$I,"&lt;&gt;")&gt;0,"ok","à faire")</f>
        <v/>
      </c>
      <c r="I761" s="30">
        <f>IF(COUNTIF(Synonymes!$A:$A,$A761)&gt;0,"ok","")</f>
        <v/>
      </c>
      <c r="J761" s="30">
        <f>COUNTIF(E761:H761,"à faire")</f>
        <v/>
      </c>
    </row>
    <row r="762">
      <c r="A762" s="30" t="inlineStr">
        <is>
          <t>ici</t>
        </is>
      </c>
      <c r="B762" s="30">
        <f>IFERROR(INDEX(Mots!$B:$B,MATCH($A762,Mots!$A:$A,0)),"introuvable")</f>
        <v/>
      </c>
      <c r="C762" s="30">
        <f>IFERROR(INDEX(Mots!$S:$S,MATCH($A762,Mots!$A:$A,0)),"")</f>
        <v/>
      </c>
      <c r="D762" s="30">
        <f>IFERROR(COUNTA(INDEX(Mots!$J:$J,MATCH($A762,Mots!$A:$A,0)):INDEX(Mots!$P:$P,MATCH($A762,Mots!$A:$A,0))),0)</f>
        <v/>
      </c>
      <c r="E762" s="30">
        <f>IF(COUNTIF(Classement!$A:$A,$A762)&gt;0,"ok","à faire")</f>
        <v/>
      </c>
      <c r="F762" s="30">
        <f>IF(COUNTIF(Tags!$A:$A,$A762)&gt;0,"ok","à faire")</f>
        <v/>
      </c>
      <c r="G762" s="30">
        <f>IF(COUNTIF(Phrases!$A:$A,$A762)&gt;0,"ok","à faire")</f>
        <v/>
      </c>
      <c r="H762" s="30">
        <f>IF(COUNTIFS(Phrases!$A:$A,$A762,Phrases!$I:$I,"&lt;&gt;")&gt;0,"ok","à faire")</f>
        <v/>
      </c>
      <c r="I762" s="30">
        <f>IF(COUNTIF(Synonymes!$A:$A,$A762)&gt;0,"ok","")</f>
        <v/>
      </c>
      <c r="J762" s="30">
        <f>COUNTIF(E762:H762,"à faire")</f>
        <v/>
      </c>
    </row>
    <row r="763">
      <c r="A763" s="30" t="inlineStr">
        <is>
          <t>v_imaginer</t>
        </is>
      </c>
      <c r="B763" s="30">
        <f>IFERROR(INDEX(Mots!$B:$B,MATCH($A763,Mots!$A:$A,0)),"introuvable")</f>
        <v/>
      </c>
      <c r="C763" s="30">
        <f>IFERROR(INDEX(Mots!$S:$S,MATCH($A763,Mots!$A:$A,0)),"")</f>
        <v/>
      </c>
      <c r="D763" s="30">
        <f>IFERROR(COUNTA(INDEX(Mots!$J:$J,MATCH($A763,Mots!$A:$A,0)):INDEX(Mots!$P:$P,MATCH($A763,Mots!$A:$A,0))),0)</f>
        <v/>
      </c>
      <c r="E763" s="30">
        <f>IF(COUNTIF(Classement!$A:$A,$A763)&gt;0,"ok","à faire")</f>
        <v/>
      </c>
      <c r="F763" s="30">
        <f>IF(COUNTIF(Tags!$A:$A,$A763)&gt;0,"ok","à faire")</f>
        <v/>
      </c>
      <c r="G763" s="30">
        <f>IF(COUNTIF(Phrases!$A:$A,$A763)&gt;0,"ok","à faire")</f>
        <v/>
      </c>
      <c r="H763" s="30">
        <f>IF(COUNTIFS(Phrases!$A:$A,$A763,Phrases!$I:$I,"&lt;&gt;")&gt;0,"ok","à faire")</f>
        <v/>
      </c>
      <c r="I763" s="30">
        <f>IF(COUNTIF(Synonymes!$A:$A,$A763)&gt;0,"ok","")</f>
        <v/>
      </c>
      <c r="J763" s="30">
        <f>COUNTIF(E763:H763,"à faire")</f>
        <v/>
      </c>
    </row>
    <row r="764">
      <c r="A764" s="30" t="inlineStr">
        <is>
          <t>a_important</t>
        </is>
      </c>
      <c r="B764" s="30">
        <f>IFERROR(INDEX(Mots!$B:$B,MATCH($A764,Mots!$A:$A,0)),"introuvable")</f>
        <v/>
      </c>
      <c r="C764" s="30">
        <f>IFERROR(INDEX(Mots!$S:$S,MATCH($A764,Mots!$A:$A,0)),"")</f>
        <v/>
      </c>
      <c r="D764" s="30">
        <f>IFERROR(COUNTA(INDEX(Mots!$J:$J,MATCH($A764,Mots!$A:$A,0)):INDEX(Mots!$P:$P,MATCH($A764,Mots!$A:$A,0))),0)</f>
        <v/>
      </c>
      <c r="E764" s="30">
        <f>IF(COUNTIF(Classement!$A:$A,$A764)&gt;0,"ok","à faire")</f>
        <v/>
      </c>
      <c r="F764" s="30">
        <f>IF(COUNTIF(Tags!$A:$A,$A764)&gt;0,"ok","à faire")</f>
        <v/>
      </c>
      <c r="G764" s="30">
        <f>IF(COUNTIF(Phrases!$A:$A,$A764)&gt;0,"ok","à faire")</f>
        <v/>
      </c>
      <c r="H764" s="30">
        <f>IF(COUNTIFS(Phrases!$A:$A,$A764,Phrases!$I:$I,"&lt;&gt;")&gt;0,"ok","à faire")</f>
        <v/>
      </c>
      <c r="I764" s="30">
        <f>IF(COUNTIF(Synonymes!$A:$A,$A764)&gt;0,"ok","")</f>
        <v/>
      </c>
      <c r="J764" s="30">
        <f>COUNTIF(E764:H764,"à faire")</f>
        <v/>
      </c>
    </row>
    <row r="765">
      <c r="A765" s="30" t="inlineStr">
        <is>
          <t>interieur</t>
        </is>
      </c>
      <c r="B765" s="30">
        <f>IFERROR(INDEX(Mots!$B:$B,MATCH($A765,Mots!$A:$A,0)),"introuvable")</f>
        <v/>
      </c>
      <c r="C765" s="30">
        <f>IFERROR(INDEX(Mots!$S:$S,MATCH($A765,Mots!$A:$A,0)),"")</f>
        <v/>
      </c>
      <c r="D765" s="30">
        <f>IFERROR(COUNTA(INDEX(Mots!$J:$J,MATCH($A765,Mots!$A:$A,0)):INDEX(Mots!$P:$P,MATCH($A765,Mots!$A:$A,0))),0)</f>
        <v/>
      </c>
      <c r="E765" s="30">
        <f>IF(COUNTIF(Classement!$A:$A,$A765)&gt;0,"ok","à faire")</f>
        <v/>
      </c>
      <c r="F765" s="30">
        <f>IF(COUNTIF(Tags!$A:$A,$A765)&gt;0,"ok","à faire")</f>
        <v/>
      </c>
      <c r="G765" s="30">
        <f>IF(COUNTIF(Phrases!$A:$A,$A765)&gt;0,"ok","à faire")</f>
        <v/>
      </c>
      <c r="H765" s="30">
        <f>IF(COUNTIFS(Phrases!$A:$A,$A765,Phrases!$I:$I,"&lt;&gt;")&gt;0,"ok","à faire")</f>
        <v/>
      </c>
      <c r="I765" s="30">
        <f>IF(COUNTIF(Synonymes!$A:$A,$A765)&gt;0,"ok","")</f>
        <v/>
      </c>
      <c r="J765" s="30">
        <f>COUNTIF(E765:H765,"à faire")</f>
        <v/>
      </c>
    </row>
    <row r="766">
      <c r="A766" s="30" t="inlineStr">
        <is>
          <t>invisible</t>
        </is>
      </c>
      <c r="B766" s="30">
        <f>IFERROR(INDEX(Mots!$B:$B,MATCH($A766,Mots!$A:$A,0)),"introuvable")</f>
        <v/>
      </c>
      <c r="C766" s="30">
        <f>IFERROR(INDEX(Mots!$S:$S,MATCH($A766,Mots!$A:$A,0)),"")</f>
        <v/>
      </c>
      <c r="D766" s="30">
        <f>IFERROR(COUNTA(INDEX(Mots!$J:$J,MATCH($A766,Mots!$A:$A,0)):INDEX(Mots!$P:$P,MATCH($A766,Mots!$A:$A,0))),0)</f>
        <v/>
      </c>
      <c r="E766" s="30">
        <f>IF(COUNTIF(Classement!$A:$A,$A766)&gt;0,"ok","à faire")</f>
        <v/>
      </c>
      <c r="F766" s="30">
        <f>IF(COUNTIF(Tags!$A:$A,$A766)&gt;0,"ok","à faire")</f>
        <v/>
      </c>
      <c r="G766" s="30">
        <f>IF(COUNTIF(Phrases!$A:$A,$A766)&gt;0,"ok","à faire")</f>
        <v/>
      </c>
      <c r="H766" s="30">
        <f>IF(COUNTIFS(Phrases!$A:$A,$A766,Phrases!$I:$I,"&lt;&gt;")&gt;0,"ok","à faire")</f>
        <v/>
      </c>
      <c r="I766" s="30">
        <f>IF(COUNTIF(Synonymes!$A:$A,$A766)&gt;0,"ok","")</f>
        <v/>
      </c>
      <c r="J766" s="30">
        <f>COUNTIF(E766:H766,"à faire")</f>
        <v/>
      </c>
    </row>
    <row r="767">
      <c r="A767" s="30" t="inlineStr">
        <is>
          <t>irrite</t>
        </is>
      </c>
      <c r="B767" s="30">
        <f>IFERROR(INDEX(Mots!$B:$B,MATCH($A767,Mots!$A:$A,0)),"introuvable")</f>
        <v/>
      </c>
      <c r="C767" s="30">
        <f>IFERROR(INDEX(Mots!$S:$S,MATCH($A767,Mots!$A:$A,0)),"")</f>
        <v/>
      </c>
      <c r="D767" s="30">
        <f>IFERROR(COUNTA(INDEX(Mots!$J:$J,MATCH($A767,Mots!$A:$A,0)):INDEX(Mots!$P:$P,MATCH($A767,Mots!$A:$A,0))),0)</f>
        <v/>
      </c>
      <c r="E767" s="30">
        <f>IF(COUNTIF(Classement!$A:$A,$A767)&gt;0,"ok","à faire")</f>
        <v/>
      </c>
      <c r="F767" s="30">
        <f>IF(COUNTIF(Tags!$A:$A,$A767)&gt;0,"ok","à faire")</f>
        <v/>
      </c>
      <c r="G767" s="30">
        <f>IF(COUNTIF(Phrases!$A:$A,$A767)&gt;0,"ok","à faire")</f>
        <v/>
      </c>
      <c r="H767" s="30">
        <f>IF(COUNTIFS(Phrases!$A:$A,$A767,Phrases!$I:$I,"&lt;&gt;")&gt;0,"ok","à faire")</f>
        <v/>
      </c>
      <c r="I767" s="30">
        <f>IF(COUNTIF(Synonymes!$A:$A,$A767)&gt;0,"ok","")</f>
        <v/>
      </c>
      <c r="J767" s="30">
        <f>COUNTIF(E767:H767,"à faire")</f>
        <v/>
      </c>
    </row>
    <row r="768">
      <c r="A768" s="30" t="inlineStr">
        <is>
          <t>v_jeter</t>
        </is>
      </c>
      <c r="B768" s="30">
        <f>IFERROR(INDEX(Mots!$B:$B,MATCH($A768,Mots!$A:$A,0)),"introuvable")</f>
        <v/>
      </c>
      <c r="C768" s="30">
        <f>IFERROR(INDEX(Mots!$S:$S,MATCH($A768,Mots!$A:$A,0)),"")</f>
        <v/>
      </c>
      <c r="D768" s="30">
        <f>IFERROR(COUNTA(INDEX(Mots!$J:$J,MATCH($A768,Mots!$A:$A,0)):INDEX(Mots!$P:$P,MATCH($A768,Mots!$A:$A,0))),0)</f>
        <v/>
      </c>
      <c r="E768" s="30">
        <f>IF(COUNTIF(Classement!$A:$A,$A768)&gt;0,"ok","à faire")</f>
        <v/>
      </c>
      <c r="F768" s="30">
        <f>IF(COUNTIF(Tags!$A:$A,$A768)&gt;0,"ok","à faire")</f>
        <v/>
      </c>
      <c r="G768" s="30">
        <f>IF(COUNTIF(Phrases!$A:$A,$A768)&gt;0,"ok","à faire")</f>
        <v/>
      </c>
      <c r="H768" s="30">
        <f>IF(COUNTIFS(Phrases!$A:$A,$A768,Phrases!$I:$I,"&lt;&gt;")&gt;0,"ok","à faire")</f>
        <v/>
      </c>
      <c r="I768" s="30">
        <f>IF(COUNTIF(Synonymes!$A:$A,$A768)&gt;0,"ok","")</f>
        <v/>
      </c>
      <c r="J768" s="30">
        <f>COUNTIF(E768:H768,"à faire")</f>
        <v/>
      </c>
    </row>
    <row r="769">
      <c r="A769" s="30" t="inlineStr">
        <is>
          <t>v_jouer</t>
        </is>
      </c>
      <c r="B769" s="30">
        <f>IFERROR(INDEX(Mots!$B:$B,MATCH($A769,Mots!$A:$A,0)),"introuvable")</f>
        <v/>
      </c>
      <c r="C769" s="30">
        <f>IFERROR(INDEX(Mots!$S:$S,MATCH($A769,Mots!$A:$A,0)),"")</f>
        <v/>
      </c>
      <c r="D769" s="30">
        <f>IFERROR(COUNTA(INDEX(Mots!$J:$J,MATCH($A769,Mots!$A:$A,0)):INDEX(Mots!$P:$P,MATCH($A769,Mots!$A:$A,0))),0)</f>
        <v/>
      </c>
      <c r="E769" s="30">
        <f>IF(COUNTIF(Classement!$A:$A,$A769)&gt;0,"ok","à faire")</f>
        <v/>
      </c>
      <c r="F769" s="30">
        <f>IF(COUNTIF(Tags!$A:$A,$A769)&gt;0,"ok","à faire")</f>
        <v/>
      </c>
      <c r="G769" s="30">
        <f>IF(COUNTIF(Phrases!$A:$A,$A769)&gt;0,"ok","à faire")</f>
        <v/>
      </c>
      <c r="H769" s="30">
        <f>IF(COUNTIFS(Phrases!$A:$A,$A769,Phrases!$I:$I,"&lt;&gt;")&gt;0,"ok","à faire")</f>
        <v/>
      </c>
      <c r="I769" s="30">
        <f>IF(COUNTIF(Synonymes!$A:$A,$A769)&gt;0,"ok","")</f>
        <v/>
      </c>
      <c r="J769" s="30">
        <f>COUNTIF(E769:H769,"à faire")</f>
        <v/>
      </c>
    </row>
    <row r="770">
      <c r="A770" s="30" t="inlineStr">
        <is>
          <t>joyeux</t>
        </is>
      </c>
      <c r="B770" s="30">
        <f>IFERROR(INDEX(Mots!$B:$B,MATCH($A770,Mots!$A:$A,0)),"introuvable")</f>
        <v/>
      </c>
      <c r="C770" s="30">
        <f>IFERROR(INDEX(Mots!$S:$S,MATCH($A770,Mots!$A:$A,0)),"")</f>
        <v/>
      </c>
      <c r="D770" s="30">
        <f>IFERROR(COUNTA(INDEX(Mots!$J:$J,MATCH($A770,Mots!$A:$A,0)):INDEX(Mots!$P:$P,MATCH($A770,Mots!$A:$A,0))),0)</f>
        <v/>
      </c>
      <c r="E770" s="30">
        <f>IF(COUNTIF(Classement!$A:$A,$A770)&gt;0,"ok","à faire")</f>
        <v/>
      </c>
      <c r="F770" s="30">
        <f>IF(COUNTIF(Tags!$A:$A,$A770)&gt;0,"ok","à faire")</f>
        <v/>
      </c>
      <c r="G770" s="30">
        <f>IF(COUNTIF(Phrases!$A:$A,$A770)&gt;0,"ok","à faire")</f>
        <v/>
      </c>
      <c r="H770" s="30">
        <f>IF(COUNTIFS(Phrases!$A:$A,$A770,Phrases!$I:$I,"&lt;&gt;")&gt;0,"ok","à faire")</f>
        <v/>
      </c>
      <c r="I770" s="30">
        <f>IF(COUNTIF(Synonymes!$A:$A,$A770)&gt;0,"ok","")</f>
        <v/>
      </c>
      <c r="J770" s="30">
        <f>COUNTIF(E770:H770,"à faire")</f>
        <v/>
      </c>
    </row>
    <row r="771">
      <c r="A771" s="30" t="inlineStr">
        <is>
          <t>juste</t>
        </is>
      </c>
      <c r="B771" s="30">
        <f>IFERROR(INDEX(Mots!$B:$B,MATCH($A771,Mots!$A:$A,0)),"introuvable")</f>
        <v/>
      </c>
      <c r="C771" s="30">
        <f>IFERROR(INDEX(Mots!$S:$S,MATCH($A771,Mots!$A:$A,0)),"")</f>
        <v/>
      </c>
      <c r="D771" s="30">
        <f>IFERROR(COUNTA(INDEX(Mots!$J:$J,MATCH($A771,Mots!$A:$A,0)):INDEX(Mots!$P:$P,MATCH($A771,Mots!$A:$A,0))),0)</f>
        <v/>
      </c>
      <c r="E771" s="30">
        <f>IF(COUNTIF(Classement!$A:$A,$A771)&gt;0,"ok","à faire")</f>
        <v/>
      </c>
      <c r="F771" s="30">
        <f>IF(COUNTIF(Tags!$A:$A,$A771)&gt;0,"ok","à faire")</f>
        <v/>
      </c>
      <c r="G771" s="30">
        <f>IF(COUNTIF(Phrases!$A:$A,$A771)&gt;0,"ok","à faire")</f>
        <v/>
      </c>
      <c r="H771" s="30">
        <f>IF(COUNTIFS(Phrases!$A:$A,$A771,Phrases!$I:$I,"&lt;&gt;")&gt;0,"ok","à faire")</f>
        <v/>
      </c>
      <c r="I771" s="30">
        <f>IF(COUNTIF(Synonymes!$A:$A,$A771)&gt;0,"ok","")</f>
        <v/>
      </c>
      <c r="J771" s="30">
        <f>COUNTIF(E771:H771,"à faire")</f>
        <v/>
      </c>
    </row>
    <row r="772">
      <c r="A772" s="30" t="inlineStr">
        <is>
          <t>la</t>
        </is>
      </c>
      <c r="B772" s="30">
        <f>IFERROR(INDEX(Mots!$B:$B,MATCH($A772,Mots!$A:$A,0)),"introuvable")</f>
        <v/>
      </c>
      <c r="C772" s="30">
        <f>IFERROR(INDEX(Mots!$S:$S,MATCH($A772,Mots!$A:$A,0)),"")</f>
        <v/>
      </c>
      <c r="D772" s="30">
        <f>IFERROR(COUNTA(INDEX(Mots!$J:$J,MATCH($A772,Mots!$A:$A,0)):INDEX(Mots!$P:$P,MATCH($A772,Mots!$A:$A,0))),0)</f>
        <v/>
      </c>
      <c r="E772" s="30">
        <f>IF(COUNTIF(Classement!$A:$A,$A772)&gt;0,"ok","à faire")</f>
        <v/>
      </c>
      <c r="F772" s="30">
        <f>IF(COUNTIF(Tags!$A:$A,$A772)&gt;0,"ok","à faire")</f>
        <v/>
      </c>
      <c r="G772" s="30">
        <f>IF(COUNTIF(Phrases!$A:$A,$A772)&gt;0,"ok","à faire")</f>
        <v/>
      </c>
      <c r="H772" s="30">
        <f>IF(COUNTIFS(Phrases!$A:$A,$A772,Phrases!$I:$I,"&lt;&gt;")&gt;0,"ok","à faire")</f>
        <v/>
      </c>
      <c r="I772" s="30">
        <f>IF(COUNTIF(Synonymes!$A:$A,$A772)&gt;0,"ok","")</f>
        <v/>
      </c>
      <c r="J772" s="30">
        <f>COUNTIF(E772:H772,"à faire")</f>
        <v/>
      </c>
    </row>
    <row r="773">
      <c r="A773" s="30" t="inlineStr">
        <is>
          <t>bagarre</t>
        </is>
      </c>
      <c r="B773" s="30">
        <f>IFERROR(INDEX(Mots!$B:$B,MATCH($A773,Mots!$A:$A,0)),"introuvable")</f>
        <v/>
      </c>
      <c r="C773" s="30">
        <f>IFERROR(INDEX(Mots!$S:$S,MATCH($A773,Mots!$A:$A,0)),"")</f>
        <v/>
      </c>
      <c r="D773" s="30">
        <f>IFERROR(COUNTA(INDEX(Mots!$J:$J,MATCH($A773,Mots!$A:$A,0)):INDEX(Mots!$P:$P,MATCH($A773,Mots!$A:$A,0))),0)</f>
        <v/>
      </c>
      <c r="E773" s="30">
        <f>IF(COUNTIF(Classement!$A:$A,$A773)&gt;0,"ok","à faire")</f>
        <v/>
      </c>
      <c r="F773" s="30">
        <f>IF(COUNTIF(Tags!$A:$A,$A773)&gt;0,"ok","à faire")</f>
        <v/>
      </c>
      <c r="G773" s="30">
        <f>IF(COUNTIF(Phrases!$A:$A,$A773)&gt;0,"ok","à faire")</f>
        <v/>
      </c>
      <c r="H773" s="30">
        <f>IF(COUNTIFS(Phrases!$A:$A,$A773,Phrases!$I:$I,"&lt;&gt;")&gt;0,"ok","à faire")</f>
        <v/>
      </c>
      <c r="I773" s="30">
        <f>IF(COUNTIF(Synonymes!$A:$A,$A773)&gt;0,"ok","")</f>
        <v/>
      </c>
      <c r="J773" s="30">
        <f>COUNTIF(E773:H773,"à faire")</f>
        <v/>
      </c>
    </row>
    <row r="774">
      <c r="A774" s="30" t="inlineStr">
        <is>
          <t>balance</t>
        </is>
      </c>
      <c r="B774" s="30">
        <f>IFERROR(INDEX(Mots!$B:$B,MATCH($A774,Mots!$A:$A,0)),"introuvable")</f>
        <v/>
      </c>
      <c r="C774" s="30">
        <f>IFERROR(INDEX(Mots!$S:$S,MATCH($A774,Mots!$A:$A,0)),"")</f>
        <v/>
      </c>
      <c r="D774" s="30">
        <f>IFERROR(COUNTA(INDEX(Mots!$J:$J,MATCH($A774,Mots!$A:$A,0)):INDEX(Mots!$P:$P,MATCH($A774,Mots!$A:$A,0))),0)</f>
        <v/>
      </c>
      <c r="E774" s="30">
        <f>IF(COUNTIF(Classement!$A:$A,$A774)&gt;0,"ok","à faire")</f>
        <v/>
      </c>
      <c r="F774" s="30">
        <f>IF(COUNTIF(Tags!$A:$A,$A774)&gt;0,"ok","à faire")</f>
        <v/>
      </c>
      <c r="G774" s="30">
        <f>IF(COUNTIF(Phrases!$A:$A,$A774)&gt;0,"ok","à faire")</f>
        <v/>
      </c>
      <c r="H774" s="30">
        <f>IF(COUNTIFS(Phrases!$A:$A,$A774,Phrases!$I:$I,"&lt;&gt;")&gt;0,"ok","à faire")</f>
        <v/>
      </c>
      <c r="I774" s="30">
        <f>IF(COUNTIF(Synonymes!$A:$A,$A774)&gt;0,"ok","")</f>
        <v/>
      </c>
      <c r="J774" s="30">
        <f>COUNTIF(E774:H774,"à faire")</f>
        <v/>
      </c>
    </row>
    <row r="775">
      <c r="A775" s="30" t="inlineStr">
        <is>
          <t>balle</t>
        </is>
      </c>
      <c r="B775" s="30">
        <f>IFERROR(INDEX(Mots!$B:$B,MATCH($A775,Mots!$A:$A,0)),"introuvable")</f>
        <v/>
      </c>
      <c r="C775" s="30">
        <f>IFERROR(INDEX(Mots!$S:$S,MATCH($A775,Mots!$A:$A,0)),"")</f>
        <v/>
      </c>
      <c r="D775" s="30">
        <f>IFERROR(COUNTA(INDEX(Mots!$J:$J,MATCH($A775,Mots!$A:$A,0)):INDEX(Mots!$P:$P,MATCH($A775,Mots!$A:$A,0))),0)</f>
        <v/>
      </c>
      <c r="E775" s="30">
        <f>IF(COUNTIF(Classement!$A:$A,$A775)&gt;0,"ok","à faire")</f>
        <v/>
      </c>
      <c r="F775" s="30">
        <f>IF(COUNTIF(Tags!$A:$A,$A775)&gt;0,"ok","à faire")</f>
        <v/>
      </c>
      <c r="G775" s="30">
        <f>IF(COUNTIF(Phrases!$A:$A,$A775)&gt;0,"ok","à faire")</f>
        <v/>
      </c>
      <c r="H775" s="30">
        <f>IF(COUNTIFS(Phrases!$A:$A,$A775,Phrases!$I:$I,"&lt;&gt;")&gt;0,"ok","à faire")</f>
        <v/>
      </c>
      <c r="I775" s="30">
        <f>IF(COUNTIF(Synonymes!$A:$A,$A775)&gt;0,"ok","")</f>
        <v/>
      </c>
      <c r="J775" s="30">
        <f>COUNTIF(E775:H775,"à faire")</f>
        <v/>
      </c>
    </row>
    <row r="776">
      <c r="A776" s="30" t="inlineStr">
        <is>
          <t>bande</t>
        </is>
      </c>
      <c r="B776" s="30">
        <f>IFERROR(INDEX(Mots!$B:$B,MATCH($A776,Mots!$A:$A,0)),"introuvable")</f>
        <v/>
      </c>
      <c r="C776" s="30">
        <f>IFERROR(INDEX(Mots!$S:$S,MATCH($A776,Mots!$A:$A,0)),"")</f>
        <v/>
      </c>
      <c r="D776" s="30">
        <f>IFERROR(COUNTA(INDEX(Mots!$J:$J,MATCH($A776,Mots!$A:$A,0)):INDEX(Mots!$P:$P,MATCH($A776,Mots!$A:$A,0))),0)</f>
        <v/>
      </c>
      <c r="E776" s="30">
        <f>IF(COUNTIF(Classement!$A:$A,$A776)&gt;0,"ok","à faire")</f>
        <v/>
      </c>
      <c r="F776" s="30">
        <f>IF(COUNTIF(Tags!$A:$A,$A776)&gt;0,"ok","à faire")</f>
        <v/>
      </c>
      <c r="G776" s="30">
        <f>IF(COUNTIF(Phrases!$A:$A,$A776)&gt;0,"ok","à faire")</f>
        <v/>
      </c>
      <c r="H776" s="30">
        <f>IF(COUNTIFS(Phrases!$A:$A,$A776,Phrases!$I:$I,"&lt;&gt;")&gt;0,"ok","à faire")</f>
        <v/>
      </c>
      <c r="I776" s="30">
        <f>IF(COUNTIF(Synonymes!$A:$A,$A776)&gt;0,"ok","")</f>
        <v/>
      </c>
      <c r="J776" s="30">
        <f>COUNTIF(E776:H776,"à faire")</f>
        <v/>
      </c>
    </row>
    <row r="777">
      <c r="A777" s="30" t="inlineStr">
        <is>
          <t>bataille</t>
        </is>
      </c>
      <c r="B777" s="30">
        <f>IFERROR(INDEX(Mots!$B:$B,MATCH($A777,Mots!$A:$A,0)),"introuvable")</f>
        <v/>
      </c>
      <c r="C777" s="30">
        <f>IFERROR(INDEX(Mots!$S:$S,MATCH($A777,Mots!$A:$A,0)),"")</f>
        <v/>
      </c>
      <c r="D777" s="30">
        <f>IFERROR(COUNTA(INDEX(Mots!$J:$J,MATCH($A777,Mots!$A:$A,0)):INDEX(Mots!$P:$P,MATCH($A777,Mots!$A:$A,0))),0)</f>
        <v/>
      </c>
      <c r="E777" s="30">
        <f>IF(COUNTIF(Classement!$A:$A,$A777)&gt;0,"ok","à faire")</f>
        <v/>
      </c>
      <c r="F777" s="30">
        <f>IF(COUNTIF(Tags!$A:$A,$A777)&gt;0,"ok","à faire")</f>
        <v/>
      </c>
      <c r="G777" s="30">
        <f>IF(COUNTIF(Phrases!$A:$A,$A777)&gt;0,"ok","à faire")</f>
        <v/>
      </c>
      <c r="H777" s="30">
        <f>IF(COUNTIFS(Phrases!$A:$A,$A777,Phrases!$I:$I,"&lt;&gt;")&gt;0,"ok","à faire")</f>
        <v/>
      </c>
      <c r="I777" s="30">
        <f>IF(COUNTIF(Synonymes!$A:$A,$A777)&gt;0,"ok","")</f>
        <v/>
      </c>
      <c r="J777" s="30">
        <f>COUNTIF(E777:H777,"à faire")</f>
        <v/>
      </c>
    </row>
    <row r="778">
      <c r="A778" s="30" t="inlineStr">
        <is>
          <t>bibliotheque</t>
        </is>
      </c>
      <c r="B778" s="30">
        <f>IFERROR(INDEX(Mots!$B:$B,MATCH($A778,Mots!$A:$A,0)),"introuvable")</f>
        <v/>
      </c>
      <c r="C778" s="30">
        <f>IFERROR(INDEX(Mots!$S:$S,MATCH($A778,Mots!$A:$A,0)),"")</f>
        <v/>
      </c>
      <c r="D778" s="30">
        <f>IFERROR(COUNTA(INDEX(Mots!$J:$J,MATCH($A778,Mots!$A:$A,0)):INDEX(Mots!$P:$P,MATCH($A778,Mots!$A:$A,0))),0)</f>
        <v/>
      </c>
      <c r="E778" s="30">
        <f>IF(COUNTIF(Classement!$A:$A,$A778)&gt;0,"ok","à faire")</f>
        <v/>
      </c>
      <c r="F778" s="30">
        <f>IF(COUNTIF(Tags!$A:$A,$A778)&gt;0,"ok","à faire")</f>
        <v/>
      </c>
      <c r="G778" s="30">
        <f>IF(COUNTIF(Phrases!$A:$A,$A778)&gt;0,"ok","à faire")</f>
        <v/>
      </c>
      <c r="H778" s="30">
        <f>IF(COUNTIFS(Phrases!$A:$A,$A778,Phrases!$I:$I,"&lt;&gt;")&gt;0,"ok","à faire")</f>
        <v/>
      </c>
      <c r="I778" s="30">
        <f>IF(COUNTIF(Synonymes!$A:$A,$A778)&gt;0,"ok","")</f>
        <v/>
      </c>
      <c r="J778" s="30">
        <f>COUNTIF(E778:H778,"à faire")</f>
        <v/>
      </c>
    </row>
    <row r="779">
      <c r="A779" s="30" t="inlineStr">
        <is>
          <t>blessure</t>
        </is>
      </c>
      <c r="B779" s="30">
        <f>IFERROR(INDEX(Mots!$B:$B,MATCH($A779,Mots!$A:$A,0)),"introuvable")</f>
        <v/>
      </c>
      <c r="C779" s="30">
        <f>IFERROR(INDEX(Mots!$S:$S,MATCH($A779,Mots!$A:$A,0)),"")</f>
        <v/>
      </c>
      <c r="D779" s="30">
        <f>IFERROR(COUNTA(INDEX(Mots!$J:$J,MATCH($A779,Mots!$A:$A,0)):INDEX(Mots!$P:$P,MATCH($A779,Mots!$A:$A,0))),0)</f>
        <v/>
      </c>
      <c r="E779" s="30">
        <f>IF(COUNTIF(Classement!$A:$A,$A779)&gt;0,"ok","à faire")</f>
        <v/>
      </c>
      <c r="F779" s="30">
        <f>IF(COUNTIF(Tags!$A:$A,$A779)&gt;0,"ok","à faire")</f>
        <v/>
      </c>
      <c r="G779" s="30">
        <f>IF(COUNTIF(Phrases!$A:$A,$A779)&gt;0,"ok","à faire")</f>
        <v/>
      </c>
      <c r="H779" s="30">
        <f>IF(COUNTIFS(Phrases!$A:$A,$A779,Phrases!$I:$I,"&lt;&gt;")&gt;0,"ok","à faire")</f>
        <v/>
      </c>
      <c r="I779" s="30">
        <f>IF(COUNTIF(Synonymes!$A:$A,$A779)&gt;0,"ok","")</f>
        <v/>
      </c>
      <c r="J779" s="30">
        <f>COUNTIF(E779:H779,"à faire")</f>
        <v/>
      </c>
    </row>
    <row r="780">
      <c r="A780" s="30" t="inlineStr">
        <is>
          <t>boite</t>
        </is>
      </c>
      <c r="B780" s="30">
        <f>IFERROR(INDEX(Mots!$B:$B,MATCH($A780,Mots!$A:$A,0)),"introuvable")</f>
        <v/>
      </c>
      <c r="C780" s="30">
        <f>IFERROR(INDEX(Mots!$S:$S,MATCH($A780,Mots!$A:$A,0)),"")</f>
        <v/>
      </c>
      <c r="D780" s="30">
        <f>IFERROR(COUNTA(INDEX(Mots!$J:$J,MATCH($A780,Mots!$A:$A,0)):INDEX(Mots!$P:$P,MATCH($A780,Mots!$A:$A,0))),0)</f>
        <v/>
      </c>
      <c r="E780" s="30">
        <f>IF(COUNTIF(Classement!$A:$A,$A780)&gt;0,"ok","à faire")</f>
        <v/>
      </c>
      <c r="F780" s="30">
        <f>IF(COUNTIF(Tags!$A:$A,$A780)&gt;0,"ok","à faire")</f>
        <v/>
      </c>
      <c r="G780" s="30">
        <f>IF(COUNTIF(Phrases!$A:$A,$A780)&gt;0,"ok","à faire")</f>
        <v/>
      </c>
      <c r="H780" s="30">
        <f>IF(COUNTIFS(Phrases!$A:$A,$A780,Phrases!$I:$I,"&lt;&gt;")&gt;0,"ok","à faire")</f>
        <v/>
      </c>
      <c r="I780" s="30">
        <f>IF(COUNTIF(Synonymes!$A:$A,$A780)&gt;0,"ok","")</f>
        <v/>
      </c>
      <c r="J780" s="30">
        <f>COUNTIF(E780:H780,"à faire")</f>
        <v/>
      </c>
    </row>
    <row r="781">
      <c r="A781" s="30" t="inlineStr">
        <is>
          <t>bougie</t>
        </is>
      </c>
      <c r="B781" s="30">
        <f>IFERROR(INDEX(Mots!$B:$B,MATCH($A781,Mots!$A:$A,0)),"introuvable")</f>
        <v/>
      </c>
      <c r="C781" s="30">
        <f>IFERROR(INDEX(Mots!$S:$S,MATCH($A781,Mots!$A:$A,0)),"")</f>
        <v/>
      </c>
      <c r="D781" s="30">
        <f>IFERROR(COUNTA(INDEX(Mots!$J:$J,MATCH($A781,Mots!$A:$A,0)):INDEX(Mots!$P:$P,MATCH($A781,Mots!$A:$A,0))),0)</f>
        <v/>
      </c>
      <c r="E781" s="30">
        <f>IF(COUNTIF(Classement!$A:$A,$A781)&gt;0,"ok","à faire")</f>
        <v/>
      </c>
      <c r="F781" s="30">
        <f>IF(COUNTIF(Tags!$A:$A,$A781)&gt;0,"ok","à faire")</f>
        <v/>
      </c>
      <c r="G781" s="30">
        <f>IF(COUNTIF(Phrases!$A:$A,$A781)&gt;0,"ok","à faire")</f>
        <v/>
      </c>
      <c r="H781" s="30">
        <f>IF(COUNTIFS(Phrases!$A:$A,$A781,Phrases!$I:$I,"&lt;&gt;")&gt;0,"ok","à faire")</f>
        <v/>
      </c>
      <c r="I781" s="30">
        <f>IF(COUNTIF(Synonymes!$A:$A,$A781)&gt;0,"ok","")</f>
        <v/>
      </c>
      <c r="J781" s="30">
        <f>COUNTIF(E781:H781,"à faire")</f>
        <v/>
      </c>
    </row>
    <row r="782">
      <c r="A782" s="30" t="inlineStr">
        <is>
          <t>boule</t>
        </is>
      </c>
      <c r="B782" s="30">
        <f>IFERROR(INDEX(Mots!$B:$B,MATCH($A782,Mots!$A:$A,0)),"introuvable")</f>
        <v/>
      </c>
      <c r="C782" s="30">
        <f>IFERROR(INDEX(Mots!$S:$S,MATCH($A782,Mots!$A:$A,0)),"")</f>
        <v/>
      </c>
      <c r="D782" s="30">
        <f>IFERROR(COUNTA(INDEX(Mots!$J:$J,MATCH($A782,Mots!$A:$A,0)):INDEX(Mots!$P:$P,MATCH($A782,Mots!$A:$A,0))),0)</f>
        <v/>
      </c>
      <c r="E782" s="30">
        <f>IF(COUNTIF(Classement!$A:$A,$A782)&gt;0,"ok","à faire")</f>
        <v/>
      </c>
      <c r="F782" s="30">
        <f>IF(COUNTIF(Tags!$A:$A,$A782)&gt;0,"ok","à faire")</f>
        <v/>
      </c>
      <c r="G782" s="30">
        <f>IF(COUNTIF(Phrases!$A:$A,$A782)&gt;0,"ok","à faire")</f>
        <v/>
      </c>
      <c r="H782" s="30">
        <f>IF(COUNTIFS(Phrases!$A:$A,$A782,Phrases!$I:$I,"&lt;&gt;")&gt;0,"ok","à faire")</f>
        <v/>
      </c>
      <c r="I782" s="30">
        <f>IF(COUNTIF(Synonymes!$A:$A,$A782)&gt;0,"ok","")</f>
        <v/>
      </c>
      <c r="J782" s="30">
        <f>COUNTIF(E782:H782,"à faire")</f>
        <v/>
      </c>
    </row>
    <row r="783">
      <c r="A783" s="30" t="inlineStr">
        <is>
          <t>boutique</t>
        </is>
      </c>
      <c r="B783" s="30">
        <f>IFERROR(INDEX(Mots!$B:$B,MATCH($A783,Mots!$A:$A,0)),"introuvable")</f>
        <v/>
      </c>
      <c r="C783" s="30">
        <f>IFERROR(INDEX(Mots!$S:$S,MATCH($A783,Mots!$A:$A,0)),"")</f>
        <v/>
      </c>
      <c r="D783" s="30">
        <f>IFERROR(COUNTA(INDEX(Mots!$J:$J,MATCH($A783,Mots!$A:$A,0)):INDEX(Mots!$P:$P,MATCH($A783,Mots!$A:$A,0))),0)</f>
        <v/>
      </c>
      <c r="E783" s="30">
        <f>IF(COUNTIF(Classement!$A:$A,$A783)&gt;0,"ok","à faire")</f>
        <v/>
      </c>
      <c r="F783" s="30">
        <f>IF(COUNTIF(Tags!$A:$A,$A783)&gt;0,"ok","à faire")</f>
        <v/>
      </c>
      <c r="G783" s="30">
        <f>IF(COUNTIF(Phrases!$A:$A,$A783)&gt;0,"ok","à faire")</f>
        <v/>
      </c>
      <c r="H783" s="30">
        <f>IF(COUNTIFS(Phrases!$A:$A,$A783,Phrases!$I:$I,"&lt;&gt;")&gt;0,"ok","à faire")</f>
        <v/>
      </c>
      <c r="I783" s="30">
        <f>IF(COUNTIF(Synonymes!$A:$A,$A783)&gt;0,"ok","")</f>
        <v/>
      </c>
      <c r="J783" s="30">
        <f>COUNTIF(E783:H783,"à faire")</f>
        <v/>
      </c>
    </row>
    <row r="784">
      <c r="A784" s="30" t="inlineStr">
        <is>
          <t>brise</t>
        </is>
      </c>
      <c r="B784" s="30">
        <f>IFERROR(INDEX(Mots!$B:$B,MATCH($A784,Mots!$A:$A,0)),"introuvable")</f>
        <v/>
      </c>
      <c r="C784" s="30">
        <f>IFERROR(INDEX(Mots!$S:$S,MATCH($A784,Mots!$A:$A,0)),"")</f>
        <v/>
      </c>
      <c r="D784" s="30">
        <f>IFERROR(COUNTA(INDEX(Mots!$J:$J,MATCH($A784,Mots!$A:$A,0)):INDEX(Mots!$P:$P,MATCH($A784,Mots!$A:$A,0))),0)</f>
        <v/>
      </c>
      <c r="E784" s="30">
        <f>IF(COUNTIF(Classement!$A:$A,$A784)&gt;0,"ok","à faire")</f>
        <v/>
      </c>
      <c r="F784" s="30">
        <f>IF(COUNTIF(Tags!$A:$A,$A784)&gt;0,"ok","à faire")</f>
        <v/>
      </c>
      <c r="G784" s="30">
        <f>IF(COUNTIF(Phrases!$A:$A,$A784)&gt;0,"ok","à faire")</f>
        <v/>
      </c>
      <c r="H784" s="30">
        <f>IF(COUNTIFS(Phrases!$A:$A,$A784,Phrases!$I:$I,"&lt;&gt;")&gt;0,"ok","à faire")</f>
        <v/>
      </c>
      <c r="I784" s="30">
        <f>IF(COUNTIF(Synonymes!$A:$A,$A784)&gt;0,"ok","")</f>
        <v/>
      </c>
      <c r="J784" s="30">
        <f>COUNTIF(E784:H784,"à faire")</f>
        <v/>
      </c>
    </row>
    <row r="785">
      <c r="A785" s="30" t="inlineStr">
        <is>
          <t>caisse_paiement</t>
        </is>
      </c>
      <c r="B785" s="30">
        <f>IFERROR(INDEX(Mots!$B:$B,MATCH($A785,Mots!$A:$A,0)),"introuvable")</f>
        <v/>
      </c>
      <c r="C785" s="30">
        <f>IFERROR(INDEX(Mots!$S:$S,MATCH($A785,Mots!$A:$A,0)),"")</f>
        <v/>
      </c>
      <c r="D785" s="30">
        <f>IFERROR(COUNTA(INDEX(Mots!$J:$J,MATCH($A785,Mots!$A:$A,0)):INDEX(Mots!$P:$P,MATCH($A785,Mots!$A:$A,0))),0)</f>
        <v/>
      </c>
      <c r="E785" s="30">
        <f>IF(COUNTIF(Classement!$A:$A,$A785)&gt;0,"ok","à faire")</f>
        <v/>
      </c>
      <c r="F785" s="30">
        <f>IF(COUNTIF(Tags!$A:$A,$A785)&gt;0,"ok","à faire")</f>
        <v/>
      </c>
      <c r="G785" s="30">
        <f>IF(COUNTIF(Phrases!$A:$A,$A785)&gt;0,"ok","à faire")</f>
        <v/>
      </c>
      <c r="H785" s="30">
        <f>IF(COUNTIFS(Phrases!$A:$A,$A785,Phrases!$I:$I,"&lt;&gt;")&gt;0,"ok","à faire")</f>
        <v/>
      </c>
      <c r="I785" s="30">
        <f>IF(COUNTIF(Synonymes!$A:$A,$A785)&gt;0,"ok","")</f>
        <v/>
      </c>
      <c r="J785" s="30">
        <f>COUNTIF(E785:H785,"à faire")</f>
        <v/>
      </c>
    </row>
    <row r="786">
      <c r="A786" s="30" t="inlineStr">
        <is>
          <t>campagne</t>
        </is>
      </c>
      <c r="B786" s="30">
        <f>IFERROR(INDEX(Mots!$B:$B,MATCH($A786,Mots!$A:$A,0)),"introuvable")</f>
        <v/>
      </c>
      <c r="C786" s="30">
        <f>IFERROR(INDEX(Mots!$S:$S,MATCH($A786,Mots!$A:$A,0)),"")</f>
        <v/>
      </c>
      <c r="D786" s="30">
        <f>IFERROR(COUNTA(INDEX(Mots!$J:$J,MATCH($A786,Mots!$A:$A,0)):INDEX(Mots!$P:$P,MATCH($A786,Mots!$A:$A,0))),0)</f>
        <v/>
      </c>
      <c r="E786" s="30">
        <f>IF(COUNTIF(Classement!$A:$A,$A786)&gt;0,"ok","à faire")</f>
        <v/>
      </c>
      <c r="F786" s="30">
        <f>IF(COUNTIF(Tags!$A:$A,$A786)&gt;0,"ok","à faire")</f>
        <v/>
      </c>
      <c r="G786" s="30">
        <f>IF(COUNTIF(Phrases!$A:$A,$A786)&gt;0,"ok","à faire")</f>
        <v/>
      </c>
      <c r="H786" s="30">
        <f>IF(COUNTIFS(Phrases!$A:$A,$A786,Phrases!$I:$I,"&lt;&gt;")&gt;0,"ok","à faire")</f>
        <v/>
      </c>
      <c r="I786" s="30">
        <f>IF(COUNTIF(Synonymes!$A:$A,$A786)&gt;0,"ok","")</f>
        <v/>
      </c>
      <c r="J786" s="30">
        <f>COUNTIF(E786:H786,"à faire")</f>
        <v/>
      </c>
    </row>
    <row r="787">
      <c r="A787" s="30" t="inlineStr">
        <is>
          <t>cascade</t>
        </is>
      </c>
      <c r="B787" s="30">
        <f>IFERROR(INDEX(Mots!$B:$B,MATCH($A787,Mots!$A:$A,0)),"introuvable")</f>
        <v/>
      </c>
      <c r="C787" s="30">
        <f>IFERROR(INDEX(Mots!$S:$S,MATCH($A787,Mots!$A:$A,0)),"")</f>
        <v/>
      </c>
      <c r="D787" s="30">
        <f>IFERROR(COUNTA(INDEX(Mots!$J:$J,MATCH($A787,Mots!$A:$A,0)):INDEX(Mots!$P:$P,MATCH($A787,Mots!$A:$A,0))),0)</f>
        <v/>
      </c>
      <c r="E787" s="30">
        <f>IF(COUNTIF(Classement!$A:$A,$A787)&gt;0,"ok","à faire")</f>
        <v/>
      </c>
      <c r="F787" s="30">
        <f>IF(COUNTIF(Tags!$A:$A,$A787)&gt;0,"ok","à faire")</f>
        <v/>
      </c>
      <c r="G787" s="30">
        <f>IF(COUNTIF(Phrases!$A:$A,$A787)&gt;0,"ok","à faire")</f>
        <v/>
      </c>
      <c r="H787" s="30">
        <f>IF(COUNTIFS(Phrases!$A:$A,$A787,Phrases!$I:$I,"&lt;&gt;")&gt;0,"ok","à faire")</f>
        <v/>
      </c>
      <c r="I787" s="30">
        <f>IF(COUNTIF(Synonymes!$A:$A,$A787)&gt;0,"ok","")</f>
        <v/>
      </c>
      <c r="J787" s="30">
        <f>COUNTIF(E787:H787,"à faire")</f>
        <v/>
      </c>
    </row>
    <row r="788">
      <c r="A788" s="30" t="inlineStr">
        <is>
          <t>categorie</t>
        </is>
      </c>
      <c r="B788" s="30">
        <f>IFERROR(INDEX(Mots!$B:$B,MATCH($A788,Mots!$A:$A,0)),"introuvable")</f>
        <v/>
      </c>
      <c r="C788" s="30">
        <f>IFERROR(INDEX(Mots!$S:$S,MATCH($A788,Mots!$A:$A,0)),"")</f>
        <v/>
      </c>
      <c r="D788" s="30">
        <f>IFERROR(COUNTA(INDEX(Mots!$J:$J,MATCH($A788,Mots!$A:$A,0)):INDEX(Mots!$P:$P,MATCH($A788,Mots!$A:$A,0))),0)</f>
        <v/>
      </c>
      <c r="E788" s="30">
        <f>IF(COUNTIF(Classement!$A:$A,$A788)&gt;0,"ok","à faire")</f>
        <v/>
      </c>
      <c r="F788" s="30">
        <f>IF(COUNTIF(Tags!$A:$A,$A788)&gt;0,"ok","à faire")</f>
        <v/>
      </c>
      <c r="G788" s="30">
        <f>IF(COUNTIF(Phrases!$A:$A,$A788)&gt;0,"ok","à faire")</f>
        <v/>
      </c>
      <c r="H788" s="30">
        <f>IF(COUNTIFS(Phrases!$A:$A,$A788,Phrases!$I:$I,"&lt;&gt;")&gt;0,"ok","à faire")</f>
        <v/>
      </c>
      <c r="I788" s="30">
        <f>IF(COUNTIF(Synonymes!$A:$A,$A788)&gt;0,"ok","")</f>
        <v/>
      </c>
      <c r="J788" s="30">
        <f>COUNTIF(E788:H788,"à faire")</f>
        <v/>
      </c>
    </row>
    <row r="789">
      <c r="A789" s="30" t="inlineStr">
        <is>
          <t>cave</t>
        </is>
      </c>
      <c r="B789" s="30">
        <f>IFERROR(INDEX(Mots!$B:$B,MATCH($A789,Mots!$A:$A,0)),"introuvable")</f>
        <v/>
      </c>
      <c r="C789" s="30">
        <f>IFERROR(INDEX(Mots!$S:$S,MATCH($A789,Mots!$A:$A,0)),"")</f>
        <v/>
      </c>
      <c r="D789" s="30">
        <f>IFERROR(COUNTA(INDEX(Mots!$J:$J,MATCH($A789,Mots!$A:$A,0)):INDEX(Mots!$P:$P,MATCH($A789,Mots!$A:$A,0))),0)</f>
        <v/>
      </c>
      <c r="E789" s="30">
        <f>IF(COUNTIF(Classement!$A:$A,$A789)&gt;0,"ok","à faire")</f>
        <v/>
      </c>
      <c r="F789" s="30">
        <f>IF(COUNTIF(Tags!$A:$A,$A789)&gt;0,"ok","à faire")</f>
        <v/>
      </c>
      <c r="G789" s="30">
        <f>IF(COUNTIF(Phrases!$A:$A,$A789)&gt;0,"ok","à faire")</f>
        <v/>
      </c>
      <c r="H789" s="30">
        <f>IF(COUNTIFS(Phrases!$A:$A,$A789,Phrases!$I:$I,"&lt;&gt;")&gt;0,"ok","à faire")</f>
        <v/>
      </c>
      <c r="I789" s="30">
        <f>IF(COUNTIF(Synonymes!$A:$A,$A789)&gt;0,"ok","")</f>
        <v/>
      </c>
      <c r="J789" s="30">
        <f>COUNTIF(E789:H789,"à faire")</f>
        <v/>
      </c>
    </row>
    <row r="790">
      <c r="A790" s="30" t="inlineStr">
        <is>
          <t>chair</t>
        </is>
      </c>
      <c r="B790" s="30">
        <f>IFERROR(INDEX(Mots!$B:$B,MATCH($A790,Mots!$A:$A,0)),"introuvable")</f>
        <v/>
      </c>
      <c r="C790" s="30">
        <f>IFERROR(INDEX(Mots!$S:$S,MATCH($A790,Mots!$A:$A,0)),"")</f>
        <v/>
      </c>
      <c r="D790" s="30">
        <f>IFERROR(COUNTA(INDEX(Mots!$J:$J,MATCH($A790,Mots!$A:$A,0)):INDEX(Mots!$P:$P,MATCH($A790,Mots!$A:$A,0))),0)</f>
        <v/>
      </c>
      <c r="E790" s="30">
        <f>IF(COUNTIF(Classement!$A:$A,$A790)&gt;0,"ok","à faire")</f>
        <v/>
      </c>
      <c r="F790" s="30">
        <f>IF(COUNTIF(Tags!$A:$A,$A790)&gt;0,"ok","à faire")</f>
        <v/>
      </c>
      <c r="G790" s="30">
        <f>IF(COUNTIF(Phrases!$A:$A,$A790)&gt;0,"ok","à faire")</f>
        <v/>
      </c>
      <c r="H790" s="30">
        <f>IF(COUNTIFS(Phrases!$A:$A,$A790,Phrases!$I:$I,"&lt;&gt;")&gt;0,"ok","à faire")</f>
        <v/>
      </c>
      <c r="I790" s="30">
        <f>IF(COUNTIF(Synonymes!$A:$A,$A790)&gt;0,"ok","")</f>
        <v/>
      </c>
      <c r="J790" s="30">
        <f>COUNTIF(E790:H790,"à faire")</f>
        <v/>
      </c>
    </row>
    <row r="791">
      <c r="A791" s="30" t="inlineStr">
        <is>
          <t>chaleur</t>
        </is>
      </c>
      <c r="B791" s="30">
        <f>IFERROR(INDEX(Mots!$B:$B,MATCH($A791,Mots!$A:$A,0)),"introuvable")</f>
        <v/>
      </c>
      <c r="C791" s="30">
        <f>IFERROR(INDEX(Mots!$S:$S,MATCH($A791,Mots!$A:$A,0)),"")</f>
        <v/>
      </c>
      <c r="D791" s="30">
        <f>IFERROR(COUNTA(INDEX(Mots!$J:$J,MATCH($A791,Mots!$A:$A,0)):INDEX(Mots!$P:$P,MATCH($A791,Mots!$A:$A,0))),0)</f>
        <v/>
      </c>
      <c r="E791" s="30">
        <f>IF(COUNTIF(Classement!$A:$A,$A791)&gt;0,"ok","à faire")</f>
        <v/>
      </c>
      <c r="F791" s="30">
        <f>IF(COUNTIF(Tags!$A:$A,$A791)&gt;0,"ok","à faire")</f>
        <v/>
      </c>
      <c r="G791" s="30">
        <f>IF(COUNTIF(Phrases!$A:$A,$A791)&gt;0,"ok","à faire")</f>
        <v/>
      </c>
      <c r="H791" s="30">
        <f>IF(COUNTIFS(Phrases!$A:$A,$A791,Phrases!$I:$I,"&lt;&gt;")&gt;0,"ok","à faire")</f>
        <v/>
      </c>
      <c r="I791" s="30">
        <f>IF(COUNTIF(Synonymes!$A:$A,$A791)&gt;0,"ok","")</f>
        <v/>
      </c>
      <c r="J791" s="30">
        <f>COUNTIF(E791:H791,"à faire")</f>
        <v/>
      </c>
    </row>
    <row r="792">
      <c r="A792" s="30" t="inlineStr">
        <is>
          <t>chose</t>
        </is>
      </c>
      <c r="B792" s="30">
        <f>IFERROR(INDEX(Mots!$B:$B,MATCH($A792,Mots!$A:$A,0)),"introuvable")</f>
        <v/>
      </c>
      <c r="C792" s="30">
        <f>IFERROR(INDEX(Mots!$S:$S,MATCH($A792,Mots!$A:$A,0)),"")</f>
        <v/>
      </c>
      <c r="D792" s="30">
        <f>IFERROR(COUNTA(INDEX(Mots!$J:$J,MATCH($A792,Mots!$A:$A,0)):INDEX(Mots!$P:$P,MATCH($A792,Mots!$A:$A,0))),0)</f>
        <v/>
      </c>
      <c r="E792" s="30">
        <f>IF(COUNTIF(Classement!$A:$A,$A792)&gt;0,"ok","à faire")</f>
        <v/>
      </c>
      <c r="F792" s="30">
        <f>IF(COUNTIF(Tags!$A:$A,$A792)&gt;0,"ok","à faire")</f>
        <v/>
      </c>
      <c r="G792" s="30">
        <f>IF(COUNTIF(Phrases!$A:$A,$A792)&gt;0,"ok","à faire")</f>
        <v/>
      </c>
      <c r="H792" s="30">
        <f>IF(COUNTIFS(Phrases!$A:$A,$A792,Phrases!$I:$I,"&lt;&gt;")&gt;0,"ok","à faire")</f>
        <v/>
      </c>
      <c r="I792" s="30">
        <f>IF(COUNTIF(Synonymes!$A:$A,$A792)&gt;0,"ok","")</f>
        <v/>
      </c>
      <c r="J792" s="30">
        <f>COUNTIF(E792:H792,"à faire")</f>
        <v/>
      </c>
    </row>
    <row r="793">
      <c r="A793" s="30" t="inlineStr">
        <is>
          <t>circulation</t>
        </is>
      </c>
      <c r="B793" s="30">
        <f>IFERROR(INDEX(Mots!$B:$B,MATCH($A793,Mots!$A:$A,0)),"introuvable")</f>
        <v/>
      </c>
      <c r="C793" s="30">
        <f>IFERROR(INDEX(Mots!$S:$S,MATCH($A793,Mots!$A:$A,0)),"")</f>
        <v/>
      </c>
      <c r="D793" s="30">
        <f>IFERROR(COUNTA(INDEX(Mots!$J:$J,MATCH($A793,Mots!$A:$A,0)):INDEX(Mots!$P:$P,MATCH($A793,Mots!$A:$A,0))),0)</f>
        <v/>
      </c>
      <c r="E793" s="30">
        <f>IF(COUNTIF(Classement!$A:$A,$A793)&gt;0,"ok","à faire")</f>
        <v/>
      </c>
      <c r="F793" s="30">
        <f>IF(COUNTIF(Tags!$A:$A,$A793)&gt;0,"ok","à faire")</f>
        <v/>
      </c>
      <c r="G793" s="30">
        <f>IF(COUNTIF(Phrases!$A:$A,$A793)&gt;0,"ok","à faire")</f>
        <v/>
      </c>
      <c r="H793" s="30">
        <f>IF(COUNTIFS(Phrases!$A:$A,$A793,Phrases!$I:$I,"&lt;&gt;")&gt;0,"ok","à faire")</f>
        <v/>
      </c>
      <c r="I793" s="30">
        <f>IF(COUNTIF(Synonymes!$A:$A,$A793)&gt;0,"ok","")</f>
        <v/>
      </c>
      <c r="J793" s="30">
        <f>COUNTIF(E793:H793,"à faire")</f>
        <v/>
      </c>
    </row>
    <row r="794">
      <c r="A794" s="30" t="inlineStr">
        <is>
          <t>clairière</t>
        </is>
      </c>
      <c r="B794" s="30">
        <f>IFERROR(INDEX(Mots!$B:$B,MATCH($A794,Mots!$A:$A,0)),"introuvable")</f>
        <v/>
      </c>
      <c r="C794" s="30">
        <f>IFERROR(INDEX(Mots!$S:$S,MATCH($A794,Mots!$A:$A,0)),"")</f>
        <v/>
      </c>
      <c r="D794" s="30">
        <f>IFERROR(COUNTA(INDEX(Mots!$J:$J,MATCH($A794,Mots!$A:$A,0)):INDEX(Mots!$P:$P,MATCH($A794,Mots!$A:$A,0))),0)</f>
        <v/>
      </c>
      <c r="E794" s="30">
        <f>IF(COUNTIF(Classement!$A:$A,$A794)&gt;0,"ok","à faire")</f>
        <v/>
      </c>
      <c r="F794" s="30">
        <f>IF(COUNTIF(Tags!$A:$A,$A794)&gt;0,"ok","à faire")</f>
        <v/>
      </c>
      <c r="G794" s="30">
        <f>IF(COUNTIF(Phrases!$A:$A,$A794)&gt;0,"ok","à faire")</f>
        <v/>
      </c>
      <c r="H794" s="30">
        <f>IF(COUNTIFS(Phrases!$A:$A,$A794,Phrases!$I:$I,"&lt;&gt;")&gt;0,"ok","à faire")</f>
        <v/>
      </c>
      <c r="I794" s="30">
        <f>IF(COUNTIF(Synonymes!$A:$A,$A794)&gt;0,"ok","")</f>
        <v/>
      </c>
      <c r="J794" s="30">
        <f>COUNTIF(E794:H794,"à faire")</f>
        <v/>
      </c>
    </row>
    <row r="795">
      <c r="A795" s="30" t="inlineStr">
        <is>
          <t>classe</t>
        </is>
      </c>
      <c r="B795" s="30">
        <f>IFERROR(INDEX(Mots!$B:$B,MATCH($A795,Mots!$A:$A,0)),"introuvable")</f>
        <v/>
      </c>
      <c r="C795" s="30">
        <f>IFERROR(INDEX(Mots!$S:$S,MATCH($A795,Mots!$A:$A,0)),"")</f>
        <v/>
      </c>
      <c r="D795" s="30">
        <f>IFERROR(COUNTA(INDEX(Mots!$J:$J,MATCH($A795,Mots!$A:$A,0)):INDEX(Mots!$P:$P,MATCH($A795,Mots!$A:$A,0))),0)</f>
        <v/>
      </c>
      <c r="E795" s="30">
        <f>IF(COUNTIF(Classement!$A:$A,$A795)&gt;0,"ok","à faire")</f>
        <v/>
      </c>
      <c r="F795" s="30">
        <f>IF(COUNTIF(Tags!$A:$A,$A795)&gt;0,"ok","à faire")</f>
        <v/>
      </c>
      <c r="G795" s="30">
        <f>IF(COUNTIF(Phrases!$A:$A,$A795)&gt;0,"ok","à faire")</f>
        <v/>
      </c>
      <c r="H795" s="30">
        <f>IF(COUNTIFS(Phrases!$A:$A,$A795,Phrases!$I:$I,"&lt;&gt;")&gt;0,"ok","à faire")</f>
        <v/>
      </c>
      <c r="I795" s="30">
        <f>IF(COUNTIF(Synonymes!$A:$A,$A795)&gt;0,"ok","")</f>
        <v/>
      </c>
      <c r="J795" s="30">
        <f>COUNTIF(E795:H795,"à faire")</f>
        <v/>
      </c>
    </row>
    <row r="796">
      <c r="A796" s="30" t="inlineStr">
        <is>
          <t>cloture</t>
        </is>
      </c>
      <c r="B796" s="30">
        <f>IFERROR(INDEX(Mots!$B:$B,MATCH($A796,Mots!$A:$A,0)),"introuvable")</f>
        <v/>
      </c>
      <c r="C796" s="30">
        <f>IFERROR(INDEX(Mots!$S:$S,MATCH($A796,Mots!$A:$A,0)),"")</f>
        <v/>
      </c>
      <c r="D796" s="30">
        <f>IFERROR(COUNTA(INDEX(Mots!$J:$J,MATCH($A796,Mots!$A:$A,0)):INDEX(Mots!$P:$P,MATCH($A796,Mots!$A:$A,0))),0)</f>
        <v/>
      </c>
      <c r="E796" s="30">
        <f>IF(COUNTIF(Classement!$A:$A,$A796)&gt;0,"ok","à faire")</f>
        <v/>
      </c>
      <c r="F796" s="30">
        <f>IF(COUNTIF(Tags!$A:$A,$A796)&gt;0,"ok","à faire")</f>
        <v/>
      </c>
      <c r="G796" s="30">
        <f>IF(COUNTIF(Phrases!$A:$A,$A796)&gt;0,"ok","à faire")</f>
        <v/>
      </c>
      <c r="H796" s="30">
        <f>IF(COUNTIFS(Phrases!$A:$A,$A796,Phrases!$I:$I,"&lt;&gt;")&gt;0,"ok","à faire")</f>
        <v/>
      </c>
      <c r="I796" s="30">
        <f>IF(COUNTIF(Synonymes!$A:$A,$A796)&gt;0,"ok","")</f>
        <v/>
      </c>
      <c r="J796" s="30">
        <f>COUNTIF(E796:H796,"à faire")</f>
        <v/>
      </c>
    </row>
    <row r="797">
      <c r="A797" s="30" t="inlineStr">
        <is>
          <t>colle</t>
        </is>
      </c>
      <c r="B797" s="30">
        <f>IFERROR(INDEX(Mots!$B:$B,MATCH($A797,Mots!$A:$A,0)),"introuvable")</f>
        <v/>
      </c>
      <c r="C797" s="30">
        <f>IFERROR(INDEX(Mots!$S:$S,MATCH($A797,Mots!$A:$A,0)),"")</f>
        <v/>
      </c>
      <c r="D797" s="30">
        <f>IFERROR(COUNTA(INDEX(Mots!$J:$J,MATCH($A797,Mots!$A:$A,0)):INDEX(Mots!$P:$P,MATCH($A797,Mots!$A:$A,0))),0)</f>
        <v/>
      </c>
      <c r="E797" s="30">
        <f>IF(COUNTIF(Classement!$A:$A,$A797)&gt;0,"ok","à faire")</f>
        <v/>
      </c>
      <c r="F797" s="30">
        <f>IF(COUNTIF(Tags!$A:$A,$A797)&gt;0,"ok","à faire")</f>
        <v/>
      </c>
      <c r="G797" s="30">
        <f>IF(COUNTIF(Phrases!$A:$A,$A797)&gt;0,"ok","à faire")</f>
        <v/>
      </c>
      <c r="H797" s="30">
        <f>IF(COUNTIFS(Phrases!$A:$A,$A797,Phrases!$I:$I,"&lt;&gt;")&gt;0,"ok","à faire")</f>
        <v/>
      </c>
      <c r="I797" s="30">
        <f>IF(COUNTIF(Synonymes!$A:$A,$A797)&gt;0,"ok","")</f>
        <v/>
      </c>
      <c r="J797" s="30">
        <f>COUNTIF(E797:H797,"à faire")</f>
        <v/>
      </c>
    </row>
    <row r="798">
      <c r="A798" s="30" t="inlineStr">
        <is>
          <t>collection</t>
        </is>
      </c>
      <c r="B798" s="30">
        <f>IFERROR(INDEX(Mots!$B:$B,MATCH($A798,Mots!$A:$A,0)),"introuvable")</f>
        <v/>
      </c>
      <c r="C798" s="30">
        <f>IFERROR(INDEX(Mots!$S:$S,MATCH($A798,Mots!$A:$A,0)),"")</f>
        <v/>
      </c>
      <c r="D798" s="30">
        <f>IFERROR(COUNTA(INDEX(Mots!$J:$J,MATCH($A798,Mots!$A:$A,0)):INDEX(Mots!$P:$P,MATCH($A798,Mots!$A:$A,0))),0)</f>
        <v/>
      </c>
      <c r="E798" s="30">
        <f>IF(COUNTIF(Classement!$A:$A,$A798)&gt;0,"ok","à faire")</f>
        <v/>
      </c>
      <c r="F798" s="30">
        <f>IF(COUNTIF(Tags!$A:$A,$A798)&gt;0,"ok","à faire")</f>
        <v/>
      </c>
      <c r="G798" s="30">
        <f>IF(COUNTIF(Phrases!$A:$A,$A798)&gt;0,"ok","à faire")</f>
        <v/>
      </c>
      <c r="H798" s="30">
        <f>IF(COUNTIFS(Phrases!$A:$A,$A798,Phrases!$I:$I,"&lt;&gt;")&gt;0,"ok","à faire")</f>
        <v/>
      </c>
      <c r="I798" s="30">
        <f>IF(COUNTIF(Synonymes!$A:$A,$A798)&gt;0,"ok","")</f>
        <v/>
      </c>
      <c r="J798" s="30">
        <f>COUNTIF(E798:H798,"à faire")</f>
        <v/>
      </c>
    </row>
    <row r="799">
      <c r="A799" s="30" t="inlineStr">
        <is>
          <t>colline</t>
        </is>
      </c>
      <c r="B799" s="30">
        <f>IFERROR(INDEX(Mots!$B:$B,MATCH($A799,Mots!$A:$A,0)),"introuvable")</f>
        <v/>
      </c>
      <c r="C799" s="30">
        <f>IFERROR(INDEX(Mots!$S:$S,MATCH($A799,Mots!$A:$A,0)),"")</f>
        <v/>
      </c>
      <c r="D799" s="30">
        <f>IFERROR(COUNTA(INDEX(Mots!$J:$J,MATCH($A799,Mots!$A:$A,0)):INDEX(Mots!$P:$P,MATCH($A799,Mots!$A:$A,0))),0)</f>
        <v/>
      </c>
      <c r="E799" s="30">
        <f>IF(COUNTIF(Classement!$A:$A,$A799)&gt;0,"ok","à faire")</f>
        <v/>
      </c>
      <c r="F799" s="30">
        <f>IF(COUNTIF(Tags!$A:$A,$A799)&gt;0,"ok","à faire")</f>
        <v/>
      </c>
      <c r="G799" s="30">
        <f>IF(COUNTIF(Phrases!$A:$A,$A799)&gt;0,"ok","à faire")</f>
        <v/>
      </c>
      <c r="H799" s="30">
        <f>IF(COUNTIFS(Phrases!$A:$A,$A799,Phrases!$I:$I,"&lt;&gt;")&gt;0,"ok","à faire")</f>
        <v/>
      </c>
      <c r="I799" s="30">
        <f>IF(COUNTIF(Synonymes!$A:$A,$A799)&gt;0,"ok","")</f>
        <v/>
      </c>
      <c r="J799" s="30">
        <f>COUNTIF(E799:H799,"à faire")</f>
        <v/>
      </c>
    </row>
    <row r="800">
      <c r="A800" s="30" t="inlineStr">
        <is>
          <t>compagnie</t>
        </is>
      </c>
      <c r="B800" s="30">
        <f>IFERROR(INDEX(Mots!$B:$B,MATCH($A800,Mots!$A:$A,0)),"introuvable")</f>
        <v/>
      </c>
      <c r="C800" s="30">
        <f>IFERROR(INDEX(Mots!$S:$S,MATCH($A800,Mots!$A:$A,0)),"")</f>
        <v/>
      </c>
      <c r="D800" s="30">
        <f>IFERROR(COUNTA(INDEX(Mots!$J:$J,MATCH($A800,Mots!$A:$A,0)):INDEX(Mots!$P:$P,MATCH($A800,Mots!$A:$A,0))),0)</f>
        <v/>
      </c>
      <c r="E800" s="30">
        <f>IF(COUNTIF(Classement!$A:$A,$A800)&gt;0,"ok","à faire")</f>
        <v/>
      </c>
      <c r="F800" s="30">
        <f>IF(COUNTIF(Tags!$A:$A,$A800)&gt;0,"ok","à faire")</f>
        <v/>
      </c>
      <c r="G800" s="30">
        <f>IF(COUNTIF(Phrases!$A:$A,$A800)&gt;0,"ok","à faire")</f>
        <v/>
      </c>
      <c r="H800" s="30">
        <f>IF(COUNTIFS(Phrases!$A:$A,$A800,Phrases!$I:$I,"&lt;&gt;")&gt;0,"ok","à faire")</f>
        <v/>
      </c>
      <c r="I800" s="30">
        <f>IF(COUNTIF(Synonymes!$A:$A,$A800)&gt;0,"ok","")</f>
        <v/>
      </c>
      <c r="J800" s="30">
        <f>COUNTIF(E800:H800,"à faire")</f>
        <v/>
      </c>
    </row>
    <row r="801">
      <c r="A801" s="30" t="inlineStr">
        <is>
          <t>confiture</t>
        </is>
      </c>
      <c r="B801" s="30">
        <f>IFERROR(INDEX(Mots!$B:$B,MATCH($A801,Mots!$A:$A,0)),"introuvable")</f>
        <v/>
      </c>
      <c r="C801" s="30">
        <f>IFERROR(INDEX(Mots!$S:$S,MATCH($A801,Mots!$A:$A,0)),"")</f>
        <v/>
      </c>
      <c r="D801" s="30">
        <f>IFERROR(COUNTA(INDEX(Mots!$J:$J,MATCH($A801,Mots!$A:$A,0)):INDEX(Mots!$P:$P,MATCH($A801,Mots!$A:$A,0))),0)</f>
        <v/>
      </c>
      <c r="E801" s="30">
        <f>IF(COUNTIF(Classement!$A:$A,$A801)&gt;0,"ok","à faire")</f>
        <v/>
      </c>
      <c r="F801" s="30">
        <f>IF(COUNTIF(Tags!$A:$A,$A801)&gt;0,"ok","à faire")</f>
        <v/>
      </c>
      <c r="G801" s="30">
        <f>IF(COUNTIF(Phrases!$A:$A,$A801)&gt;0,"ok","à faire")</f>
        <v/>
      </c>
      <c r="H801" s="30">
        <f>IF(COUNTIFS(Phrases!$A:$A,$A801,Phrases!$I:$I,"&lt;&gt;")&gt;0,"ok","à faire")</f>
        <v/>
      </c>
      <c r="I801" s="30">
        <f>IF(COUNTIF(Synonymes!$A:$A,$A801)&gt;0,"ok","")</f>
        <v/>
      </c>
      <c r="J801" s="30">
        <f>COUNTIF(E801:H801,"à faire")</f>
        <v/>
      </c>
    </row>
    <row r="802">
      <c r="A802" s="30" t="inlineStr">
        <is>
          <t>consigne</t>
        </is>
      </c>
      <c r="B802" s="30">
        <f>IFERROR(INDEX(Mots!$B:$B,MATCH($A802,Mots!$A:$A,0)),"introuvable")</f>
        <v/>
      </c>
      <c r="C802" s="30">
        <f>IFERROR(INDEX(Mots!$S:$S,MATCH($A802,Mots!$A:$A,0)),"")</f>
        <v/>
      </c>
      <c r="D802" s="30">
        <f>IFERROR(COUNTA(INDEX(Mots!$J:$J,MATCH($A802,Mots!$A:$A,0)):INDEX(Mots!$P:$P,MATCH($A802,Mots!$A:$A,0))),0)</f>
        <v/>
      </c>
      <c r="E802" s="30">
        <f>IF(COUNTIF(Classement!$A:$A,$A802)&gt;0,"ok","à faire")</f>
        <v/>
      </c>
      <c r="F802" s="30">
        <f>IF(COUNTIF(Tags!$A:$A,$A802)&gt;0,"ok","à faire")</f>
        <v/>
      </c>
      <c r="G802" s="30">
        <f>IF(COUNTIF(Phrases!$A:$A,$A802)&gt;0,"ok","à faire")</f>
        <v/>
      </c>
      <c r="H802" s="30">
        <f>IF(COUNTIFS(Phrases!$A:$A,$A802,Phrases!$I:$I,"&lt;&gt;")&gt;0,"ok","à faire")</f>
        <v/>
      </c>
      <c r="I802" s="30">
        <f>IF(COUNTIF(Synonymes!$A:$A,$A802)&gt;0,"ok","")</f>
        <v/>
      </c>
      <c r="J802" s="30">
        <f>COUNTIF(E802:H802,"à faire")</f>
        <v/>
      </c>
    </row>
    <row r="803">
      <c r="A803" s="30" t="inlineStr">
        <is>
          <t>construction</t>
        </is>
      </c>
      <c r="B803" s="30">
        <f>IFERROR(INDEX(Mots!$B:$B,MATCH($A803,Mots!$A:$A,0)),"introuvable")</f>
        <v/>
      </c>
      <c r="C803" s="30">
        <f>IFERROR(INDEX(Mots!$S:$S,MATCH($A803,Mots!$A:$A,0)),"")</f>
        <v/>
      </c>
      <c r="D803" s="30">
        <f>IFERROR(COUNTA(INDEX(Mots!$J:$J,MATCH($A803,Mots!$A:$A,0)):INDEX(Mots!$P:$P,MATCH($A803,Mots!$A:$A,0))),0)</f>
        <v/>
      </c>
      <c r="E803" s="30">
        <f>IF(COUNTIF(Classement!$A:$A,$A803)&gt;0,"ok","à faire")</f>
        <v/>
      </c>
      <c r="F803" s="30">
        <f>IF(COUNTIF(Tags!$A:$A,$A803)&gt;0,"ok","à faire")</f>
        <v/>
      </c>
      <c r="G803" s="30">
        <f>IF(COUNTIF(Phrases!$A:$A,$A803)&gt;0,"ok","à faire")</f>
        <v/>
      </c>
      <c r="H803" s="30">
        <f>IF(COUNTIFS(Phrases!$A:$A,$A803,Phrases!$I:$I,"&lt;&gt;")&gt;0,"ok","à faire")</f>
        <v/>
      </c>
      <c r="I803" s="30">
        <f>IF(COUNTIF(Synonymes!$A:$A,$A803)&gt;0,"ok","")</f>
        <v/>
      </c>
      <c r="J803" s="30">
        <f>COUNTIF(E803:H803,"à faire")</f>
        <v/>
      </c>
    </row>
    <row r="804">
      <c r="A804" s="30" t="inlineStr">
        <is>
          <t>conversation</t>
        </is>
      </c>
      <c r="B804" s="30">
        <f>IFERROR(INDEX(Mots!$B:$B,MATCH($A804,Mots!$A:$A,0)),"introuvable")</f>
        <v/>
      </c>
      <c r="C804" s="30">
        <f>IFERROR(INDEX(Mots!$S:$S,MATCH($A804,Mots!$A:$A,0)),"")</f>
        <v/>
      </c>
      <c r="D804" s="30">
        <f>IFERROR(COUNTA(INDEX(Mots!$J:$J,MATCH($A804,Mots!$A:$A,0)):INDEX(Mots!$P:$P,MATCH($A804,Mots!$A:$A,0))),0)</f>
        <v/>
      </c>
      <c r="E804" s="30">
        <f>IF(COUNTIF(Classement!$A:$A,$A804)&gt;0,"ok","à faire")</f>
        <v/>
      </c>
      <c r="F804" s="30">
        <f>IF(COUNTIF(Tags!$A:$A,$A804)&gt;0,"ok","à faire")</f>
        <v/>
      </c>
      <c r="G804" s="30">
        <f>IF(COUNTIF(Phrases!$A:$A,$A804)&gt;0,"ok","à faire")</f>
        <v/>
      </c>
      <c r="H804" s="30">
        <f>IF(COUNTIFS(Phrases!$A:$A,$A804,Phrases!$I:$I,"&lt;&gt;")&gt;0,"ok","à faire")</f>
        <v/>
      </c>
      <c r="I804" s="30">
        <f>IF(COUNTIF(Synonymes!$A:$A,$A804)&gt;0,"ok","")</f>
        <v/>
      </c>
      <c r="J804" s="30">
        <f>COUNTIF(E804:H804,"à faire")</f>
        <v/>
      </c>
    </row>
    <row r="805">
      <c r="A805" s="30" t="inlineStr">
        <is>
          <t>corde</t>
        </is>
      </c>
      <c r="B805" s="30">
        <f>IFERROR(INDEX(Mots!$B:$B,MATCH($A805,Mots!$A:$A,0)),"introuvable")</f>
        <v/>
      </c>
      <c r="C805" s="30">
        <f>IFERROR(INDEX(Mots!$S:$S,MATCH($A805,Mots!$A:$A,0)),"")</f>
        <v/>
      </c>
      <c r="D805" s="30">
        <f>IFERROR(COUNTA(INDEX(Mots!$J:$J,MATCH($A805,Mots!$A:$A,0)):INDEX(Mots!$P:$P,MATCH($A805,Mots!$A:$A,0))),0)</f>
        <v/>
      </c>
      <c r="E805" s="30">
        <f>IF(COUNTIF(Classement!$A:$A,$A805)&gt;0,"ok","à faire")</f>
        <v/>
      </c>
      <c r="F805" s="30">
        <f>IF(COUNTIF(Tags!$A:$A,$A805)&gt;0,"ok","à faire")</f>
        <v/>
      </c>
      <c r="G805" s="30">
        <f>IF(COUNTIF(Phrases!$A:$A,$A805)&gt;0,"ok","à faire")</f>
        <v/>
      </c>
      <c r="H805" s="30">
        <f>IF(COUNTIFS(Phrases!$A:$A,$A805,Phrases!$I:$I,"&lt;&gt;")&gt;0,"ok","à faire")</f>
        <v/>
      </c>
      <c r="I805" s="30">
        <f>IF(COUNTIF(Synonymes!$A:$A,$A805)&gt;0,"ok","")</f>
        <v/>
      </c>
      <c r="J805" s="30">
        <f>COUNTIF(E805:H805,"à faire")</f>
        <v/>
      </c>
    </row>
    <row r="806">
      <c r="A806" s="30" t="inlineStr">
        <is>
          <t>course</t>
        </is>
      </c>
      <c r="B806" s="30">
        <f>IFERROR(INDEX(Mots!$B:$B,MATCH($A806,Mots!$A:$A,0)),"introuvable")</f>
        <v/>
      </c>
      <c r="C806" s="30">
        <f>IFERROR(INDEX(Mots!$S:$S,MATCH($A806,Mots!$A:$A,0)),"")</f>
        <v/>
      </c>
      <c r="D806" s="30">
        <f>IFERROR(COUNTA(INDEX(Mots!$J:$J,MATCH($A806,Mots!$A:$A,0)):INDEX(Mots!$P:$P,MATCH($A806,Mots!$A:$A,0))),0)</f>
        <v/>
      </c>
      <c r="E806" s="30">
        <f>IF(COUNTIF(Classement!$A:$A,$A806)&gt;0,"ok","à faire")</f>
        <v/>
      </c>
      <c r="F806" s="30">
        <f>IF(COUNTIF(Tags!$A:$A,$A806)&gt;0,"ok","à faire")</f>
        <v/>
      </c>
      <c r="G806" s="30">
        <f>IF(COUNTIF(Phrases!$A:$A,$A806)&gt;0,"ok","à faire")</f>
        <v/>
      </c>
      <c r="H806" s="30">
        <f>IF(COUNTIFS(Phrases!$A:$A,$A806,Phrases!$I:$I,"&lt;&gt;")&gt;0,"ok","à faire")</f>
        <v/>
      </c>
      <c r="I806" s="30">
        <f>IF(COUNTIF(Synonymes!$A:$A,$A806)&gt;0,"ok","")</f>
        <v/>
      </c>
      <c r="J806" s="30">
        <f>COUNTIF(E806:H806,"à faire")</f>
        <v/>
      </c>
    </row>
    <row r="807">
      <c r="A807" s="30" t="inlineStr">
        <is>
          <t>couverture</t>
        </is>
      </c>
      <c r="B807" s="30">
        <f>IFERROR(INDEX(Mots!$B:$B,MATCH($A807,Mots!$A:$A,0)),"introuvable")</f>
        <v/>
      </c>
      <c r="C807" s="30">
        <f>IFERROR(INDEX(Mots!$S:$S,MATCH($A807,Mots!$A:$A,0)),"")</f>
        <v/>
      </c>
      <c r="D807" s="30">
        <f>IFERROR(COUNTA(INDEX(Mots!$J:$J,MATCH($A807,Mots!$A:$A,0)):INDEX(Mots!$P:$P,MATCH($A807,Mots!$A:$A,0))),0)</f>
        <v/>
      </c>
      <c r="E807" s="30">
        <f>IF(COUNTIF(Classement!$A:$A,$A807)&gt;0,"ok","à faire")</f>
        <v/>
      </c>
      <c r="F807" s="30">
        <f>IF(COUNTIF(Tags!$A:$A,$A807)&gt;0,"ok","à faire")</f>
        <v/>
      </c>
      <c r="G807" s="30">
        <f>IF(COUNTIF(Phrases!$A:$A,$A807)&gt;0,"ok","à faire")</f>
        <v/>
      </c>
      <c r="H807" s="30">
        <f>IF(COUNTIFS(Phrases!$A:$A,$A807,Phrases!$I:$I,"&lt;&gt;")&gt;0,"ok","à faire")</f>
        <v/>
      </c>
      <c r="I807" s="30">
        <f>IF(COUNTIF(Synonymes!$A:$A,$A807)&gt;0,"ok","")</f>
        <v/>
      </c>
      <c r="J807" s="30">
        <f>COUNTIF(E807:H807,"à faire")</f>
        <v/>
      </c>
    </row>
    <row r="808">
      <c r="A808" s="30" t="inlineStr">
        <is>
          <t>creme</t>
        </is>
      </c>
      <c r="B808" s="30">
        <f>IFERROR(INDEX(Mots!$B:$B,MATCH($A808,Mots!$A:$A,0)),"introuvable")</f>
        <v/>
      </c>
      <c r="C808" s="30">
        <f>IFERROR(INDEX(Mots!$S:$S,MATCH($A808,Mots!$A:$A,0)),"")</f>
        <v/>
      </c>
      <c r="D808" s="30">
        <f>IFERROR(COUNTA(INDEX(Mots!$J:$J,MATCH($A808,Mots!$A:$A,0)):INDEX(Mots!$P:$P,MATCH($A808,Mots!$A:$A,0))),0)</f>
        <v/>
      </c>
      <c r="E808" s="30">
        <f>IF(COUNTIF(Classement!$A:$A,$A808)&gt;0,"ok","à faire")</f>
        <v/>
      </c>
      <c r="F808" s="30">
        <f>IF(COUNTIF(Tags!$A:$A,$A808)&gt;0,"ok","à faire")</f>
        <v/>
      </c>
      <c r="G808" s="30">
        <f>IF(COUNTIF(Phrases!$A:$A,$A808)&gt;0,"ok","à faire")</f>
        <v/>
      </c>
      <c r="H808" s="30">
        <f>IF(COUNTIFS(Phrases!$A:$A,$A808,Phrases!$I:$I,"&lt;&gt;")&gt;0,"ok","à faire")</f>
        <v/>
      </c>
      <c r="I808" s="30">
        <f>IF(COUNTIF(Synonymes!$A:$A,$A808)&gt;0,"ok","")</f>
        <v/>
      </c>
      <c r="J808" s="30">
        <f>COUNTIF(E808:H808,"à faire")</f>
        <v/>
      </c>
    </row>
    <row r="809">
      <c r="A809" s="30" t="inlineStr">
        <is>
          <t>curiosite</t>
        </is>
      </c>
      <c r="B809" s="30">
        <f>IFERROR(INDEX(Mots!$B:$B,MATCH($A809,Mots!$A:$A,0)),"introuvable")</f>
        <v/>
      </c>
      <c r="C809" s="30">
        <f>IFERROR(INDEX(Mots!$S:$S,MATCH($A809,Mots!$A:$A,0)),"")</f>
        <v/>
      </c>
      <c r="D809" s="30">
        <f>IFERROR(COUNTA(INDEX(Mots!$J:$J,MATCH($A809,Mots!$A:$A,0)):INDEX(Mots!$P:$P,MATCH($A809,Mots!$A:$A,0))),0)</f>
        <v/>
      </c>
      <c r="E809" s="30">
        <f>IF(COUNTIF(Classement!$A:$A,$A809)&gt;0,"ok","à faire")</f>
        <v/>
      </c>
      <c r="F809" s="30">
        <f>IF(COUNTIF(Tags!$A:$A,$A809)&gt;0,"ok","à faire")</f>
        <v/>
      </c>
      <c r="G809" s="30">
        <f>IF(COUNTIF(Phrases!$A:$A,$A809)&gt;0,"ok","à faire")</f>
        <v/>
      </c>
      <c r="H809" s="30">
        <f>IF(COUNTIFS(Phrases!$A:$A,$A809,Phrases!$I:$I,"&lt;&gt;")&gt;0,"ok","à faire")</f>
        <v/>
      </c>
      <c r="I809" s="30">
        <f>IF(COUNTIF(Synonymes!$A:$A,$A809)&gt;0,"ok","")</f>
        <v/>
      </c>
      <c r="J809" s="30">
        <f>COUNTIF(E809:H809,"à faire")</f>
        <v/>
      </c>
    </row>
    <row r="810">
      <c r="A810" s="30" t="inlineStr">
        <is>
          <t>cuves</t>
        </is>
      </c>
      <c r="B810" s="30">
        <f>IFERROR(INDEX(Mots!$B:$B,MATCH($A810,Mots!$A:$A,0)),"introuvable")</f>
        <v/>
      </c>
      <c r="C810" s="30">
        <f>IFERROR(INDEX(Mots!$S:$S,MATCH($A810,Mots!$A:$A,0)),"")</f>
        <v/>
      </c>
      <c r="D810" s="30">
        <f>IFERROR(COUNTA(INDEX(Mots!$J:$J,MATCH($A810,Mots!$A:$A,0)):INDEX(Mots!$P:$P,MATCH($A810,Mots!$A:$A,0))),0)</f>
        <v/>
      </c>
      <c r="E810" s="30">
        <f>IF(COUNTIF(Classement!$A:$A,$A810)&gt;0,"ok","à faire")</f>
        <v/>
      </c>
      <c r="F810" s="30">
        <f>IF(COUNTIF(Tags!$A:$A,$A810)&gt;0,"ok","à faire")</f>
        <v/>
      </c>
      <c r="G810" s="30">
        <f>IF(COUNTIF(Phrases!$A:$A,$A810)&gt;0,"ok","à faire")</f>
        <v/>
      </c>
      <c r="H810" s="30">
        <f>IF(COUNTIFS(Phrases!$A:$A,$A810,Phrases!$I:$I,"&lt;&gt;")&gt;0,"ok","à faire")</f>
        <v/>
      </c>
      <c r="I810" s="30">
        <f>IF(COUNTIF(Synonymes!$A:$A,$A810)&gt;0,"ok","")</f>
        <v/>
      </c>
      <c r="J810" s="30">
        <f>COUNTIF(E810:H810,"à faire")</f>
        <v/>
      </c>
    </row>
    <row r="811">
      <c r="A811" s="30" t="inlineStr">
        <is>
          <t>v_depenser</t>
        </is>
      </c>
      <c r="B811" s="30">
        <f>IFERROR(INDEX(Mots!$B:$B,MATCH($A811,Mots!$A:$A,0)),"introuvable")</f>
        <v/>
      </c>
      <c r="C811" s="30">
        <f>IFERROR(INDEX(Mots!$S:$S,MATCH($A811,Mots!$A:$A,0)),"")</f>
        <v/>
      </c>
      <c r="D811" s="30">
        <f>IFERROR(COUNTA(INDEX(Mots!$J:$J,MATCH($A811,Mots!$A:$A,0)):INDEX(Mots!$P:$P,MATCH($A811,Mots!$A:$A,0))),0)</f>
        <v/>
      </c>
      <c r="E811" s="30">
        <f>IF(COUNTIF(Classement!$A:$A,$A811)&gt;0,"ok","à faire")</f>
        <v/>
      </c>
      <c r="F811" s="30">
        <f>IF(COUNTIF(Tags!$A:$A,$A811)&gt;0,"ok","à faire")</f>
        <v/>
      </c>
      <c r="G811" s="30">
        <f>IF(COUNTIF(Phrases!$A:$A,$A811)&gt;0,"ok","à faire")</f>
        <v/>
      </c>
      <c r="H811" s="30">
        <f>IF(COUNTIFS(Phrases!$A:$A,$A811,Phrases!$I:$I,"&lt;&gt;")&gt;0,"ok","à faire")</f>
        <v/>
      </c>
      <c r="I811" s="30">
        <f>IF(COUNTIF(Synonymes!$A:$A,$A811)&gt;0,"ok","")</f>
        <v/>
      </c>
      <c r="J811" s="30">
        <f>COUNTIF(E811:H811,"à faire")</f>
        <v/>
      </c>
    </row>
    <row r="812">
      <c r="A812" s="30" t="inlineStr">
        <is>
          <t>v_se_detendre</t>
        </is>
      </c>
      <c r="B812" s="30">
        <f>IFERROR(INDEX(Mots!$B:$B,MATCH($A812,Mots!$A:$A,0)),"introuvable")</f>
        <v/>
      </c>
      <c r="C812" s="30">
        <f>IFERROR(INDEX(Mots!$S:$S,MATCH($A812,Mots!$A:$A,0)),"")</f>
        <v/>
      </c>
      <c r="D812" s="30">
        <f>IFERROR(COUNTA(INDEX(Mots!$J:$J,MATCH($A812,Mots!$A:$A,0)):INDEX(Mots!$P:$P,MATCH($A812,Mots!$A:$A,0))),0)</f>
        <v/>
      </c>
      <c r="E812" s="30">
        <f>IF(COUNTIF(Classement!$A:$A,$A812)&gt;0,"ok","à faire")</f>
        <v/>
      </c>
      <c r="F812" s="30">
        <f>IF(COUNTIF(Tags!$A:$A,$A812)&gt;0,"ok","à faire")</f>
        <v/>
      </c>
      <c r="G812" s="30">
        <f>IF(COUNTIF(Phrases!$A:$A,$A812)&gt;0,"ok","à faire")</f>
        <v/>
      </c>
      <c r="H812" s="30">
        <f>IF(COUNTIFS(Phrases!$A:$A,$A812,Phrases!$I:$I,"&lt;&gt;")&gt;0,"ok","à faire")</f>
        <v/>
      </c>
      <c r="I812" s="30">
        <f>IF(COUNTIF(Synonymes!$A:$A,$A812)&gt;0,"ok","")</f>
        <v/>
      </c>
      <c r="J812" s="30">
        <f>COUNTIF(E812:H812,"à faire")</f>
        <v/>
      </c>
    </row>
    <row r="813">
      <c r="A813" s="30" t="inlineStr">
        <is>
          <t>difference</t>
        </is>
      </c>
      <c r="B813" s="30">
        <f>IFERROR(INDEX(Mots!$B:$B,MATCH($A813,Mots!$A:$A,0)),"introuvable")</f>
        <v/>
      </c>
      <c r="C813" s="30">
        <f>IFERROR(INDEX(Mots!$S:$S,MATCH($A813,Mots!$A:$A,0)),"")</f>
        <v/>
      </c>
      <c r="D813" s="30">
        <f>IFERROR(COUNTA(INDEX(Mots!$J:$J,MATCH($A813,Mots!$A:$A,0)):INDEX(Mots!$P:$P,MATCH($A813,Mots!$A:$A,0))),0)</f>
        <v/>
      </c>
      <c r="E813" s="30">
        <f>IF(COUNTIF(Classement!$A:$A,$A813)&gt;0,"ok","à faire")</f>
        <v/>
      </c>
      <c r="F813" s="30">
        <f>IF(COUNTIF(Tags!$A:$A,$A813)&gt;0,"ok","à faire")</f>
        <v/>
      </c>
      <c r="G813" s="30">
        <f>IF(COUNTIF(Phrases!$A:$A,$A813)&gt;0,"ok","à faire")</f>
        <v/>
      </c>
      <c r="H813" s="30">
        <f>IF(COUNTIFS(Phrases!$A:$A,$A813,Phrases!$I:$I,"&lt;&gt;")&gt;0,"ok","à faire")</f>
        <v/>
      </c>
      <c r="I813" s="30">
        <f>IF(COUNTIF(Synonymes!$A:$A,$A813)&gt;0,"ok","")</f>
        <v/>
      </c>
      <c r="J813" s="30">
        <f>COUNTIF(E813:H813,"à faire")</f>
        <v/>
      </c>
    </row>
    <row r="814">
      <c r="A814" s="30" t="inlineStr">
        <is>
          <t>dispute</t>
        </is>
      </c>
      <c r="B814" s="30">
        <f>IFERROR(INDEX(Mots!$B:$B,MATCH($A814,Mots!$A:$A,0)),"introuvable")</f>
        <v/>
      </c>
      <c r="C814" s="30">
        <f>IFERROR(INDEX(Mots!$S:$S,MATCH($A814,Mots!$A:$A,0)),"")</f>
        <v/>
      </c>
      <c r="D814" s="30">
        <f>IFERROR(COUNTA(INDEX(Mots!$J:$J,MATCH($A814,Mots!$A:$A,0)):INDEX(Mots!$P:$P,MATCH($A814,Mots!$A:$A,0))),0)</f>
        <v/>
      </c>
      <c r="E814" s="30">
        <f>IF(COUNTIF(Classement!$A:$A,$A814)&gt;0,"ok","à faire")</f>
        <v/>
      </c>
      <c r="F814" s="30">
        <f>IF(COUNTIF(Tags!$A:$A,$A814)&gt;0,"ok","à faire")</f>
        <v/>
      </c>
      <c r="G814" s="30">
        <f>IF(COUNTIF(Phrases!$A:$A,$A814)&gt;0,"ok","à faire")</f>
        <v/>
      </c>
      <c r="H814" s="30">
        <f>IF(COUNTIFS(Phrases!$A:$A,$A814,Phrases!$I:$I,"&lt;&gt;")&gt;0,"ok","à faire")</f>
        <v/>
      </c>
      <c r="I814" s="30">
        <f>IF(COUNTIF(Synonymes!$A:$A,$A814)&gt;0,"ok","")</f>
        <v/>
      </c>
      <c r="J814" s="30">
        <f>COUNTIF(E814:H814,"à faire")</f>
        <v/>
      </c>
    </row>
    <row r="815">
      <c r="A815" s="30" t="inlineStr">
        <is>
          <t>distance</t>
        </is>
      </c>
      <c r="B815" s="30">
        <f>IFERROR(INDEX(Mots!$B:$B,MATCH($A815,Mots!$A:$A,0)),"introuvable")</f>
        <v/>
      </c>
      <c r="C815" s="30">
        <f>IFERROR(INDEX(Mots!$S:$S,MATCH($A815,Mots!$A:$A,0)),"")</f>
        <v/>
      </c>
      <c r="D815" s="30">
        <f>IFERROR(COUNTA(INDEX(Mots!$J:$J,MATCH($A815,Mots!$A:$A,0)):INDEX(Mots!$P:$P,MATCH($A815,Mots!$A:$A,0))),0)</f>
        <v/>
      </c>
      <c r="E815" s="30">
        <f>IF(COUNTIF(Classement!$A:$A,$A815)&gt;0,"ok","à faire")</f>
        <v/>
      </c>
      <c r="F815" s="30">
        <f>IF(COUNTIF(Tags!$A:$A,$A815)&gt;0,"ok","à faire")</f>
        <v/>
      </c>
      <c r="G815" s="30">
        <f>IF(COUNTIF(Phrases!$A:$A,$A815)&gt;0,"ok","à faire")</f>
        <v/>
      </c>
      <c r="H815" s="30">
        <f>IF(COUNTIFS(Phrases!$A:$A,$A815,Phrases!$I:$I,"&lt;&gt;")&gt;0,"ok","à faire")</f>
        <v/>
      </c>
      <c r="I815" s="30">
        <f>IF(COUNTIF(Synonymes!$A:$A,$A815)&gt;0,"ok","")</f>
        <v/>
      </c>
      <c r="J815" s="30">
        <f>COUNTIF(E815:H815,"à faire")</f>
        <v/>
      </c>
    </row>
    <row r="816">
      <c r="A816" s="30" t="inlineStr">
        <is>
          <t>douleur</t>
        </is>
      </c>
      <c r="B816" s="30">
        <f>IFERROR(INDEX(Mots!$B:$B,MATCH($A816,Mots!$A:$A,0)),"introuvable")</f>
        <v/>
      </c>
      <c r="C816" s="30">
        <f>IFERROR(INDEX(Mots!$S:$S,MATCH($A816,Mots!$A:$A,0)),"")</f>
        <v/>
      </c>
      <c r="D816" s="30">
        <f>IFERROR(COUNTA(INDEX(Mots!$J:$J,MATCH($A816,Mots!$A:$A,0)):INDEX(Mots!$P:$P,MATCH($A816,Mots!$A:$A,0))),0)</f>
        <v/>
      </c>
      <c r="E816" s="30">
        <f>IF(COUNTIF(Classement!$A:$A,$A816)&gt;0,"ok","à faire")</f>
        <v/>
      </c>
      <c r="F816" s="30">
        <f>IF(COUNTIF(Tags!$A:$A,$A816)&gt;0,"ok","à faire")</f>
        <v/>
      </c>
      <c r="G816" s="30">
        <f>IF(COUNTIF(Phrases!$A:$A,$A816)&gt;0,"ok","à faire")</f>
        <v/>
      </c>
      <c r="H816" s="30">
        <f>IF(COUNTIFS(Phrases!$A:$A,$A816,Phrases!$I:$I,"&lt;&gt;")&gt;0,"ok","à faire")</f>
        <v/>
      </c>
      <c r="I816" s="30">
        <f>IF(COUNTIF(Synonymes!$A:$A,$A816)&gt;0,"ok","")</f>
        <v/>
      </c>
      <c r="J816" s="30">
        <f>COUNTIF(E816:H816,"à faire")</f>
        <v/>
      </c>
    </row>
    <row r="817">
      <c r="A817" s="30" t="inlineStr">
        <is>
          <t>face</t>
        </is>
      </c>
      <c r="B817" s="30">
        <f>IFERROR(INDEX(Mots!$B:$B,MATCH($A817,Mots!$A:$A,0)),"introuvable")</f>
        <v/>
      </c>
      <c r="C817" s="30">
        <f>IFERROR(INDEX(Mots!$S:$S,MATCH($A817,Mots!$A:$A,0)),"")</f>
        <v/>
      </c>
      <c r="D817" s="30">
        <f>IFERROR(COUNTA(INDEX(Mots!$J:$J,MATCH($A817,Mots!$A:$A,0)):INDEX(Mots!$P:$P,MATCH($A817,Mots!$A:$A,0))),0)</f>
        <v/>
      </c>
      <c r="E817" s="30">
        <f>IF(COUNTIF(Classement!$A:$A,$A817)&gt;0,"ok","à faire")</f>
        <v/>
      </c>
      <c r="F817" s="30">
        <f>IF(COUNTIF(Tags!$A:$A,$A817)&gt;0,"ok","à faire")</f>
        <v/>
      </c>
      <c r="G817" s="30">
        <f>IF(COUNTIF(Phrases!$A:$A,$A817)&gt;0,"ok","à faire")</f>
        <v/>
      </c>
      <c r="H817" s="30">
        <f>IF(COUNTIFS(Phrases!$A:$A,$A817,Phrases!$I:$I,"&lt;&gt;")&gt;0,"ok","à faire")</f>
        <v/>
      </c>
      <c r="I817" s="30">
        <f>IF(COUNTIF(Synonymes!$A:$A,$A817)&gt;0,"ok","")</f>
        <v/>
      </c>
      <c r="J817" s="30">
        <f>COUNTIF(E817:H817,"à faire")</f>
        <v/>
      </c>
    </row>
    <row r="818">
      <c r="A818" s="30" t="inlineStr">
        <is>
          <t>facture</t>
        </is>
      </c>
      <c r="B818" s="30">
        <f>IFERROR(INDEX(Mots!$B:$B,MATCH($A818,Mots!$A:$A,0)),"introuvable")</f>
        <v/>
      </c>
      <c r="C818" s="30">
        <f>IFERROR(INDEX(Mots!$S:$S,MATCH($A818,Mots!$A:$A,0)),"")</f>
        <v/>
      </c>
      <c r="D818" s="30">
        <f>IFERROR(COUNTA(INDEX(Mots!$J:$J,MATCH($A818,Mots!$A:$A,0)):INDEX(Mots!$P:$P,MATCH($A818,Mots!$A:$A,0))),0)</f>
        <v/>
      </c>
      <c r="E818" s="30">
        <f>IF(COUNTIF(Classement!$A:$A,$A818)&gt;0,"ok","à faire")</f>
        <v/>
      </c>
      <c r="F818" s="30">
        <f>IF(COUNTIF(Tags!$A:$A,$A818)&gt;0,"ok","à faire")</f>
        <v/>
      </c>
      <c r="G818" s="30">
        <f>IF(COUNTIF(Phrases!$A:$A,$A818)&gt;0,"ok","à faire")</f>
        <v/>
      </c>
      <c r="H818" s="30">
        <f>IF(COUNTIFS(Phrases!$A:$A,$A818,Phrases!$I:$I,"&lt;&gt;")&gt;0,"ok","à faire")</f>
        <v/>
      </c>
      <c r="I818" s="30">
        <f>IF(COUNTIF(Synonymes!$A:$A,$A818)&gt;0,"ok","")</f>
        <v/>
      </c>
      <c r="J818" s="30">
        <f>COUNTIF(E818:H818,"à faire")</f>
        <v/>
      </c>
    </row>
    <row r="819">
      <c r="A819" s="30" t="inlineStr">
        <is>
          <t>falaise</t>
        </is>
      </c>
      <c r="B819" s="30">
        <f>IFERROR(INDEX(Mots!$B:$B,MATCH($A819,Mots!$A:$A,0)),"introuvable")</f>
        <v/>
      </c>
      <c r="C819" s="30">
        <f>IFERROR(INDEX(Mots!$S:$S,MATCH($A819,Mots!$A:$A,0)),"")</f>
        <v/>
      </c>
      <c r="D819" s="30">
        <f>IFERROR(COUNTA(INDEX(Mots!$J:$J,MATCH($A819,Mots!$A:$A,0)):INDEX(Mots!$P:$P,MATCH($A819,Mots!$A:$A,0))),0)</f>
        <v/>
      </c>
      <c r="E819" s="30">
        <f>IF(COUNTIF(Classement!$A:$A,$A819)&gt;0,"ok","à faire")</f>
        <v/>
      </c>
      <c r="F819" s="30">
        <f>IF(COUNTIF(Tags!$A:$A,$A819)&gt;0,"ok","à faire")</f>
        <v/>
      </c>
      <c r="G819" s="30">
        <f>IF(COUNTIF(Phrases!$A:$A,$A819)&gt;0,"ok","à faire")</f>
        <v/>
      </c>
      <c r="H819" s="30">
        <f>IF(COUNTIFS(Phrases!$A:$A,$A819,Phrases!$I:$I,"&lt;&gt;")&gt;0,"ok","à faire")</f>
        <v/>
      </c>
      <c r="I819" s="30">
        <f>IF(COUNTIF(Synonymes!$A:$A,$A819)&gt;0,"ok","")</f>
        <v/>
      </c>
      <c r="J819" s="30">
        <f>COUNTIF(E819:H819,"à faire")</f>
        <v/>
      </c>
    </row>
    <row r="820">
      <c r="A820" s="30" t="inlineStr">
        <is>
          <t>farine</t>
        </is>
      </c>
      <c r="B820" s="30">
        <f>IFERROR(INDEX(Mots!$B:$B,MATCH($A820,Mots!$A:$A,0)),"introuvable")</f>
        <v/>
      </c>
      <c r="C820" s="30">
        <f>IFERROR(INDEX(Mots!$S:$S,MATCH($A820,Mots!$A:$A,0)),"")</f>
        <v/>
      </c>
      <c r="D820" s="30">
        <f>IFERROR(COUNTA(INDEX(Mots!$J:$J,MATCH($A820,Mots!$A:$A,0)):INDEX(Mots!$P:$P,MATCH($A820,Mots!$A:$A,0))),0)</f>
        <v/>
      </c>
      <c r="E820" s="30">
        <f>IF(COUNTIF(Classement!$A:$A,$A820)&gt;0,"ok","à faire")</f>
        <v/>
      </c>
      <c r="F820" s="30">
        <f>IF(COUNTIF(Tags!$A:$A,$A820)&gt;0,"ok","à faire")</f>
        <v/>
      </c>
      <c r="G820" s="30">
        <f>IF(COUNTIF(Phrases!$A:$A,$A820)&gt;0,"ok","à faire")</f>
        <v/>
      </c>
      <c r="H820" s="30">
        <f>IF(COUNTIFS(Phrases!$A:$A,$A820,Phrases!$I:$I,"&lt;&gt;")&gt;0,"ok","à faire")</f>
        <v/>
      </c>
      <c r="I820" s="30">
        <f>IF(COUNTIF(Synonymes!$A:$A,$A820)&gt;0,"ok","")</f>
        <v/>
      </c>
      <c r="J820" s="30">
        <f>COUNTIF(E820:H820,"à faire")</f>
        <v/>
      </c>
    </row>
    <row r="821">
      <c r="A821" s="30" t="inlineStr">
        <is>
          <t>faute</t>
        </is>
      </c>
      <c r="B821" s="30">
        <f>IFERROR(INDEX(Mots!$B:$B,MATCH($A821,Mots!$A:$A,0)),"introuvable")</f>
        <v/>
      </c>
      <c r="C821" s="30">
        <f>IFERROR(INDEX(Mots!$S:$S,MATCH($A821,Mots!$A:$A,0)),"")</f>
        <v/>
      </c>
      <c r="D821" s="30">
        <f>IFERROR(COUNTA(INDEX(Mots!$J:$J,MATCH($A821,Mots!$A:$A,0)):INDEX(Mots!$P:$P,MATCH($A821,Mots!$A:$A,0))),0)</f>
        <v/>
      </c>
      <c r="E821" s="30">
        <f>IF(COUNTIF(Classement!$A:$A,$A821)&gt;0,"ok","à faire")</f>
        <v/>
      </c>
      <c r="F821" s="30">
        <f>IF(COUNTIF(Tags!$A:$A,$A821)&gt;0,"ok","à faire")</f>
        <v/>
      </c>
      <c r="G821" s="30">
        <f>IF(COUNTIF(Phrases!$A:$A,$A821)&gt;0,"ok","à faire")</f>
        <v/>
      </c>
      <c r="H821" s="30">
        <f>IF(COUNTIFS(Phrases!$A:$A,$A821,Phrases!$I:$I,"&lt;&gt;")&gt;0,"ok","à faire")</f>
        <v/>
      </c>
      <c r="I821" s="30">
        <f>IF(COUNTIF(Synonymes!$A:$A,$A821)&gt;0,"ok","")</f>
        <v/>
      </c>
      <c r="J821" s="30">
        <f>COUNTIF(E821:H821,"à faire")</f>
        <v/>
      </c>
    </row>
    <row r="822">
      <c r="A822" s="30" t="inlineStr">
        <is>
          <t>ferme</t>
        </is>
      </c>
      <c r="B822" s="30">
        <f>IFERROR(INDEX(Mots!$B:$B,MATCH($A822,Mots!$A:$A,0)),"introuvable")</f>
        <v/>
      </c>
      <c r="C822" s="30">
        <f>IFERROR(INDEX(Mots!$S:$S,MATCH($A822,Mots!$A:$A,0)),"")</f>
        <v/>
      </c>
      <c r="D822" s="30">
        <f>IFERROR(COUNTA(INDEX(Mots!$J:$J,MATCH($A822,Mots!$A:$A,0)):INDEX(Mots!$P:$P,MATCH($A822,Mots!$A:$A,0))),0)</f>
        <v/>
      </c>
      <c r="E822" s="30">
        <f>IF(COUNTIF(Classement!$A:$A,$A822)&gt;0,"ok","à faire")</f>
        <v/>
      </c>
      <c r="F822" s="30">
        <f>IF(COUNTIF(Tags!$A:$A,$A822)&gt;0,"ok","à faire")</f>
        <v/>
      </c>
      <c r="G822" s="30">
        <f>IF(COUNTIF(Phrases!$A:$A,$A822)&gt;0,"ok","à faire")</f>
        <v/>
      </c>
      <c r="H822" s="30">
        <f>IF(COUNTIFS(Phrases!$A:$A,$A822,Phrases!$I:$I,"&lt;&gt;")&gt;0,"ok","à faire")</f>
        <v/>
      </c>
      <c r="I822" s="30">
        <f>IF(COUNTIF(Synonymes!$A:$A,$A822)&gt;0,"ok","")</f>
        <v/>
      </c>
      <c r="J822" s="30">
        <f>COUNTIF(E822:H822,"à faire")</f>
        <v/>
      </c>
    </row>
    <row r="823">
      <c r="A823" s="30" t="inlineStr">
        <is>
          <t>fete</t>
        </is>
      </c>
      <c r="B823" s="30">
        <f>IFERROR(INDEX(Mots!$B:$B,MATCH($A823,Mots!$A:$A,0)),"introuvable")</f>
        <v/>
      </c>
      <c r="C823" s="30">
        <f>IFERROR(INDEX(Mots!$S:$S,MATCH($A823,Mots!$A:$A,0)),"")</f>
        <v/>
      </c>
      <c r="D823" s="30">
        <f>IFERROR(COUNTA(INDEX(Mots!$J:$J,MATCH($A823,Mots!$A:$A,0)):INDEX(Mots!$P:$P,MATCH($A823,Mots!$A:$A,0))),0)</f>
        <v/>
      </c>
      <c r="E823" s="30">
        <f>IF(COUNTIF(Classement!$A:$A,$A823)&gt;0,"ok","à faire")</f>
        <v/>
      </c>
      <c r="F823" s="30">
        <f>IF(COUNTIF(Tags!$A:$A,$A823)&gt;0,"ok","à faire")</f>
        <v/>
      </c>
      <c r="G823" s="30">
        <f>IF(COUNTIF(Phrases!$A:$A,$A823)&gt;0,"ok","à faire")</f>
        <v/>
      </c>
      <c r="H823" s="30">
        <f>IF(COUNTIFS(Phrases!$A:$A,$A823,Phrases!$I:$I,"&lt;&gt;")&gt;0,"ok","à faire")</f>
        <v/>
      </c>
      <c r="I823" s="30">
        <f>IF(COUNTIF(Synonymes!$A:$A,$A823)&gt;0,"ok","")</f>
        <v/>
      </c>
      <c r="J823" s="30">
        <f>COUNTIF(E823:H823,"à faire")</f>
        <v/>
      </c>
    </row>
    <row r="824">
      <c r="A824" s="30" t="inlineStr">
        <is>
          <t>feuille</t>
        </is>
      </c>
      <c r="B824" s="30">
        <f>IFERROR(INDEX(Mots!$B:$B,MATCH($A824,Mots!$A:$A,0)),"introuvable")</f>
        <v/>
      </c>
      <c r="C824" s="30">
        <f>IFERROR(INDEX(Mots!$S:$S,MATCH($A824,Mots!$A:$A,0)),"")</f>
        <v/>
      </c>
      <c r="D824" s="30">
        <f>IFERROR(COUNTA(INDEX(Mots!$J:$J,MATCH($A824,Mots!$A:$A,0)):INDEX(Mots!$P:$P,MATCH($A824,Mots!$A:$A,0))),0)</f>
        <v/>
      </c>
      <c r="E824" s="30">
        <f>IF(COUNTIF(Classement!$A:$A,$A824)&gt;0,"ok","à faire")</f>
        <v/>
      </c>
      <c r="F824" s="30">
        <f>IF(COUNTIF(Tags!$A:$A,$A824)&gt;0,"ok","à faire")</f>
        <v/>
      </c>
      <c r="G824" s="30">
        <f>IF(COUNTIF(Phrases!$A:$A,$A824)&gt;0,"ok","à faire")</f>
        <v/>
      </c>
      <c r="H824" s="30">
        <f>IF(COUNTIFS(Phrases!$A:$A,$A824,Phrases!$I:$I,"&lt;&gt;")&gt;0,"ok","à faire")</f>
        <v/>
      </c>
      <c r="I824" s="30">
        <f>IF(COUNTIF(Synonymes!$A:$A,$A824)&gt;0,"ok","")</f>
        <v/>
      </c>
      <c r="J824" s="30">
        <f>COUNTIF(E824:H824,"à faire")</f>
        <v/>
      </c>
    </row>
    <row r="825">
      <c r="A825" s="30" t="inlineStr">
        <is>
          <t>fievre</t>
        </is>
      </c>
      <c r="B825" s="30">
        <f>IFERROR(INDEX(Mots!$B:$B,MATCH($A825,Mots!$A:$A,0)),"introuvable")</f>
        <v/>
      </c>
      <c r="C825" s="30">
        <f>IFERROR(INDEX(Mots!$S:$S,MATCH($A825,Mots!$A:$A,0)),"")</f>
        <v/>
      </c>
      <c r="D825" s="30">
        <f>IFERROR(COUNTA(INDEX(Mots!$J:$J,MATCH($A825,Mots!$A:$A,0)):INDEX(Mots!$P:$P,MATCH($A825,Mots!$A:$A,0))),0)</f>
        <v/>
      </c>
      <c r="E825" s="30">
        <f>IF(COUNTIF(Classement!$A:$A,$A825)&gt;0,"ok","à faire")</f>
        <v/>
      </c>
      <c r="F825" s="30">
        <f>IF(COUNTIF(Tags!$A:$A,$A825)&gt;0,"ok","à faire")</f>
        <v/>
      </c>
      <c r="G825" s="30">
        <f>IF(COUNTIF(Phrases!$A:$A,$A825)&gt;0,"ok","à faire")</f>
        <v/>
      </c>
      <c r="H825" s="30">
        <f>IF(COUNTIFS(Phrases!$A:$A,$A825,Phrases!$I:$I,"&lt;&gt;")&gt;0,"ok","à faire")</f>
        <v/>
      </c>
      <c r="I825" s="30">
        <f>IF(COUNTIF(Synonymes!$A:$A,$A825)&gt;0,"ok","")</f>
        <v/>
      </c>
      <c r="J825" s="30">
        <f>COUNTIF(E825:H825,"à faire")</f>
        <v/>
      </c>
    </row>
    <row r="826">
      <c r="A826" s="30" t="inlineStr">
        <is>
          <t>fin</t>
        </is>
      </c>
      <c r="B826" s="30">
        <f>IFERROR(INDEX(Mots!$B:$B,MATCH($A826,Mots!$A:$A,0)),"introuvable")</f>
        <v/>
      </c>
      <c r="C826" s="30">
        <f>IFERROR(INDEX(Mots!$S:$S,MATCH($A826,Mots!$A:$A,0)),"")</f>
        <v/>
      </c>
      <c r="D826" s="30">
        <f>IFERROR(COUNTA(INDEX(Mots!$J:$J,MATCH($A826,Mots!$A:$A,0)):INDEX(Mots!$P:$P,MATCH($A826,Mots!$A:$A,0))),0)</f>
        <v/>
      </c>
      <c r="E826" s="30">
        <f>IF(COUNTIF(Classement!$A:$A,$A826)&gt;0,"ok","à faire")</f>
        <v/>
      </c>
      <c r="F826" s="30">
        <f>IF(COUNTIF(Tags!$A:$A,$A826)&gt;0,"ok","à faire")</f>
        <v/>
      </c>
      <c r="G826" s="30">
        <f>IF(COUNTIF(Phrases!$A:$A,$A826)&gt;0,"ok","à faire")</f>
        <v/>
      </c>
      <c r="H826" s="30">
        <f>IF(COUNTIFS(Phrases!$A:$A,$A826,Phrases!$I:$I,"&lt;&gt;")&gt;0,"ok","à faire")</f>
        <v/>
      </c>
      <c r="I826" s="30">
        <f>IF(COUNTIF(Synonymes!$A:$A,$A826)&gt;0,"ok","")</f>
        <v/>
      </c>
      <c r="J826" s="30">
        <f>COUNTIF(E826:H826,"à faire")</f>
        <v/>
      </c>
    </row>
    <row r="827">
      <c r="A827" s="30" t="inlineStr">
        <is>
          <t>flamme</t>
        </is>
      </c>
      <c r="B827" s="30">
        <f>IFERROR(INDEX(Mots!$B:$B,MATCH($A827,Mots!$A:$A,0)),"introuvable")</f>
        <v/>
      </c>
      <c r="C827" s="30">
        <f>IFERROR(INDEX(Mots!$S:$S,MATCH($A827,Mots!$A:$A,0)),"")</f>
        <v/>
      </c>
      <c r="D827" s="30">
        <f>IFERROR(COUNTA(INDEX(Mots!$J:$J,MATCH($A827,Mots!$A:$A,0)):INDEX(Mots!$P:$P,MATCH($A827,Mots!$A:$A,0))),0)</f>
        <v/>
      </c>
      <c r="E827" s="30">
        <f>IF(COUNTIF(Classement!$A:$A,$A827)&gt;0,"ok","à faire")</f>
        <v/>
      </c>
      <c r="F827" s="30">
        <f>IF(COUNTIF(Tags!$A:$A,$A827)&gt;0,"ok","à faire")</f>
        <v/>
      </c>
      <c r="G827" s="30">
        <f>IF(COUNTIF(Phrases!$A:$A,$A827)&gt;0,"ok","à faire")</f>
        <v/>
      </c>
      <c r="H827" s="30">
        <f>IF(COUNTIFS(Phrases!$A:$A,$A827,Phrases!$I:$I,"&lt;&gt;")&gt;0,"ok","à faire")</f>
        <v/>
      </c>
      <c r="I827" s="30">
        <f>IF(COUNTIF(Synonymes!$A:$A,$A827)&gt;0,"ok","")</f>
        <v/>
      </c>
      <c r="J827" s="30">
        <f>COUNTIF(E827:H827,"à faire")</f>
        <v/>
      </c>
    </row>
    <row r="828">
      <c r="A828" s="30" t="inlineStr">
        <is>
          <t>fois</t>
        </is>
      </c>
      <c r="B828" s="30">
        <f>IFERROR(INDEX(Mots!$B:$B,MATCH($A828,Mots!$A:$A,0)),"introuvable")</f>
        <v/>
      </c>
      <c r="C828" s="30">
        <f>IFERROR(INDEX(Mots!$S:$S,MATCH($A828,Mots!$A:$A,0)),"")</f>
        <v/>
      </c>
      <c r="D828" s="30">
        <f>IFERROR(COUNTA(INDEX(Mots!$J:$J,MATCH($A828,Mots!$A:$A,0)):INDEX(Mots!$P:$P,MATCH($A828,Mots!$A:$A,0))),0)</f>
        <v/>
      </c>
      <c r="E828" s="30">
        <f>IF(COUNTIF(Classement!$A:$A,$A828)&gt;0,"ok","à faire")</f>
        <v/>
      </c>
      <c r="F828" s="30">
        <f>IF(COUNTIF(Tags!$A:$A,$A828)&gt;0,"ok","à faire")</f>
        <v/>
      </c>
      <c r="G828" s="30">
        <f>IF(COUNTIF(Phrases!$A:$A,$A828)&gt;0,"ok","à faire")</f>
        <v/>
      </c>
      <c r="H828" s="30">
        <f>IF(COUNTIFS(Phrases!$A:$A,$A828,Phrases!$I:$I,"&lt;&gt;")&gt;0,"ok","à faire")</f>
        <v/>
      </c>
      <c r="I828" s="30">
        <f>IF(COUNTIF(Synonymes!$A:$A,$A828)&gt;0,"ok","")</f>
        <v/>
      </c>
      <c r="J828" s="30">
        <f>COUNTIF(E828:H828,"à faire")</f>
        <v/>
      </c>
    </row>
    <row r="829">
      <c r="A829" s="30" t="inlineStr">
        <is>
          <t>fontaine</t>
        </is>
      </c>
      <c r="B829" s="30">
        <f>IFERROR(INDEX(Mots!$B:$B,MATCH($A829,Mots!$A:$A,0)),"introuvable")</f>
        <v/>
      </c>
      <c r="C829" s="30">
        <f>IFERROR(INDEX(Mots!$S:$S,MATCH($A829,Mots!$A:$A,0)),"")</f>
        <v/>
      </c>
      <c r="D829" s="30">
        <f>IFERROR(COUNTA(INDEX(Mots!$J:$J,MATCH($A829,Mots!$A:$A,0)):INDEX(Mots!$P:$P,MATCH($A829,Mots!$A:$A,0))),0)</f>
        <v/>
      </c>
      <c r="E829" s="30">
        <f>IF(COUNTIF(Classement!$A:$A,$A829)&gt;0,"ok","à faire")</f>
        <v/>
      </c>
      <c r="F829" s="30">
        <f>IF(COUNTIF(Tags!$A:$A,$A829)&gt;0,"ok","à faire")</f>
        <v/>
      </c>
      <c r="G829" s="30">
        <f>IF(COUNTIF(Phrases!$A:$A,$A829)&gt;0,"ok","à faire")</f>
        <v/>
      </c>
      <c r="H829" s="30">
        <f>IF(COUNTIFS(Phrases!$A:$A,$A829,Phrases!$I:$I,"&lt;&gt;")&gt;0,"ok","à faire")</f>
        <v/>
      </c>
      <c r="I829" s="30">
        <f>IF(COUNTIF(Synonymes!$A:$A,$A829)&gt;0,"ok","")</f>
        <v/>
      </c>
      <c r="J829" s="30">
        <f>COUNTIF(E829:H829,"à faire")</f>
        <v/>
      </c>
    </row>
    <row r="830">
      <c r="A830" s="30" t="inlineStr">
        <is>
          <t>force</t>
        </is>
      </c>
      <c r="B830" s="30">
        <f>IFERROR(INDEX(Mots!$B:$B,MATCH($A830,Mots!$A:$A,0)),"introuvable")</f>
        <v/>
      </c>
      <c r="C830" s="30">
        <f>IFERROR(INDEX(Mots!$S:$S,MATCH($A830,Mots!$A:$A,0)),"")</f>
        <v/>
      </c>
      <c r="D830" s="30">
        <f>IFERROR(COUNTA(INDEX(Mots!$J:$J,MATCH($A830,Mots!$A:$A,0)):INDEX(Mots!$P:$P,MATCH($A830,Mots!$A:$A,0))),0)</f>
        <v/>
      </c>
      <c r="E830" s="30">
        <f>IF(COUNTIF(Classement!$A:$A,$A830)&gt;0,"ok","à faire")</f>
        <v/>
      </c>
      <c r="F830" s="30">
        <f>IF(COUNTIF(Tags!$A:$A,$A830)&gt;0,"ok","à faire")</f>
        <v/>
      </c>
      <c r="G830" s="30">
        <f>IF(COUNTIF(Phrases!$A:$A,$A830)&gt;0,"ok","à faire")</f>
        <v/>
      </c>
      <c r="H830" s="30">
        <f>IF(COUNTIFS(Phrases!$A:$A,$A830,Phrases!$I:$I,"&lt;&gt;")&gt;0,"ok","à faire")</f>
        <v/>
      </c>
      <c r="I830" s="30">
        <f>IF(COUNTIF(Synonymes!$A:$A,$A830)&gt;0,"ok","")</f>
        <v/>
      </c>
      <c r="J830" s="30">
        <f>COUNTIF(E830:H830,"à faire")</f>
        <v/>
      </c>
    </row>
    <row r="831">
      <c r="A831" s="30" t="inlineStr">
        <is>
          <t>forme</t>
        </is>
      </c>
      <c r="B831" s="30">
        <f>IFERROR(INDEX(Mots!$B:$B,MATCH($A831,Mots!$A:$A,0)),"introuvable")</f>
        <v/>
      </c>
      <c r="C831" s="30">
        <f>IFERROR(INDEX(Mots!$S:$S,MATCH($A831,Mots!$A:$A,0)),"")</f>
        <v/>
      </c>
      <c r="D831" s="30">
        <f>IFERROR(COUNTA(INDEX(Mots!$J:$J,MATCH($A831,Mots!$A:$A,0)):INDEX(Mots!$P:$P,MATCH($A831,Mots!$A:$A,0))),0)</f>
        <v/>
      </c>
      <c r="E831" s="30">
        <f>IF(COUNTIF(Classement!$A:$A,$A831)&gt;0,"ok","à faire")</f>
        <v/>
      </c>
      <c r="F831" s="30">
        <f>IF(COUNTIF(Tags!$A:$A,$A831)&gt;0,"ok","à faire")</f>
        <v/>
      </c>
      <c r="G831" s="30">
        <f>IF(COUNTIF(Phrases!$A:$A,$A831)&gt;0,"ok","à faire")</f>
        <v/>
      </c>
      <c r="H831" s="30">
        <f>IF(COUNTIFS(Phrases!$A:$A,$A831,Phrases!$I:$I,"&lt;&gt;")&gt;0,"ok","à faire")</f>
        <v/>
      </c>
      <c r="I831" s="30">
        <f>IF(COUNTIF(Synonymes!$A:$A,$A831)&gt;0,"ok","")</f>
        <v/>
      </c>
      <c r="J831" s="30">
        <f>COUNTIF(E831:H831,"à faire")</f>
        <v/>
      </c>
    </row>
    <row r="832">
      <c r="A832" s="30" t="inlineStr">
        <is>
          <t>foule</t>
        </is>
      </c>
      <c r="B832" s="30">
        <f>IFERROR(INDEX(Mots!$B:$B,MATCH($A832,Mots!$A:$A,0)),"introuvable")</f>
        <v/>
      </c>
      <c r="C832" s="30">
        <f>IFERROR(INDEX(Mots!$S:$S,MATCH($A832,Mots!$A:$A,0)),"")</f>
        <v/>
      </c>
      <c r="D832" s="30">
        <f>IFERROR(COUNTA(INDEX(Mots!$J:$J,MATCH($A832,Mots!$A:$A,0)):INDEX(Mots!$P:$P,MATCH($A832,Mots!$A:$A,0))),0)</f>
        <v/>
      </c>
      <c r="E832" s="30">
        <f>IF(COUNTIF(Classement!$A:$A,$A832)&gt;0,"ok","à faire")</f>
        <v/>
      </c>
      <c r="F832" s="30">
        <f>IF(COUNTIF(Tags!$A:$A,$A832)&gt;0,"ok","à faire")</f>
        <v/>
      </c>
      <c r="G832" s="30">
        <f>IF(COUNTIF(Phrases!$A:$A,$A832)&gt;0,"ok","à faire")</f>
        <v/>
      </c>
      <c r="H832" s="30">
        <f>IF(COUNTIFS(Phrases!$A:$A,$A832,Phrases!$I:$I,"&lt;&gt;")&gt;0,"ok","à faire")</f>
        <v/>
      </c>
      <c r="I832" s="30">
        <f>IF(COUNTIF(Synonymes!$A:$A,$A832)&gt;0,"ok","")</f>
        <v/>
      </c>
      <c r="J832" s="30">
        <f>COUNTIF(E832:H832,"à faire")</f>
        <v/>
      </c>
    </row>
    <row r="833">
      <c r="A833" s="30" t="inlineStr">
        <is>
          <t>friandise</t>
        </is>
      </c>
      <c r="B833" s="30">
        <f>IFERROR(INDEX(Mots!$B:$B,MATCH($A833,Mots!$A:$A,0)),"introuvable")</f>
        <v/>
      </c>
      <c r="C833" s="30">
        <f>IFERROR(INDEX(Mots!$S:$S,MATCH($A833,Mots!$A:$A,0)),"")</f>
        <v/>
      </c>
      <c r="D833" s="30">
        <f>IFERROR(COUNTA(INDEX(Mots!$J:$J,MATCH($A833,Mots!$A:$A,0)):INDEX(Mots!$P:$P,MATCH($A833,Mots!$A:$A,0))),0)</f>
        <v/>
      </c>
      <c r="E833" s="30">
        <f>IF(COUNTIF(Classement!$A:$A,$A833)&gt;0,"ok","à faire")</f>
        <v/>
      </c>
      <c r="F833" s="30">
        <f>IF(COUNTIF(Tags!$A:$A,$A833)&gt;0,"ok","à faire")</f>
        <v/>
      </c>
      <c r="G833" s="30">
        <f>IF(COUNTIF(Phrases!$A:$A,$A833)&gt;0,"ok","à faire")</f>
        <v/>
      </c>
      <c r="H833" s="30">
        <f>IF(COUNTIFS(Phrases!$A:$A,$A833,Phrases!$I:$I,"&lt;&gt;")&gt;0,"ok","à faire")</f>
        <v/>
      </c>
      <c r="I833" s="30">
        <f>IF(COUNTIF(Synonymes!$A:$A,$A833)&gt;0,"ok","")</f>
        <v/>
      </c>
      <c r="J833" s="30">
        <f>COUNTIF(E833:H833,"à faire")</f>
        <v/>
      </c>
    </row>
    <row r="834">
      <c r="A834" s="30" t="inlineStr">
        <is>
          <t>gaiete</t>
        </is>
      </c>
      <c r="B834" s="30">
        <f>IFERROR(INDEX(Mots!$B:$B,MATCH($A834,Mots!$A:$A,0)),"introuvable")</f>
        <v/>
      </c>
      <c r="C834" s="30">
        <f>IFERROR(INDEX(Mots!$S:$S,MATCH($A834,Mots!$A:$A,0)),"")</f>
        <v/>
      </c>
      <c r="D834" s="30">
        <f>IFERROR(COUNTA(INDEX(Mots!$J:$J,MATCH($A834,Mots!$A:$A,0)):INDEX(Mots!$P:$P,MATCH($A834,Mots!$A:$A,0))),0)</f>
        <v/>
      </c>
      <c r="E834" s="30">
        <f>IF(COUNTIF(Classement!$A:$A,$A834)&gt;0,"ok","à faire")</f>
        <v/>
      </c>
      <c r="F834" s="30">
        <f>IF(COUNTIF(Tags!$A:$A,$A834)&gt;0,"ok","à faire")</f>
        <v/>
      </c>
      <c r="G834" s="30">
        <f>IF(COUNTIF(Phrases!$A:$A,$A834)&gt;0,"ok","à faire")</f>
        <v/>
      </c>
      <c r="H834" s="30">
        <f>IF(COUNTIFS(Phrases!$A:$A,$A834,Phrases!$I:$I,"&lt;&gt;")&gt;0,"ok","à faire")</f>
        <v/>
      </c>
      <c r="I834" s="30">
        <f>IF(COUNTIF(Synonymes!$A:$A,$A834)&gt;0,"ok","")</f>
        <v/>
      </c>
      <c r="J834" s="30">
        <f>COUNTIF(E834:H834,"à faire")</f>
        <v/>
      </c>
    </row>
    <row r="835">
      <c r="A835" s="30" t="inlineStr">
        <is>
          <t>garantie</t>
        </is>
      </c>
      <c r="B835" s="30">
        <f>IFERROR(INDEX(Mots!$B:$B,MATCH($A835,Mots!$A:$A,0)),"introuvable")</f>
        <v/>
      </c>
      <c r="C835" s="30">
        <f>IFERROR(INDEX(Mots!$S:$S,MATCH($A835,Mots!$A:$A,0)),"")</f>
        <v/>
      </c>
      <c r="D835" s="30">
        <f>IFERROR(COUNTA(INDEX(Mots!$J:$J,MATCH($A835,Mots!$A:$A,0)):INDEX(Mots!$P:$P,MATCH($A835,Mots!$A:$A,0))),0)</f>
        <v/>
      </c>
      <c r="E835" s="30">
        <f>IF(COUNTIF(Classement!$A:$A,$A835)&gt;0,"ok","à faire")</f>
        <v/>
      </c>
      <c r="F835" s="30">
        <f>IF(COUNTIF(Tags!$A:$A,$A835)&gt;0,"ok","à faire")</f>
        <v/>
      </c>
      <c r="G835" s="30">
        <f>IF(COUNTIF(Phrases!$A:$A,$A835)&gt;0,"ok","à faire")</f>
        <v/>
      </c>
      <c r="H835" s="30">
        <f>IF(COUNTIFS(Phrases!$A:$A,$A835,Phrases!$I:$I,"&lt;&gt;")&gt;0,"ok","à faire")</f>
        <v/>
      </c>
      <c r="I835" s="30">
        <f>IF(COUNTIF(Synonymes!$A:$A,$A835)&gt;0,"ok","")</f>
        <v/>
      </c>
      <c r="J835" s="30">
        <f>COUNTIF(E835:H835,"à faire")</f>
        <v/>
      </c>
    </row>
    <row r="836">
      <c r="A836" s="30" t="inlineStr">
        <is>
          <t>gentillesse</t>
        </is>
      </c>
      <c r="B836" s="30">
        <f>IFERROR(INDEX(Mots!$B:$B,MATCH($A836,Mots!$A:$A,0)),"introuvable")</f>
        <v/>
      </c>
      <c r="C836" s="30">
        <f>IFERROR(INDEX(Mots!$S:$S,MATCH($A836,Mots!$A:$A,0)),"")</f>
        <v/>
      </c>
      <c r="D836" s="30">
        <f>IFERROR(COUNTA(INDEX(Mots!$J:$J,MATCH($A836,Mots!$A:$A,0)):INDEX(Mots!$P:$P,MATCH($A836,Mots!$A:$A,0))),0)</f>
        <v/>
      </c>
      <c r="E836" s="30">
        <f>IF(COUNTIF(Classement!$A:$A,$A836)&gt;0,"ok","à faire")</f>
        <v/>
      </c>
      <c r="F836" s="30">
        <f>IF(COUNTIF(Tags!$A:$A,$A836)&gt;0,"ok","à faire")</f>
        <v/>
      </c>
      <c r="G836" s="30">
        <f>IF(COUNTIF(Phrases!$A:$A,$A836)&gt;0,"ok","à faire")</f>
        <v/>
      </c>
      <c r="H836" s="30">
        <f>IF(COUNTIFS(Phrases!$A:$A,$A836,Phrases!$I:$I,"&lt;&gt;")&gt;0,"ok","à faire")</f>
        <v/>
      </c>
      <c r="I836" s="30">
        <f>IF(COUNTIF(Synonymes!$A:$A,$A836)&gt;0,"ok","")</f>
        <v/>
      </c>
      <c r="J836" s="30">
        <f>COUNTIF(E836:H836,"à faire")</f>
        <v/>
      </c>
    </row>
    <row r="837">
      <c r="A837" s="30" t="inlineStr">
        <is>
          <t>glace</t>
        </is>
      </c>
      <c r="B837" s="30">
        <f>IFERROR(INDEX(Mots!$B:$B,MATCH($A837,Mots!$A:$A,0)),"introuvable")</f>
        <v/>
      </c>
      <c r="C837" s="30">
        <f>IFERROR(INDEX(Mots!$S:$S,MATCH($A837,Mots!$A:$A,0)),"")</f>
        <v/>
      </c>
      <c r="D837" s="30">
        <f>IFERROR(COUNTA(INDEX(Mots!$J:$J,MATCH($A837,Mots!$A:$A,0)):INDEX(Mots!$P:$P,MATCH($A837,Mots!$A:$A,0))),0)</f>
        <v/>
      </c>
      <c r="E837" s="30">
        <f>IF(COUNTIF(Classement!$A:$A,$A837)&gt;0,"ok","à faire")</f>
        <v/>
      </c>
      <c r="F837" s="30">
        <f>IF(COUNTIF(Tags!$A:$A,$A837)&gt;0,"ok","à faire")</f>
        <v/>
      </c>
      <c r="G837" s="30">
        <f>IF(COUNTIF(Phrases!$A:$A,$A837)&gt;0,"ok","à faire")</f>
        <v/>
      </c>
      <c r="H837" s="30">
        <f>IF(COUNTIFS(Phrases!$A:$A,$A837,Phrases!$I:$I,"&lt;&gt;")&gt;0,"ok","à faire")</f>
        <v/>
      </c>
      <c r="I837" s="30">
        <f>IF(COUNTIF(Synonymes!$A:$A,$A837)&gt;0,"ok","")</f>
        <v/>
      </c>
      <c r="J837" s="30">
        <f>COUNTIF(E837:H837,"à faire")</f>
        <v/>
      </c>
    </row>
    <row r="838">
      <c r="A838" s="30" t="inlineStr">
        <is>
          <t>gorge</t>
        </is>
      </c>
      <c r="B838" s="30">
        <f>IFERROR(INDEX(Mots!$B:$B,MATCH($A838,Mots!$A:$A,0)),"introuvable")</f>
        <v/>
      </c>
      <c r="C838" s="30">
        <f>IFERROR(INDEX(Mots!$S:$S,MATCH($A838,Mots!$A:$A,0)),"")</f>
        <v/>
      </c>
      <c r="D838" s="30">
        <f>IFERROR(COUNTA(INDEX(Mots!$J:$J,MATCH($A838,Mots!$A:$A,0)):INDEX(Mots!$P:$P,MATCH($A838,Mots!$A:$A,0))),0)</f>
        <v/>
      </c>
      <c r="E838" s="30">
        <f>IF(COUNTIF(Classement!$A:$A,$A838)&gt;0,"ok","à faire")</f>
        <v/>
      </c>
      <c r="F838" s="30">
        <f>IF(COUNTIF(Tags!$A:$A,$A838)&gt;0,"ok","à faire")</f>
        <v/>
      </c>
      <c r="G838" s="30">
        <f>IF(COUNTIF(Phrases!$A:$A,$A838)&gt;0,"ok","à faire")</f>
        <v/>
      </c>
      <c r="H838" s="30">
        <f>IF(COUNTIFS(Phrases!$A:$A,$A838,Phrases!$I:$I,"&lt;&gt;")&gt;0,"ok","à faire")</f>
        <v/>
      </c>
      <c r="I838" s="30">
        <f>IF(COUNTIF(Synonymes!$A:$A,$A838)&gt;0,"ok","")</f>
        <v/>
      </c>
      <c r="J838" s="30">
        <f>COUNTIF(E838:H838,"à faire")</f>
        <v/>
      </c>
    </row>
    <row r="839">
      <c r="A839" s="30" t="inlineStr">
        <is>
          <t>goutte</t>
        </is>
      </c>
      <c r="B839" s="30">
        <f>IFERROR(INDEX(Mots!$B:$B,MATCH($A839,Mots!$A:$A,0)),"introuvable")</f>
        <v/>
      </c>
      <c r="C839" s="30">
        <f>IFERROR(INDEX(Mots!$S:$S,MATCH($A839,Mots!$A:$A,0)),"")</f>
        <v/>
      </c>
      <c r="D839" s="30">
        <f>IFERROR(COUNTA(INDEX(Mots!$J:$J,MATCH($A839,Mots!$A:$A,0)):INDEX(Mots!$P:$P,MATCH($A839,Mots!$A:$A,0))),0)</f>
        <v/>
      </c>
      <c r="E839" s="30">
        <f>IF(COUNTIF(Classement!$A:$A,$A839)&gt;0,"ok","à faire")</f>
        <v/>
      </c>
      <c r="F839" s="30">
        <f>IF(COUNTIF(Tags!$A:$A,$A839)&gt;0,"ok","à faire")</f>
        <v/>
      </c>
      <c r="G839" s="30">
        <f>IF(COUNTIF(Phrases!$A:$A,$A839)&gt;0,"ok","à faire")</f>
        <v/>
      </c>
      <c r="H839" s="30">
        <f>IF(COUNTIFS(Phrases!$A:$A,$A839,Phrases!$I:$I,"&lt;&gt;")&gt;0,"ok","à faire")</f>
        <v/>
      </c>
      <c r="I839" s="30">
        <f>IF(COUNTIF(Synonymes!$A:$A,$A839)&gt;0,"ok","")</f>
        <v/>
      </c>
      <c r="J839" s="30">
        <f>COUNTIF(E839:H839,"à faire")</f>
        <v/>
      </c>
    </row>
    <row r="840">
      <c r="A840" s="30" t="inlineStr">
        <is>
          <t>graine</t>
        </is>
      </c>
      <c r="B840" s="30">
        <f>IFERROR(INDEX(Mots!$B:$B,MATCH($A840,Mots!$A:$A,0)),"introuvable")</f>
        <v/>
      </c>
      <c r="C840" s="30">
        <f>IFERROR(INDEX(Mots!$S:$S,MATCH($A840,Mots!$A:$A,0)),"")</f>
        <v/>
      </c>
      <c r="D840" s="30">
        <f>IFERROR(COUNTA(INDEX(Mots!$J:$J,MATCH($A840,Mots!$A:$A,0)):INDEX(Mots!$P:$P,MATCH($A840,Mots!$A:$A,0))),0)</f>
        <v/>
      </c>
      <c r="E840" s="30">
        <f>IF(COUNTIF(Classement!$A:$A,$A840)&gt;0,"ok","à faire")</f>
        <v/>
      </c>
      <c r="F840" s="30">
        <f>IF(COUNTIF(Tags!$A:$A,$A840)&gt;0,"ok","à faire")</f>
        <v/>
      </c>
      <c r="G840" s="30">
        <f>IF(COUNTIF(Phrases!$A:$A,$A840)&gt;0,"ok","à faire")</f>
        <v/>
      </c>
      <c r="H840" s="30">
        <f>IF(COUNTIFS(Phrases!$A:$A,$A840,Phrases!$I:$I,"&lt;&gt;")&gt;0,"ok","à faire")</f>
        <v/>
      </c>
      <c r="I840" s="30">
        <f>IF(COUNTIF(Synonymes!$A:$A,$A840)&gt;0,"ok","")</f>
        <v/>
      </c>
      <c r="J840" s="30">
        <f>COUNTIF(E840:H840,"à faire")</f>
        <v/>
      </c>
    </row>
    <row r="841">
      <c r="A841" s="30" t="inlineStr">
        <is>
          <t>graisse</t>
        </is>
      </c>
      <c r="B841" s="30">
        <f>IFERROR(INDEX(Mots!$B:$B,MATCH($A841,Mots!$A:$A,0)),"introuvable")</f>
        <v/>
      </c>
      <c r="C841" s="30">
        <f>IFERROR(INDEX(Mots!$S:$S,MATCH($A841,Mots!$A:$A,0)),"")</f>
        <v/>
      </c>
      <c r="D841" s="30">
        <f>IFERROR(COUNTA(INDEX(Mots!$J:$J,MATCH($A841,Mots!$A:$A,0)):INDEX(Mots!$P:$P,MATCH($A841,Mots!$A:$A,0))),0)</f>
        <v/>
      </c>
      <c r="E841" s="30">
        <f>IF(COUNTIF(Classement!$A:$A,$A841)&gt;0,"ok","à faire")</f>
        <v/>
      </c>
      <c r="F841" s="30">
        <f>IF(COUNTIF(Tags!$A:$A,$A841)&gt;0,"ok","à faire")</f>
        <v/>
      </c>
      <c r="G841" s="30">
        <f>IF(COUNTIF(Phrases!$A:$A,$A841)&gt;0,"ok","à faire")</f>
        <v/>
      </c>
      <c r="H841" s="30">
        <f>IF(COUNTIFS(Phrases!$A:$A,$A841,Phrases!$I:$I,"&lt;&gt;")&gt;0,"ok","à faire")</f>
        <v/>
      </c>
      <c r="I841" s="30">
        <f>IF(COUNTIF(Synonymes!$A:$A,$A841)&gt;0,"ok","")</f>
        <v/>
      </c>
      <c r="J841" s="30">
        <f>COUNTIF(E841:H841,"à faire")</f>
        <v/>
      </c>
    </row>
    <row r="842">
      <c r="A842" s="30" t="inlineStr">
        <is>
          <t>grille</t>
        </is>
      </c>
      <c r="B842" s="30">
        <f>IFERROR(INDEX(Mots!$B:$B,MATCH($A842,Mots!$A:$A,0)),"introuvable")</f>
        <v/>
      </c>
      <c r="C842" s="30">
        <f>IFERROR(INDEX(Mots!$S:$S,MATCH($A842,Mots!$A:$A,0)),"")</f>
        <v/>
      </c>
      <c r="D842" s="30">
        <f>IFERROR(COUNTA(INDEX(Mots!$J:$J,MATCH($A842,Mots!$A:$A,0)):INDEX(Mots!$P:$P,MATCH($A842,Mots!$A:$A,0))),0)</f>
        <v/>
      </c>
      <c r="E842" s="30">
        <f>IF(COUNTIF(Classement!$A:$A,$A842)&gt;0,"ok","à faire")</f>
        <v/>
      </c>
      <c r="F842" s="30">
        <f>IF(COUNTIF(Tags!$A:$A,$A842)&gt;0,"ok","à faire")</f>
        <v/>
      </c>
      <c r="G842" s="30">
        <f>IF(COUNTIF(Phrases!$A:$A,$A842)&gt;0,"ok","à faire")</f>
        <v/>
      </c>
      <c r="H842" s="30">
        <f>IF(COUNTIFS(Phrases!$A:$A,$A842,Phrases!$I:$I,"&lt;&gt;")&gt;0,"ok","à faire")</f>
        <v/>
      </c>
      <c r="I842" s="30">
        <f>IF(COUNTIF(Synonymes!$A:$A,$A842)&gt;0,"ok","")</f>
        <v/>
      </c>
      <c r="J842" s="30">
        <f>COUNTIF(E842:H842,"à faire")</f>
        <v/>
      </c>
    </row>
    <row r="843">
      <c r="A843" s="30" t="inlineStr">
        <is>
          <t>grotte</t>
        </is>
      </c>
      <c r="B843" s="30">
        <f>IFERROR(INDEX(Mots!$B:$B,MATCH($A843,Mots!$A:$A,0)),"introuvable")</f>
        <v/>
      </c>
      <c r="C843" s="30">
        <f>IFERROR(INDEX(Mots!$S:$S,MATCH($A843,Mots!$A:$A,0)),"")</f>
        <v/>
      </c>
      <c r="D843" s="30">
        <f>IFERROR(COUNTA(INDEX(Mots!$J:$J,MATCH($A843,Mots!$A:$A,0)):INDEX(Mots!$P:$P,MATCH($A843,Mots!$A:$A,0))),0)</f>
        <v/>
      </c>
      <c r="E843" s="30">
        <f>IF(COUNTIF(Classement!$A:$A,$A843)&gt;0,"ok","à faire")</f>
        <v/>
      </c>
      <c r="F843" s="30">
        <f>IF(COUNTIF(Tags!$A:$A,$A843)&gt;0,"ok","à faire")</f>
        <v/>
      </c>
      <c r="G843" s="30">
        <f>IF(COUNTIF(Phrases!$A:$A,$A843)&gt;0,"ok","à faire")</f>
        <v/>
      </c>
      <c r="H843" s="30">
        <f>IF(COUNTIFS(Phrases!$A:$A,$A843,Phrases!$I:$I,"&lt;&gt;")&gt;0,"ok","à faire")</f>
        <v/>
      </c>
      <c r="I843" s="30">
        <f>IF(COUNTIF(Synonymes!$A:$A,$A843)&gt;0,"ok","")</f>
        <v/>
      </c>
      <c r="J843" s="30">
        <f>COUNTIF(E843:H843,"à faire")</f>
        <v/>
      </c>
    </row>
    <row r="844">
      <c r="A844" s="30" t="inlineStr">
        <is>
          <t>guepe</t>
        </is>
      </c>
      <c r="B844" s="30">
        <f>IFERROR(INDEX(Mots!$B:$B,MATCH($A844,Mots!$A:$A,0)),"introuvable")</f>
        <v/>
      </c>
      <c r="C844" s="30">
        <f>IFERROR(INDEX(Mots!$S:$S,MATCH($A844,Mots!$A:$A,0)),"")</f>
        <v/>
      </c>
      <c r="D844" s="30">
        <f>IFERROR(COUNTA(INDEX(Mots!$J:$J,MATCH($A844,Mots!$A:$A,0)):INDEX(Mots!$P:$P,MATCH($A844,Mots!$A:$A,0))),0)</f>
        <v/>
      </c>
      <c r="E844" s="30">
        <f>IF(COUNTIF(Classement!$A:$A,$A844)&gt;0,"ok","à faire")</f>
        <v/>
      </c>
      <c r="F844" s="30">
        <f>IF(COUNTIF(Tags!$A:$A,$A844)&gt;0,"ok","à faire")</f>
        <v/>
      </c>
      <c r="G844" s="30">
        <f>IF(COUNTIF(Phrases!$A:$A,$A844)&gt;0,"ok","à faire")</f>
        <v/>
      </c>
      <c r="H844" s="30">
        <f>IF(COUNTIFS(Phrases!$A:$A,$A844,Phrases!$I:$I,"&lt;&gt;")&gt;0,"ok","à faire")</f>
        <v/>
      </c>
      <c r="I844" s="30">
        <f>IF(COUNTIF(Synonymes!$A:$A,$A844)&gt;0,"ok","")</f>
        <v/>
      </c>
      <c r="J844" s="30">
        <f>COUNTIF(E844:H844,"à faire")</f>
        <v/>
      </c>
    </row>
    <row r="845">
      <c r="A845" s="30" t="inlineStr">
        <is>
          <t>guerison</t>
        </is>
      </c>
      <c r="B845" s="30">
        <f>IFERROR(INDEX(Mots!$B:$B,MATCH($A845,Mots!$A:$A,0)),"introuvable")</f>
        <v/>
      </c>
      <c r="C845" s="30">
        <f>IFERROR(INDEX(Mots!$S:$S,MATCH($A845,Mots!$A:$A,0)),"")</f>
        <v/>
      </c>
      <c r="D845" s="30">
        <f>IFERROR(COUNTA(INDEX(Mots!$J:$J,MATCH($A845,Mots!$A:$A,0)):INDEX(Mots!$P:$P,MATCH($A845,Mots!$A:$A,0))),0)</f>
        <v/>
      </c>
      <c r="E845" s="30">
        <f>IF(COUNTIF(Classement!$A:$A,$A845)&gt;0,"ok","à faire")</f>
        <v/>
      </c>
      <c r="F845" s="30">
        <f>IF(COUNTIF(Tags!$A:$A,$A845)&gt;0,"ok","à faire")</f>
        <v/>
      </c>
      <c r="G845" s="30">
        <f>IF(COUNTIF(Phrases!$A:$A,$A845)&gt;0,"ok","à faire")</f>
        <v/>
      </c>
      <c r="H845" s="30">
        <f>IF(COUNTIFS(Phrases!$A:$A,$A845,Phrases!$I:$I,"&lt;&gt;")&gt;0,"ok","à faire")</f>
        <v/>
      </c>
      <c r="I845" s="30">
        <f>IF(COUNTIF(Synonymes!$A:$A,$A845)&gt;0,"ok","")</f>
        <v/>
      </c>
      <c r="J845" s="30">
        <f>COUNTIF(E845:H845,"à faire")</f>
        <v/>
      </c>
    </row>
    <row r="846">
      <c r="A846" s="30" t="inlineStr">
        <is>
          <t>guerre</t>
        </is>
      </c>
      <c r="B846" s="30">
        <f>IFERROR(INDEX(Mots!$B:$B,MATCH($A846,Mots!$A:$A,0)),"introuvable")</f>
        <v/>
      </c>
      <c r="C846" s="30">
        <f>IFERROR(INDEX(Mots!$S:$S,MATCH($A846,Mots!$A:$A,0)),"")</f>
        <v/>
      </c>
      <c r="D846" s="30">
        <f>IFERROR(COUNTA(INDEX(Mots!$J:$J,MATCH($A846,Mots!$A:$A,0)):INDEX(Mots!$P:$P,MATCH($A846,Mots!$A:$A,0))),0)</f>
        <v/>
      </c>
      <c r="E846" s="30">
        <f>IF(COUNTIF(Classement!$A:$A,$A846)&gt;0,"ok","à faire")</f>
        <v/>
      </c>
      <c r="F846" s="30">
        <f>IF(COUNTIF(Tags!$A:$A,$A846)&gt;0,"ok","à faire")</f>
        <v/>
      </c>
      <c r="G846" s="30">
        <f>IF(COUNTIF(Phrases!$A:$A,$A846)&gt;0,"ok","à faire")</f>
        <v/>
      </c>
      <c r="H846" s="30">
        <f>IF(COUNTIFS(Phrases!$A:$A,$A846,Phrases!$I:$I,"&lt;&gt;")&gt;0,"ok","à faire")</f>
        <v/>
      </c>
      <c r="I846" s="30">
        <f>IF(COUNTIF(Synonymes!$A:$A,$A846)&gt;0,"ok","")</f>
        <v/>
      </c>
      <c r="J846" s="30">
        <f>COUNTIF(E846:H846,"à faire")</f>
        <v/>
      </c>
    </row>
    <row r="847">
      <c r="A847" s="30" t="inlineStr">
        <is>
          <t>honte</t>
        </is>
      </c>
      <c r="B847" s="30">
        <f>IFERROR(INDEX(Mots!$B:$B,MATCH($A847,Mots!$A:$A,0)),"introuvable")</f>
        <v/>
      </c>
      <c r="C847" s="30">
        <f>IFERROR(INDEX(Mots!$S:$S,MATCH($A847,Mots!$A:$A,0)),"")</f>
        <v/>
      </c>
      <c r="D847" s="30">
        <f>IFERROR(COUNTA(INDEX(Mots!$J:$J,MATCH($A847,Mots!$A:$A,0)):INDEX(Mots!$P:$P,MATCH($A847,Mots!$A:$A,0))),0)</f>
        <v/>
      </c>
      <c r="E847" s="30">
        <f>IF(COUNTIF(Classement!$A:$A,$A847)&gt;0,"ok","à faire")</f>
        <v/>
      </c>
      <c r="F847" s="30">
        <f>IF(COUNTIF(Tags!$A:$A,$A847)&gt;0,"ok","à faire")</f>
        <v/>
      </c>
      <c r="G847" s="30">
        <f>IF(COUNTIF(Phrases!$A:$A,$A847)&gt;0,"ok","à faire")</f>
        <v/>
      </c>
      <c r="H847" s="30">
        <f>IF(COUNTIFS(Phrases!$A:$A,$A847,Phrases!$I:$I,"&lt;&gt;")&gt;0,"ok","à faire")</f>
        <v/>
      </c>
      <c r="I847" s="30">
        <f>IF(COUNTIF(Synonymes!$A:$A,$A847)&gt;0,"ok","")</f>
        <v/>
      </c>
      <c r="J847" s="30">
        <f>COUNTIF(E847:H847,"à faire")</f>
        <v/>
      </c>
    </row>
    <row r="848">
      <c r="A848" s="30" t="inlineStr">
        <is>
          <t>jalousie</t>
        </is>
      </c>
      <c r="B848" s="30">
        <f>IFERROR(INDEX(Mots!$B:$B,MATCH($A848,Mots!$A:$A,0)),"introuvable")</f>
        <v/>
      </c>
      <c r="C848" s="30">
        <f>IFERROR(INDEX(Mots!$S:$S,MATCH($A848,Mots!$A:$A,0)),"")</f>
        <v/>
      </c>
      <c r="D848" s="30">
        <f>IFERROR(COUNTA(INDEX(Mots!$J:$J,MATCH($A848,Mots!$A:$A,0)):INDEX(Mots!$P:$P,MATCH($A848,Mots!$A:$A,0))),0)</f>
        <v/>
      </c>
      <c r="E848" s="30">
        <f>IF(COUNTIF(Classement!$A:$A,$A848)&gt;0,"ok","à faire")</f>
        <v/>
      </c>
      <c r="F848" s="30">
        <f>IF(COUNTIF(Tags!$A:$A,$A848)&gt;0,"ok","à faire")</f>
        <v/>
      </c>
      <c r="G848" s="30">
        <f>IF(COUNTIF(Phrases!$A:$A,$A848)&gt;0,"ok","à faire")</f>
        <v/>
      </c>
      <c r="H848" s="30">
        <f>IF(COUNTIFS(Phrases!$A:$A,$A848,Phrases!$I:$I,"&lt;&gt;")&gt;0,"ok","à faire")</f>
        <v/>
      </c>
      <c r="I848" s="30">
        <f>IF(COUNTIF(Synonymes!$A:$A,$A848)&gt;0,"ok","")</f>
        <v/>
      </c>
      <c r="J848" s="30">
        <f>COUNTIF(E848:H848,"à faire")</f>
        <v/>
      </c>
    </row>
    <row r="849">
      <c r="A849" s="30" t="inlineStr">
        <is>
          <t>journee</t>
        </is>
      </c>
      <c r="B849" s="30">
        <f>IFERROR(INDEX(Mots!$B:$B,MATCH($A849,Mots!$A:$A,0)),"introuvable")</f>
        <v/>
      </c>
      <c r="C849" s="30">
        <f>IFERROR(INDEX(Mots!$S:$S,MATCH($A849,Mots!$A:$A,0)),"")</f>
        <v/>
      </c>
      <c r="D849" s="30">
        <f>IFERROR(COUNTA(INDEX(Mots!$J:$J,MATCH($A849,Mots!$A:$A,0)):INDEX(Mots!$P:$P,MATCH($A849,Mots!$A:$A,0))),0)</f>
        <v/>
      </c>
      <c r="E849" s="30">
        <f>IF(COUNTIF(Classement!$A:$A,$A849)&gt;0,"ok","à faire")</f>
        <v/>
      </c>
      <c r="F849" s="30">
        <f>IF(COUNTIF(Tags!$A:$A,$A849)&gt;0,"ok","à faire")</f>
        <v/>
      </c>
      <c r="G849" s="30">
        <f>IF(COUNTIF(Phrases!$A:$A,$A849)&gt;0,"ok","à faire")</f>
        <v/>
      </c>
      <c r="H849" s="30">
        <f>IF(COUNTIFS(Phrases!$A:$A,$A849,Phrases!$I:$I,"&lt;&gt;")&gt;0,"ok","à faire")</f>
        <v/>
      </c>
      <c r="I849" s="30">
        <f>IF(COUNTIF(Synonymes!$A:$A,$A849)&gt;0,"ok","")</f>
        <v/>
      </c>
      <c r="J849" s="30">
        <f>COUNTIF(E849:H849,"à faire")</f>
        <v/>
      </c>
    </row>
    <row r="850">
      <c r="A850" s="30" t="inlineStr">
        <is>
          <t>lame</t>
        </is>
      </c>
      <c r="B850" s="30">
        <f>IFERROR(INDEX(Mots!$B:$B,MATCH($A850,Mots!$A:$A,0)),"introuvable")</f>
        <v/>
      </c>
      <c r="C850" s="30">
        <f>IFERROR(INDEX(Mots!$S:$S,MATCH($A850,Mots!$A:$A,0)),"")</f>
        <v/>
      </c>
      <c r="D850" s="30">
        <f>IFERROR(COUNTA(INDEX(Mots!$J:$J,MATCH($A850,Mots!$A:$A,0)):INDEX(Mots!$P:$P,MATCH($A850,Mots!$A:$A,0))),0)</f>
        <v/>
      </c>
      <c r="E850" s="30">
        <f>IF(COUNTIF(Classement!$A:$A,$A850)&gt;0,"ok","à faire")</f>
        <v/>
      </c>
      <c r="F850" s="30">
        <f>IF(COUNTIF(Tags!$A:$A,$A850)&gt;0,"ok","à faire")</f>
        <v/>
      </c>
      <c r="G850" s="30">
        <f>IF(COUNTIF(Phrases!$A:$A,$A850)&gt;0,"ok","à faire")</f>
        <v/>
      </c>
      <c r="H850" s="30">
        <f>IF(COUNTIFS(Phrases!$A:$A,$A850,Phrases!$I:$I,"&lt;&gt;")&gt;0,"ok","à faire")</f>
        <v/>
      </c>
      <c r="I850" s="30">
        <f>IF(COUNTIF(Synonymes!$A:$A,$A850)&gt;0,"ok","")</f>
        <v/>
      </c>
      <c r="J850" s="30">
        <f>COUNTIF(E850:H850,"à faire")</f>
        <v/>
      </c>
    </row>
    <row r="851">
      <c r="A851" s="30" t="inlineStr">
        <is>
          <t>larme</t>
        </is>
      </c>
      <c r="B851" s="30">
        <f>IFERROR(INDEX(Mots!$B:$B,MATCH($A851,Mots!$A:$A,0)),"introuvable")</f>
        <v/>
      </c>
      <c r="C851" s="30">
        <f>IFERROR(INDEX(Mots!$S:$S,MATCH($A851,Mots!$A:$A,0)),"")</f>
        <v/>
      </c>
      <c r="D851" s="30">
        <f>IFERROR(COUNTA(INDEX(Mots!$J:$J,MATCH($A851,Mots!$A:$A,0)):INDEX(Mots!$P:$P,MATCH($A851,Mots!$A:$A,0))),0)</f>
        <v/>
      </c>
      <c r="E851" s="30">
        <f>IF(COUNTIF(Classement!$A:$A,$A851)&gt;0,"ok","à faire")</f>
        <v/>
      </c>
      <c r="F851" s="30">
        <f>IF(COUNTIF(Tags!$A:$A,$A851)&gt;0,"ok","à faire")</f>
        <v/>
      </c>
      <c r="G851" s="30">
        <f>IF(COUNTIF(Phrases!$A:$A,$A851)&gt;0,"ok","à faire")</f>
        <v/>
      </c>
      <c r="H851" s="30">
        <f>IF(COUNTIFS(Phrases!$A:$A,$A851,Phrases!$I:$I,"&lt;&gt;")&gt;0,"ok","à faire")</f>
        <v/>
      </c>
      <c r="I851" s="30">
        <f>IF(COUNTIF(Synonymes!$A:$A,$A851)&gt;0,"ok","")</f>
        <v/>
      </c>
      <c r="J851" s="30">
        <f>COUNTIF(E851:H851,"à faire")</f>
        <v/>
      </c>
    </row>
    <row r="852">
      <c r="A852" s="30" t="inlineStr">
        <is>
          <t>lecture</t>
        </is>
      </c>
      <c r="B852" s="30">
        <f>IFERROR(INDEX(Mots!$B:$B,MATCH($A852,Mots!$A:$A,0)),"introuvable")</f>
        <v/>
      </c>
      <c r="C852" s="30">
        <f>IFERROR(INDEX(Mots!$S:$S,MATCH($A852,Mots!$A:$A,0)),"")</f>
        <v/>
      </c>
      <c r="D852" s="30">
        <f>IFERROR(COUNTA(INDEX(Mots!$J:$J,MATCH($A852,Mots!$A:$A,0)):INDEX(Mots!$P:$P,MATCH($A852,Mots!$A:$A,0))),0)</f>
        <v/>
      </c>
      <c r="E852" s="30">
        <f>IF(COUNTIF(Classement!$A:$A,$A852)&gt;0,"ok","à faire")</f>
        <v/>
      </c>
      <c r="F852" s="30">
        <f>IF(COUNTIF(Tags!$A:$A,$A852)&gt;0,"ok","à faire")</f>
        <v/>
      </c>
      <c r="G852" s="30">
        <f>IF(COUNTIF(Phrases!$A:$A,$A852)&gt;0,"ok","à faire")</f>
        <v/>
      </c>
      <c r="H852" s="30">
        <f>IF(COUNTIFS(Phrases!$A:$A,$A852,Phrases!$I:$I,"&lt;&gt;")&gt;0,"ok","à faire")</f>
        <v/>
      </c>
      <c r="I852" s="30">
        <f>IF(COUNTIF(Synonymes!$A:$A,$A852)&gt;0,"ok","")</f>
        <v/>
      </c>
      <c r="J852" s="30">
        <f>COUNTIF(E852:H852,"à faire")</f>
        <v/>
      </c>
    </row>
    <row r="853">
      <c r="A853" s="30" t="inlineStr">
        <is>
          <t>ligne</t>
        </is>
      </c>
      <c r="B853" s="30">
        <f>IFERROR(INDEX(Mots!$B:$B,MATCH($A853,Mots!$A:$A,0)),"introuvable")</f>
        <v/>
      </c>
      <c r="C853" s="30">
        <f>IFERROR(INDEX(Mots!$S:$S,MATCH($A853,Mots!$A:$A,0)),"")</f>
        <v/>
      </c>
      <c r="D853" s="30">
        <f>IFERROR(COUNTA(INDEX(Mots!$J:$J,MATCH($A853,Mots!$A:$A,0)):INDEX(Mots!$P:$P,MATCH($A853,Mots!$A:$A,0))),0)</f>
        <v/>
      </c>
      <c r="E853" s="30">
        <f>IF(COUNTIF(Classement!$A:$A,$A853)&gt;0,"ok","à faire")</f>
        <v/>
      </c>
      <c r="F853" s="30">
        <f>IF(COUNTIF(Tags!$A:$A,$A853)&gt;0,"ok","à faire")</f>
        <v/>
      </c>
      <c r="G853" s="30">
        <f>IF(COUNTIF(Phrases!$A:$A,$A853)&gt;0,"ok","à faire")</f>
        <v/>
      </c>
      <c r="H853" s="30">
        <f>IF(COUNTIFS(Phrases!$A:$A,$A853,Phrases!$I:$I,"&lt;&gt;")&gt;0,"ok","à faire")</f>
        <v/>
      </c>
      <c r="I853" s="30">
        <f>IF(COUNTIF(Synonymes!$A:$A,$A853)&gt;0,"ok","")</f>
        <v/>
      </c>
      <c r="J853" s="30">
        <f>COUNTIF(E853:H853,"à faire")</f>
        <v/>
      </c>
    </row>
    <row r="854">
      <c r="A854" s="30" t="inlineStr">
        <is>
          <t>limite</t>
        </is>
      </c>
      <c r="B854" s="30">
        <f>IFERROR(INDEX(Mots!$B:$B,MATCH($A854,Mots!$A:$A,0)),"introuvable")</f>
        <v/>
      </c>
      <c r="C854" s="30">
        <f>IFERROR(INDEX(Mots!$S:$S,MATCH($A854,Mots!$A:$A,0)),"")</f>
        <v/>
      </c>
      <c r="D854" s="30">
        <f>IFERROR(COUNTA(INDEX(Mots!$J:$J,MATCH($A854,Mots!$A:$A,0)):INDEX(Mots!$P:$P,MATCH($A854,Mots!$A:$A,0))),0)</f>
        <v/>
      </c>
      <c r="E854" s="30">
        <f>IF(COUNTIF(Classement!$A:$A,$A854)&gt;0,"ok","à faire")</f>
        <v/>
      </c>
      <c r="F854" s="30">
        <f>IF(COUNTIF(Tags!$A:$A,$A854)&gt;0,"ok","à faire")</f>
        <v/>
      </c>
      <c r="G854" s="30">
        <f>IF(COUNTIF(Phrases!$A:$A,$A854)&gt;0,"ok","à faire")</f>
        <v/>
      </c>
      <c r="H854" s="30">
        <f>IF(COUNTIFS(Phrases!$A:$A,$A854,Phrases!$I:$I,"&lt;&gt;")&gt;0,"ok","à faire")</f>
        <v/>
      </c>
      <c r="I854" s="30">
        <f>IF(COUNTIF(Synonymes!$A:$A,$A854)&gt;0,"ok","")</f>
        <v/>
      </c>
      <c r="J854" s="30">
        <f>COUNTIF(E854:H854,"à faire")</f>
        <v/>
      </c>
    </row>
    <row r="855">
      <c r="A855" s="30" t="inlineStr">
        <is>
          <t>liste</t>
        </is>
      </c>
      <c r="B855" s="30">
        <f>IFERROR(INDEX(Mots!$B:$B,MATCH($A855,Mots!$A:$A,0)),"introuvable")</f>
        <v/>
      </c>
      <c r="C855" s="30">
        <f>IFERROR(INDEX(Mots!$S:$S,MATCH($A855,Mots!$A:$A,0)),"")</f>
        <v/>
      </c>
      <c r="D855" s="30">
        <f>IFERROR(COUNTA(INDEX(Mots!$J:$J,MATCH($A855,Mots!$A:$A,0)):INDEX(Mots!$P:$P,MATCH($A855,Mots!$A:$A,0))),0)</f>
        <v/>
      </c>
      <c r="E855" s="30">
        <f>IF(COUNTIF(Classement!$A:$A,$A855)&gt;0,"ok","à faire")</f>
        <v/>
      </c>
      <c r="F855" s="30">
        <f>IF(COUNTIF(Tags!$A:$A,$A855)&gt;0,"ok","à faire")</f>
        <v/>
      </c>
      <c r="G855" s="30">
        <f>IF(COUNTIF(Phrases!$A:$A,$A855)&gt;0,"ok","à faire")</f>
        <v/>
      </c>
      <c r="H855" s="30">
        <f>IF(COUNTIFS(Phrases!$A:$A,$A855,Phrases!$I:$I,"&lt;&gt;")&gt;0,"ok","à faire")</f>
        <v/>
      </c>
      <c r="I855" s="30">
        <f>IF(COUNTIF(Synonymes!$A:$A,$A855)&gt;0,"ok","")</f>
        <v/>
      </c>
      <c r="J855" s="30">
        <f>COUNTIF(E855:H855,"à faire")</f>
        <v/>
      </c>
    </row>
    <row r="856">
      <c r="A856" s="30" t="inlineStr">
        <is>
          <t>loi</t>
        </is>
      </c>
      <c r="B856" s="30">
        <f>IFERROR(INDEX(Mots!$B:$B,MATCH($A856,Mots!$A:$A,0)),"introuvable")</f>
        <v/>
      </c>
      <c r="C856" s="30">
        <f>IFERROR(INDEX(Mots!$S:$S,MATCH($A856,Mots!$A:$A,0)),"")</f>
        <v/>
      </c>
      <c r="D856" s="30">
        <f>IFERROR(COUNTA(INDEX(Mots!$J:$J,MATCH($A856,Mots!$A:$A,0)):INDEX(Mots!$P:$P,MATCH($A856,Mots!$A:$A,0))),0)</f>
        <v/>
      </c>
      <c r="E856" s="30">
        <f>IF(COUNTIF(Classement!$A:$A,$A856)&gt;0,"ok","à faire")</f>
        <v/>
      </c>
      <c r="F856" s="30">
        <f>IF(COUNTIF(Tags!$A:$A,$A856)&gt;0,"ok","à faire")</f>
        <v/>
      </c>
      <c r="G856" s="30">
        <f>IF(COUNTIF(Phrases!$A:$A,$A856)&gt;0,"ok","à faire")</f>
        <v/>
      </c>
      <c r="H856" s="30">
        <f>IF(COUNTIFS(Phrases!$A:$A,$A856,Phrases!$I:$I,"&lt;&gt;")&gt;0,"ok","à faire")</f>
        <v/>
      </c>
      <c r="I856" s="30">
        <f>IF(COUNTIF(Synonymes!$A:$A,$A856)&gt;0,"ok","")</f>
        <v/>
      </c>
      <c r="J856" s="30">
        <f>COUNTIF(E856:H856,"à faire")</f>
        <v/>
      </c>
    </row>
    <row r="857">
      <c r="A857" s="30" t="inlineStr">
        <is>
          <t>loupe</t>
        </is>
      </c>
      <c r="B857" s="30">
        <f>IFERROR(INDEX(Mots!$B:$B,MATCH($A857,Mots!$A:$A,0)),"introuvable")</f>
        <v/>
      </c>
      <c r="C857" s="30">
        <f>IFERROR(INDEX(Mots!$S:$S,MATCH($A857,Mots!$A:$A,0)),"")</f>
        <v/>
      </c>
      <c r="D857" s="30">
        <f>IFERROR(COUNTA(INDEX(Mots!$J:$J,MATCH($A857,Mots!$A:$A,0)):INDEX(Mots!$P:$P,MATCH($A857,Mots!$A:$A,0))),0)</f>
        <v/>
      </c>
      <c r="E857" s="30">
        <f>IF(COUNTIF(Classement!$A:$A,$A857)&gt;0,"ok","à faire")</f>
        <v/>
      </c>
      <c r="F857" s="30">
        <f>IF(COUNTIF(Tags!$A:$A,$A857)&gt;0,"ok","à faire")</f>
        <v/>
      </c>
      <c r="G857" s="30">
        <f>IF(COUNTIF(Phrases!$A:$A,$A857)&gt;0,"ok","à faire")</f>
        <v/>
      </c>
      <c r="H857" s="30">
        <f>IF(COUNTIFS(Phrases!$A:$A,$A857,Phrases!$I:$I,"&lt;&gt;")&gt;0,"ok","à faire")</f>
        <v/>
      </c>
      <c r="I857" s="30">
        <f>IF(COUNTIF(Synonymes!$A:$A,$A857)&gt;0,"ok","")</f>
        <v/>
      </c>
      <c r="J857" s="30">
        <f>COUNTIF(E857:H857,"à faire")</f>
        <v/>
      </c>
    </row>
    <row r="858">
      <c r="A858" s="30" t="inlineStr">
        <is>
          <t>lumiere</t>
        </is>
      </c>
      <c r="B858" s="30">
        <f>IFERROR(INDEX(Mots!$B:$B,MATCH($A858,Mots!$A:$A,0)),"introuvable")</f>
        <v/>
      </c>
      <c r="C858" s="30">
        <f>IFERROR(INDEX(Mots!$S:$S,MATCH($A858,Mots!$A:$A,0)),"")</f>
        <v/>
      </c>
      <c r="D858" s="30">
        <f>IFERROR(COUNTA(INDEX(Mots!$J:$J,MATCH($A858,Mots!$A:$A,0)):INDEX(Mots!$P:$P,MATCH($A858,Mots!$A:$A,0))),0)</f>
        <v/>
      </c>
      <c r="E858" s="30">
        <f>IF(COUNTIF(Classement!$A:$A,$A858)&gt;0,"ok","à faire")</f>
        <v/>
      </c>
      <c r="F858" s="30">
        <f>IF(COUNTIF(Tags!$A:$A,$A858)&gt;0,"ok","à faire")</f>
        <v/>
      </c>
      <c r="G858" s="30">
        <f>IF(COUNTIF(Phrases!$A:$A,$A858)&gt;0,"ok","à faire")</f>
        <v/>
      </c>
      <c r="H858" s="30">
        <f>IF(COUNTIFS(Phrases!$A:$A,$A858,Phrases!$I:$I,"&lt;&gt;")&gt;0,"ok","à faire")</f>
        <v/>
      </c>
      <c r="I858" s="30">
        <f>IF(COUNTIF(Synonymes!$A:$A,$A858)&gt;0,"ok","")</f>
        <v/>
      </c>
      <c r="J858" s="30">
        <f>COUNTIF(E858:H858,"à faire")</f>
        <v/>
      </c>
    </row>
    <row r="859">
      <c r="A859" s="30" t="inlineStr">
        <is>
          <t>lutte</t>
        </is>
      </c>
      <c r="B859" s="30">
        <f>IFERROR(INDEX(Mots!$B:$B,MATCH($A859,Mots!$A:$A,0)),"introuvable")</f>
        <v/>
      </c>
      <c r="C859" s="30">
        <f>IFERROR(INDEX(Mots!$S:$S,MATCH($A859,Mots!$A:$A,0)),"")</f>
        <v/>
      </c>
      <c r="D859" s="30">
        <f>IFERROR(COUNTA(INDEX(Mots!$J:$J,MATCH($A859,Mots!$A:$A,0)):INDEX(Mots!$P:$P,MATCH($A859,Mots!$A:$A,0))),0)</f>
        <v/>
      </c>
      <c r="E859" s="30">
        <f>IF(COUNTIF(Classement!$A:$A,$A859)&gt;0,"ok","à faire")</f>
        <v/>
      </c>
      <c r="F859" s="30">
        <f>IF(COUNTIF(Tags!$A:$A,$A859)&gt;0,"ok","à faire")</f>
        <v/>
      </c>
      <c r="G859" s="30">
        <f>IF(COUNTIF(Phrases!$A:$A,$A859)&gt;0,"ok","à faire")</f>
        <v/>
      </c>
      <c r="H859" s="30">
        <f>IF(COUNTIFS(Phrases!$A:$A,$A859,Phrases!$I:$I,"&lt;&gt;")&gt;0,"ok","à faire")</f>
        <v/>
      </c>
      <c r="I859" s="30">
        <f>IF(COUNTIF(Synonymes!$A:$A,$A859)&gt;0,"ok","")</f>
        <v/>
      </c>
      <c r="J859" s="30">
        <f>COUNTIF(E859:H859,"à faire")</f>
        <v/>
      </c>
    </row>
    <row r="860">
      <c r="A860" s="30" t="inlineStr">
        <is>
          <t>machine</t>
        </is>
      </c>
      <c r="B860" s="30">
        <f>IFERROR(INDEX(Mots!$B:$B,MATCH($A860,Mots!$A:$A,0)),"introuvable")</f>
        <v/>
      </c>
      <c r="C860" s="30">
        <f>IFERROR(INDEX(Mots!$S:$S,MATCH($A860,Mots!$A:$A,0)),"")</f>
        <v/>
      </c>
      <c r="D860" s="30">
        <f>IFERROR(COUNTA(INDEX(Mots!$J:$J,MATCH($A860,Mots!$A:$A,0)):INDEX(Mots!$P:$P,MATCH($A860,Mots!$A:$A,0))),0)</f>
        <v/>
      </c>
      <c r="E860" s="30">
        <f>IF(COUNTIF(Classement!$A:$A,$A860)&gt;0,"ok","à faire")</f>
        <v/>
      </c>
      <c r="F860" s="30">
        <f>IF(COUNTIF(Tags!$A:$A,$A860)&gt;0,"ok","à faire")</f>
        <v/>
      </c>
      <c r="G860" s="30">
        <f>IF(COUNTIF(Phrases!$A:$A,$A860)&gt;0,"ok","à faire")</f>
        <v/>
      </c>
      <c r="H860" s="30">
        <f>IF(COUNTIFS(Phrases!$A:$A,$A860,Phrases!$I:$I,"&lt;&gt;")&gt;0,"ok","à faire")</f>
        <v/>
      </c>
      <c r="I860" s="30">
        <f>IF(COUNTIF(Synonymes!$A:$A,$A860)&gt;0,"ok","")</f>
        <v/>
      </c>
      <c r="J860" s="30">
        <f>COUNTIF(E860:H860,"à faire")</f>
        <v/>
      </c>
    </row>
    <row r="861">
      <c r="A861" s="30" t="inlineStr">
        <is>
          <t>maladie</t>
        </is>
      </c>
      <c r="B861" s="30">
        <f>IFERROR(INDEX(Mots!$B:$B,MATCH($A861,Mots!$A:$A,0)),"introuvable")</f>
        <v/>
      </c>
      <c r="C861" s="30">
        <f>IFERROR(INDEX(Mots!$S:$S,MATCH($A861,Mots!$A:$A,0)),"")</f>
        <v/>
      </c>
      <c r="D861" s="30">
        <f>IFERROR(COUNTA(INDEX(Mots!$J:$J,MATCH($A861,Mots!$A:$A,0)):INDEX(Mots!$P:$P,MATCH($A861,Mots!$A:$A,0))),0)</f>
        <v/>
      </c>
      <c r="E861" s="30">
        <f>IF(COUNTIF(Classement!$A:$A,$A861)&gt;0,"ok","à faire")</f>
        <v/>
      </c>
      <c r="F861" s="30">
        <f>IF(COUNTIF(Tags!$A:$A,$A861)&gt;0,"ok","à faire")</f>
        <v/>
      </c>
      <c r="G861" s="30">
        <f>IF(COUNTIF(Phrases!$A:$A,$A861)&gt;0,"ok","à faire")</f>
        <v/>
      </c>
      <c r="H861" s="30">
        <f>IF(COUNTIFS(Phrases!$A:$A,$A861,Phrases!$I:$I,"&lt;&gt;")&gt;0,"ok","à faire")</f>
        <v/>
      </c>
      <c r="I861" s="30">
        <f>IF(COUNTIF(Synonymes!$A:$A,$A861)&gt;0,"ok","")</f>
        <v/>
      </c>
      <c r="J861" s="30">
        <f>COUNTIF(E861:H861,"à faire")</f>
        <v/>
      </c>
    </row>
    <row r="862">
      <c r="A862" s="30" t="inlineStr">
        <is>
          <t>manche</t>
        </is>
      </c>
      <c r="B862" s="30">
        <f>IFERROR(INDEX(Mots!$B:$B,MATCH($A862,Mots!$A:$A,0)),"introuvable")</f>
        <v/>
      </c>
      <c r="C862" s="30">
        <f>IFERROR(INDEX(Mots!$S:$S,MATCH($A862,Mots!$A:$A,0)),"")</f>
        <v/>
      </c>
      <c r="D862" s="30">
        <f>IFERROR(COUNTA(INDEX(Mots!$J:$J,MATCH($A862,Mots!$A:$A,0)):INDEX(Mots!$P:$P,MATCH($A862,Mots!$A:$A,0))),0)</f>
        <v/>
      </c>
      <c r="E862" s="30">
        <f>IF(COUNTIF(Classement!$A:$A,$A862)&gt;0,"ok","à faire")</f>
        <v/>
      </c>
      <c r="F862" s="30">
        <f>IF(COUNTIF(Tags!$A:$A,$A862)&gt;0,"ok","à faire")</f>
        <v/>
      </c>
      <c r="G862" s="30">
        <f>IF(COUNTIF(Phrases!$A:$A,$A862)&gt;0,"ok","à faire")</f>
        <v/>
      </c>
      <c r="H862" s="30">
        <f>IF(COUNTIFS(Phrases!$A:$A,$A862,Phrases!$I:$I,"&lt;&gt;")&gt;0,"ok","à faire")</f>
        <v/>
      </c>
      <c r="I862" s="30">
        <f>IF(COUNTIF(Synonymes!$A:$A,$A862)&gt;0,"ok","")</f>
        <v/>
      </c>
      <c r="J862" s="30">
        <f>COUNTIF(E862:H862,"à faire")</f>
        <v/>
      </c>
    </row>
    <row r="863">
      <c r="A863" s="30" t="inlineStr">
        <is>
          <t>maniere</t>
        </is>
      </c>
      <c r="B863" s="30">
        <f>IFERROR(INDEX(Mots!$B:$B,MATCH($A863,Mots!$A:$A,0)),"introuvable")</f>
        <v/>
      </c>
      <c r="C863" s="30">
        <f>IFERROR(INDEX(Mots!$S:$S,MATCH($A863,Mots!$A:$A,0)),"")</f>
        <v/>
      </c>
      <c r="D863" s="30">
        <f>IFERROR(COUNTA(INDEX(Mots!$J:$J,MATCH($A863,Mots!$A:$A,0)):INDEX(Mots!$P:$P,MATCH($A863,Mots!$A:$A,0))),0)</f>
        <v/>
      </c>
      <c r="E863" s="30">
        <f>IF(COUNTIF(Classement!$A:$A,$A863)&gt;0,"ok","à faire")</f>
        <v/>
      </c>
      <c r="F863" s="30">
        <f>IF(COUNTIF(Tags!$A:$A,$A863)&gt;0,"ok","à faire")</f>
        <v/>
      </c>
      <c r="G863" s="30">
        <f>IF(COUNTIF(Phrases!$A:$A,$A863)&gt;0,"ok","à faire")</f>
        <v/>
      </c>
      <c r="H863" s="30">
        <f>IF(COUNTIFS(Phrases!$A:$A,$A863,Phrases!$I:$I,"&lt;&gt;")&gt;0,"ok","à faire")</f>
        <v/>
      </c>
      <c r="I863" s="30">
        <f>IF(COUNTIF(Synonymes!$A:$A,$A863)&gt;0,"ok","")</f>
        <v/>
      </c>
      <c r="J863" s="30">
        <f>COUNTIF(E863:H863,"à faire")</f>
        <v/>
      </c>
    </row>
    <row r="864">
      <c r="A864" s="30" t="inlineStr">
        <is>
          <t>maree</t>
        </is>
      </c>
      <c r="B864" s="30">
        <f>IFERROR(INDEX(Mots!$B:$B,MATCH($A864,Mots!$A:$A,0)),"introuvable")</f>
        <v/>
      </c>
      <c r="C864" s="30">
        <f>IFERROR(INDEX(Mots!$S:$S,MATCH($A864,Mots!$A:$A,0)),"")</f>
        <v/>
      </c>
      <c r="D864" s="30">
        <f>IFERROR(COUNTA(INDEX(Mots!$J:$J,MATCH($A864,Mots!$A:$A,0)):INDEX(Mots!$P:$P,MATCH($A864,Mots!$A:$A,0))),0)</f>
        <v/>
      </c>
      <c r="E864" s="30">
        <f>IF(COUNTIF(Classement!$A:$A,$A864)&gt;0,"ok","à faire")</f>
        <v/>
      </c>
      <c r="F864" s="30">
        <f>IF(COUNTIF(Tags!$A:$A,$A864)&gt;0,"ok","à faire")</f>
        <v/>
      </c>
      <c r="G864" s="30">
        <f>IF(COUNTIF(Phrases!$A:$A,$A864)&gt;0,"ok","à faire")</f>
        <v/>
      </c>
      <c r="H864" s="30">
        <f>IF(COUNTIFS(Phrases!$A:$A,$A864,Phrases!$I:$I,"&lt;&gt;")&gt;0,"ok","à faire")</f>
        <v/>
      </c>
      <c r="I864" s="30">
        <f>IF(COUNTIF(Synonymes!$A:$A,$A864)&gt;0,"ok","")</f>
        <v/>
      </c>
      <c r="J864" s="30">
        <f>COUNTIF(E864:H864,"à faire")</f>
        <v/>
      </c>
    </row>
    <row r="865">
      <c r="A865" s="30" t="inlineStr">
        <is>
          <t>masse</t>
        </is>
      </c>
      <c r="B865" s="30">
        <f>IFERROR(INDEX(Mots!$B:$B,MATCH($A865,Mots!$A:$A,0)),"introuvable")</f>
        <v/>
      </c>
      <c r="C865" s="30">
        <f>IFERROR(INDEX(Mots!$S:$S,MATCH($A865,Mots!$A:$A,0)),"")</f>
        <v/>
      </c>
      <c r="D865" s="30">
        <f>IFERROR(COUNTA(INDEX(Mots!$J:$J,MATCH($A865,Mots!$A:$A,0)):INDEX(Mots!$P:$P,MATCH($A865,Mots!$A:$A,0))),0)</f>
        <v/>
      </c>
      <c r="E865" s="30">
        <f>IF(COUNTIF(Classement!$A:$A,$A865)&gt;0,"ok","à faire")</f>
        <v/>
      </c>
      <c r="F865" s="30">
        <f>IF(COUNTIF(Tags!$A:$A,$A865)&gt;0,"ok","à faire")</f>
        <v/>
      </c>
      <c r="G865" s="30">
        <f>IF(COUNTIF(Phrases!$A:$A,$A865)&gt;0,"ok","à faire")</f>
        <v/>
      </c>
      <c r="H865" s="30">
        <f>IF(COUNTIFS(Phrases!$A:$A,$A865,Phrases!$I:$I,"&lt;&gt;")&gt;0,"ok","à faire")</f>
        <v/>
      </c>
      <c r="I865" s="30">
        <f>IF(COUNTIF(Synonymes!$A:$A,$A865)&gt;0,"ok","")</f>
        <v/>
      </c>
      <c r="J865" s="30">
        <f>COUNTIF(E865:H865,"à faire")</f>
        <v/>
      </c>
    </row>
    <row r="866">
      <c r="A866" s="30" t="inlineStr">
        <is>
          <t>matiere</t>
        </is>
      </c>
      <c r="B866" s="30">
        <f>IFERROR(INDEX(Mots!$B:$B,MATCH($A866,Mots!$A:$A,0)),"introuvable")</f>
        <v/>
      </c>
      <c r="C866" s="30">
        <f>IFERROR(INDEX(Mots!$S:$S,MATCH($A866,Mots!$A:$A,0)),"")</f>
        <v/>
      </c>
      <c r="D866" s="30">
        <f>IFERROR(COUNTA(INDEX(Mots!$J:$J,MATCH($A866,Mots!$A:$A,0)):INDEX(Mots!$P:$P,MATCH($A866,Mots!$A:$A,0))),0)</f>
        <v/>
      </c>
      <c r="E866" s="30">
        <f>IF(COUNTIF(Classement!$A:$A,$A866)&gt;0,"ok","à faire")</f>
        <v/>
      </c>
      <c r="F866" s="30">
        <f>IF(COUNTIF(Tags!$A:$A,$A866)&gt;0,"ok","à faire")</f>
        <v/>
      </c>
      <c r="G866" s="30">
        <f>IF(COUNTIF(Phrases!$A:$A,$A866)&gt;0,"ok","à faire")</f>
        <v/>
      </c>
      <c r="H866" s="30">
        <f>IF(COUNTIFS(Phrases!$A:$A,$A866,Phrases!$I:$I,"&lt;&gt;")&gt;0,"ok","à faire")</f>
        <v/>
      </c>
      <c r="I866" s="30">
        <f>IF(COUNTIF(Synonymes!$A:$A,$A866)&gt;0,"ok","")</f>
        <v/>
      </c>
      <c r="J866" s="30">
        <f>COUNTIF(E866:H866,"à faire")</f>
        <v/>
      </c>
    </row>
    <row r="867">
      <c r="A867" s="30" t="inlineStr">
        <is>
          <t>mefiance</t>
        </is>
      </c>
      <c r="B867" s="30">
        <f>IFERROR(INDEX(Mots!$B:$B,MATCH($A867,Mots!$A:$A,0)),"introuvable")</f>
        <v/>
      </c>
      <c r="C867" s="30">
        <f>IFERROR(INDEX(Mots!$S:$S,MATCH($A867,Mots!$A:$A,0)),"")</f>
        <v/>
      </c>
      <c r="D867" s="30">
        <f>IFERROR(COUNTA(INDEX(Mots!$J:$J,MATCH($A867,Mots!$A:$A,0)):INDEX(Mots!$P:$P,MATCH($A867,Mots!$A:$A,0))),0)</f>
        <v/>
      </c>
      <c r="E867" s="30">
        <f>IF(COUNTIF(Classement!$A:$A,$A867)&gt;0,"ok","à faire")</f>
        <v/>
      </c>
      <c r="F867" s="30">
        <f>IF(COUNTIF(Tags!$A:$A,$A867)&gt;0,"ok","à faire")</f>
        <v/>
      </c>
      <c r="G867" s="30">
        <f>IF(COUNTIF(Phrases!$A:$A,$A867)&gt;0,"ok","à faire")</f>
        <v/>
      </c>
      <c r="H867" s="30">
        <f>IF(COUNTIFS(Phrases!$A:$A,$A867,Phrases!$I:$I,"&lt;&gt;")&gt;0,"ok","à faire")</f>
        <v/>
      </c>
      <c r="I867" s="30">
        <f>IF(COUNTIF(Synonymes!$A:$A,$A867)&gt;0,"ok","")</f>
        <v/>
      </c>
      <c r="J867" s="30">
        <f>COUNTIF(E867:H867,"à faire")</f>
        <v/>
      </c>
    </row>
    <row r="868">
      <c r="A868" s="30" t="inlineStr">
        <is>
          <t>memoire</t>
        </is>
      </c>
      <c r="B868" s="30">
        <f>IFERROR(INDEX(Mots!$B:$B,MATCH($A868,Mots!$A:$A,0)),"introuvable")</f>
        <v/>
      </c>
      <c r="C868" s="30">
        <f>IFERROR(INDEX(Mots!$S:$S,MATCH($A868,Mots!$A:$A,0)),"")</f>
        <v/>
      </c>
      <c r="D868" s="30">
        <f>IFERROR(COUNTA(INDEX(Mots!$J:$J,MATCH($A868,Mots!$A:$A,0)):INDEX(Mots!$P:$P,MATCH($A868,Mots!$A:$A,0))),0)</f>
        <v/>
      </c>
      <c r="E868" s="30">
        <f>IF(COUNTIF(Classement!$A:$A,$A868)&gt;0,"ok","à faire")</f>
        <v/>
      </c>
      <c r="F868" s="30">
        <f>IF(COUNTIF(Tags!$A:$A,$A868)&gt;0,"ok","à faire")</f>
        <v/>
      </c>
      <c r="G868" s="30">
        <f>IF(COUNTIF(Phrases!$A:$A,$A868)&gt;0,"ok","à faire")</f>
        <v/>
      </c>
      <c r="H868" s="30">
        <f>IF(COUNTIFS(Phrases!$A:$A,$A868,Phrases!$I:$I,"&lt;&gt;")&gt;0,"ok","à faire")</f>
        <v/>
      </c>
      <c r="I868" s="30">
        <f>IF(COUNTIF(Synonymes!$A:$A,$A868)&gt;0,"ok","")</f>
        <v/>
      </c>
      <c r="J868" s="30">
        <f>COUNTIF(E868:H868,"à faire")</f>
        <v/>
      </c>
    </row>
    <row r="869">
      <c r="A869" s="30" t="inlineStr">
        <is>
          <t>meteo</t>
        </is>
      </c>
      <c r="B869" s="30">
        <f>IFERROR(INDEX(Mots!$B:$B,MATCH($A869,Mots!$A:$A,0)),"introuvable")</f>
        <v/>
      </c>
      <c r="C869" s="30">
        <f>IFERROR(INDEX(Mots!$S:$S,MATCH($A869,Mots!$A:$A,0)),"")</f>
        <v/>
      </c>
      <c r="D869" s="30">
        <f>IFERROR(COUNTA(INDEX(Mots!$J:$J,MATCH($A869,Mots!$A:$A,0)):INDEX(Mots!$P:$P,MATCH($A869,Mots!$A:$A,0))),0)</f>
        <v/>
      </c>
      <c r="E869" s="30">
        <f>IF(COUNTIF(Classement!$A:$A,$A869)&gt;0,"ok","à faire")</f>
        <v/>
      </c>
      <c r="F869" s="30">
        <f>IF(COUNTIF(Tags!$A:$A,$A869)&gt;0,"ok","à faire")</f>
        <v/>
      </c>
      <c r="G869" s="30">
        <f>IF(COUNTIF(Phrases!$A:$A,$A869)&gt;0,"ok","à faire")</f>
        <v/>
      </c>
      <c r="H869" s="30">
        <f>IF(COUNTIFS(Phrases!$A:$A,$A869,Phrases!$I:$I,"&lt;&gt;")&gt;0,"ok","à faire")</f>
        <v/>
      </c>
      <c r="I869" s="30">
        <f>IF(COUNTIF(Synonymes!$A:$A,$A869)&gt;0,"ok","")</f>
        <v/>
      </c>
      <c r="J869" s="30">
        <f>COUNTIF(E869:H869,"à faire")</f>
        <v/>
      </c>
    </row>
    <row r="870">
      <c r="A870" s="30" t="inlineStr">
        <is>
          <t>moitie</t>
        </is>
      </c>
      <c r="B870" s="30">
        <f>IFERROR(INDEX(Mots!$B:$B,MATCH($A870,Mots!$A:$A,0)),"introuvable")</f>
        <v/>
      </c>
      <c r="C870" s="30">
        <f>IFERROR(INDEX(Mots!$S:$S,MATCH($A870,Mots!$A:$A,0)),"")</f>
        <v/>
      </c>
      <c r="D870" s="30">
        <f>IFERROR(COUNTA(INDEX(Mots!$J:$J,MATCH($A870,Mots!$A:$A,0)):INDEX(Mots!$P:$P,MATCH($A870,Mots!$A:$A,0))),0)</f>
        <v/>
      </c>
      <c r="E870" s="30">
        <f>IF(COUNTIF(Classement!$A:$A,$A870)&gt;0,"ok","à faire")</f>
        <v/>
      </c>
      <c r="F870" s="30">
        <f>IF(COUNTIF(Tags!$A:$A,$A870)&gt;0,"ok","à faire")</f>
        <v/>
      </c>
      <c r="G870" s="30">
        <f>IF(COUNTIF(Phrases!$A:$A,$A870)&gt;0,"ok","à faire")</f>
        <v/>
      </c>
      <c r="H870" s="30">
        <f>IF(COUNTIFS(Phrases!$A:$A,$A870,Phrases!$I:$I,"&lt;&gt;")&gt;0,"ok","à faire")</f>
        <v/>
      </c>
      <c r="I870" s="30">
        <f>IF(COUNTIF(Synonymes!$A:$A,$A870)&gt;0,"ok","")</f>
        <v/>
      </c>
      <c r="J870" s="30">
        <f>COUNTIF(E870:H870,"à faire")</f>
        <v/>
      </c>
    </row>
    <row r="871">
      <c r="A871" s="30" t="inlineStr">
        <is>
          <t>montre</t>
        </is>
      </c>
      <c r="B871" s="30">
        <f>IFERROR(INDEX(Mots!$B:$B,MATCH($A871,Mots!$A:$A,0)),"introuvable")</f>
        <v/>
      </c>
      <c r="C871" s="30">
        <f>IFERROR(INDEX(Mots!$S:$S,MATCH($A871,Mots!$A:$A,0)),"")</f>
        <v/>
      </c>
      <c r="D871" s="30">
        <f>IFERROR(COUNTA(INDEX(Mots!$J:$J,MATCH($A871,Mots!$A:$A,0)):INDEX(Mots!$P:$P,MATCH($A871,Mots!$A:$A,0))),0)</f>
        <v/>
      </c>
      <c r="E871" s="30">
        <f>IF(COUNTIF(Classement!$A:$A,$A871)&gt;0,"ok","à faire")</f>
        <v/>
      </c>
      <c r="F871" s="30">
        <f>IF(COUNTIF(Tags!$A:$A,$A871)&gt;0,"ok","à faire")</f>
        <v/>
      </c>
      <c r="G871" s="30">
        <f>IF(COUNTIF(Phrases!$A:$A,$A871)&gt;0,"ok","à faire")</f>
        <v/>
      </c>
      <c r="H871" s="30">
        <f>IF(COUNTIFS(Phrases!$A:$A,$A871,Phrases!$I:$I,"&lt;&gt;")&gt;0,"ok","à faire")</f>
        <v/>
      </c>
      <c r="I871" s="30">
        <f>IF(COUNTIF(Synonymes!$A:$A,$A871)&gt;0,"ok","")</f>
        <v/>
      </c>
      <c r="J871" s="30">
        <f>COUNTIF(E871:H871,"à faire")</f>
        <v/>
      </c>
    </row>
    <row r="872">
      <c r="A872" s="30" t="inlineStr">
        <is>
          <t>mousse</t>
        </is>
      </c>
      <c r="B872" s="30">
        <f>IFERROR(INDEX(Mots!$B:$B,MATCH($A872,Mots!$A:$A,0)),"introuvable")</f>
        <v/>
      </c>
      <c r="C872" s="30">
        <f>IFERROR(INDEX(Mots!$S:$S,MATCH($A872,Mots!$A:$A,0)),"")</f>
        <v/>
      </c>
      <c r="D872" s="30">
        <f>IFERROR(COUNTA(INDEX(Mots!$J:$J,MATCH($A872,Mots!$A:$A,0)):INDEX(Mots!$P:$P,MATCH($A872,Mots!$A:$A,0))),0)</f>
        <v/>
      </c>
      <c r="E872" s="30">
        <f>IF(COUNTIF(Classement!$A:$A,$A872)&gt;0,"ok","à faire")</f>
        <v/>
      </c>
      <c r="F872" s="30">
        <f>IF(COUNTIF(Tags!$A:$A,$A872)&gt;0,"ok","à faire")</f>
        <v/>
      </c>
      <c r="G872" s="30">
        <f>IF(COUNTIF(Phrases!$A:$A,$A872)&gt;0,"ok","à faire")</f>
        <v/>
      </c>
      <c r="H872" s="30">
        <f>IF(COUNTIFS(Phrases!$A:$A,$A872,Phrases!$I:$I,"&lt;&gt;")&gt;0,"ok","à faire")</f>
        <v/>
      </c>
      <c r="I872" s="30">
        <f>IF(COUNTIF(Synonymes!$A:$A,$A872)&gt;0,"ok","")</f>
        <v/>
      </c>
      <c r="J872" s="30">
        <f>COUNTIF(E872:H872,"à faire")</f>
        <v/>
      </c>
    </row>
    <row r="873">
      <c r="A873" s="30" t="inlineStr">
        <is>
          <t>naissance</t>
        </is>
      </c>
      <c r="B873" s="30">
        <f>IFERROR(INDEX(Mots!$B:$B,MATCH($A873,Mots!$A:$A,0)),"introuvable")</f>
        <v/>
      </c>
      <c r="C873" s="30">
        <f>IFERROR(INDEX(Mots!$S:$S,MATCH($A873,Mots!$A:$A,0)),"")</f>
        <v/>
      </c>
      <c r="D873" s="30">
        <f>IFERROR(COUNTA(INDEX(Mots!$J:$J,MATCH($A873,Mots!$A:$A,0)):INDEX(Mots!$P:$P,MATCH($A873,Mots!$A:$A,0))),0)</f>
        <v/>
      </c>
      <c r="E873" s="30">
        <f>IF(COUNTIF(Classement!$A:$A,$A873)&gt;0,"ok","à faire")</f>
        <v/>
      </c>
      <c r="F873" s="30">
        <f>IF(COUNTIF(Tags!$A:$A,$A873)&gt;0,"ok","à faire")</f>
        <v/>
      </c>
      <c r="G873" s="30">
        <f>IF(COUNTIF(Phrases!$A:$A,$A873)&gt;0,"ok","à faire")</f>
        <v/>
      </c>
      <c r="H873" s="30">
        <f>IF(COUNTIFS(Phrases!$A:$A,$A873,Phrases!$I:$I,"&lt;&gt;")&gt;0,"ok","à faire")</f>
        <v/>
      </c>
      <c r="I873" s="30">
        <f>IF(COUNTIF(Synonymes!$A:$A,$A873)&gt;0,"ok","")</f>
        <v/>
      </c>
      <c r="J873" s="30">
        <f>COUNTIF(E873:H873,"à faire")</f>
        <v/>
      </c>
    </row>
    <row r="874">
      <c r="A874" s="30" t="inlineStr">
        <is>
          <t>nature</t>
        </is>
      </c>
      <c r="B874" s="30">
        <f>IFERROR(INDEX(Mots!$B:$B,MATCH($A874,Mots!$A:$A,0)),"introuvable")</f>
        <v/>
      </c>
      <c r="C874" s="30">
        <f>IFERROR(INDEX(Mots!$S:$S,MATCH($A874,Mots!$A:$A,0)),"")</f>
        <v/>
      </c>
      <c r="D874" s="30">
        <f>IFERROR(COUNTA(INDEX(Mots!$J:$J,MATCH($A874,Mots!$A:$A,0)):INDEX(Mots!$P:$P,MATCH($A874,Mots!$A:$A,0))),0)</f>
        <v/>
      </c>
      <c r="E874" s="30">
        <f>IF(COUNTIF(Classement!$A:$A,$A874)&gt;0,"ok","à faire")</f>
        <v/>
      </c>
      <c r="F874" s="30">
        <f>IF(COUNTIF(Tags!$A:$A,$A874)&gt;0,"ok","à faire")</f>
        <v/>
      </c>
      <c r="G874" s="30">
        <f>IF(COUNTIF(Phrases!$A:$A,$A874)&gt;0,"ok","à faire")</f>
        <v/>
      </c>
      <c r="H874" s="30">
        <f>IF(COUNTIFS(Phrases!$A:$A,$A874,Phrases!$I:$I,"&lt;&gt;")&gt;0,"ok","à faire")</f>
        <v/>
      </c>
      <c r="I874" s="30">
        <f>IF(COUNTIF(Synonymes!$A:$A,$A874)&gt;0,"ok","")</f>
        <v/>
      </c>
      <c r="J874" s="30">
        <f>COUNTIF(E874:H874,"à faire")</f>
        <v/>
      </c>
    </row>
    <row r="875">
      <c r="A875" s="30" t="inlineStr">
        <is>
          <t>neige</t>
        </is>
      </c>
      <c r="B875" s="30">
        <f>IFERROR(INDEX(Mots!$B:$B,MATCH($A875,Mots!$A:$A,0)),"introuvable")</f>
        <v/>
      </c>
      <c r="C875" s="30">
        <f>IFERROR(INDEX(Mots!$S:$S,MATCH($A875,Mots!$A:$A,0)),"")</f>
        <v/>
      </c>
      <c r="D875" s="30">
        <f>IFERROR(COUNTA(INDEX(Mots!$J:$J,MATCH($A875,Mots!$A:$A,0)):INDEX(Mots!$P:$P,MATCH($A875,Mots!$A:$A,0))),0)</f>
        <v/>
      </c>
      <c r="E875" s="30">
        <f>IF(COUNTIF(Classement!$A:$A,$A875)&gt;0,"ok","à faire")</f>
        <v/>
      </c>
      <c r="F875" s="30">
        <f>IF(COUNTIF(Tags!$A:$A,$A875)&gt;0,"ok","à faire")</f>
        <v/>
      </c>
      <c r="G875" s="30">
        <f>IF(COUNTIF(Phrases!$A:$A,$A875)&gt;0,"ok","à faire")</f>
        <v/>
      </c>
      <c r="H875" s="30">
        <f>IF(COUNTIFS(Phrases!$A:$A,$A875,Phrases!$I:$I,"&lt;&gt;")&gt;0,"ok","à faire")</f>
        <v/>
      </c>
      <c r="I875" s="30">
        <f>IF(COUNTIF(Synonymes!$A:$A,$A875)&gt;0,"ok","")</f>
        <v/>
      </c>
      <c r="J875" s="30">
        <f>COUNTIF(E875:H875,"à faire")</f>
        <v/>
      </c>
    </row>
    <row r="876">
      <c r="A876" s="30" t="inlineStr">
        <is>
          <t>nouvelle</t>
        </is>
      </c>
      <c r="B876" s="30">
        <f>IFERROR(INDEX(Mots!$B:$B,MATCH($A876,Mots!$A:$A,0)),"introuvable")</f>
        <v/>
      </c>
      <c r="C876" s="30">
        <f>IFERROR(INDEX(Mots!$S:$S,MATCH($A876,Mots!$A:$A,0)),"")</f>
        <v/>
      </c>
      <c r="D876" s="30">
        <f>IFERROR(COUNTA(INDEX(Mots!$J:$J,MATCH($A876,Mots!$A:$A,0)):INDEX(Mots!$P:$P,MATCH($A876,Mots!$A:$A,0))),0)</f>
        <v/>
      </c>
      <c r="E876" s="30">
        <f>IF(COUNTIF(Classement!$A:$A,$A876)&gt;0,"ok","à faire")</f>
        <v/>
      </c>
      <c r="F876" s="30">
        <f>IF(COUNTIF(Tags!$A:$A,$A876)&gt;0,"ok","à faire")</f>
        <v/>
      </c>
      <c r="G876" s="30">
        <f>IF(COUNTIF(Phrases!$A:$A,$A876)&gt;0,"ok","à faire")</f>
        <v/>
      </c>
      <c r="H876" s="30">
        <f>IF(COUNTIFS(Phrases!$A:$A,$A876,Phrases!$I:$I,"&lt;&gt;")&gt;0,"ok","à faire")</f>
        <v/>
      </c>
      <c r="I876" s="30">
        <f>IF(COUNTIF(Synonymes!$A:$A,$A876)&gt;0,"ok","")</f>
        <v/>
      </c>
      <c r="J876" s="30">
        <f>COUNTIF(E876:H876,"à faire")</f>
        <v/>
      </c>
    </row>
    <row r="877">
      <c r="A877" s="30" t="inlineStr">
        <is>
          <t>nuance</t>
        </is>
      </c>
      <c r="B877" s="30">
        <f>IFERROR(INDEX(Mots!$B:$B,MATCH($A877,Mots!$A:$A,0)),"introuvable")</f>
        <v/>
      </c>
      <c r="C877" s="30">
        <f>IFERROR(INDEX(Mots!$S:$S,MATCH($A877,Mots!$A:$A,0)),"")</f>
        <v/>
      </c>
      <c r="D877" s="30">
        <f>IFERROR(COUNTA(INDEX(Mots!$J:$J,MATCH($A877,Mots!$A:$A,0)):INDEX(Mots!$P:$P,MATCH($A877,Mots!$A:$A,0))),0)</f>
        <v/>
      </c>
      <c r="E877" s="30">
        <f>IF(COUNTIF(Classement!$A:$A,$A877)&gt;0,"ok","à faire")</f>
        <v/>
      </c>
      <c r="F877" s="30">
        <f>IF(COUNTIF(Tags!$A:$A,$A877)&gt;0,"ok","à faire")</f>
        <v/>
      </c>
      <c r="G877" s="30">
        <f>IF(COUNTIF(Phrases!$A:$A,$A877)&gt;0,"ok","à faire")</f>
        <v/>
      </c>
      <c r="H877" s="30">
        <f>IF(COUNTIFS(Phrases!$A:$A,$A877,Phrases!$I:$I,"&lt;&gt;")&gt;0,"ok","à faire")</f>
        <v/>
      </c>
      <c r="I877" s="30">
        <f>IF(COUNTIF(Synonymes!$A:$A,$A877)&gt;0,"ok","")</f>
        <v/>
      </c>
      <c r="J877" s="30">
        <f>COUNTIF(E877:H877,"à faire")</f>
        <v/>
      </c>
    </row>
    <row r="878">
      <c r="A878" s="30" t="inlineStr">
        <is>
          <t>page</t>
        </is>
      </c>
      <c r="B878" s="30">
        <f>IFERROR(INDEX(Mots!$B:$B,MATCH($A878,Mots!$A:$A,0)),"introuvable")</f>
        <v/>
      </c>
      <c r="C878" s="30">
        <f>IFERROR(INDEX(Mots!$S:$S,MATCH($A878,Mots!$A:$A,0)),"")</f>
        <v/>
      </c>
      <c r="D878" s="30">
        <f>IFERROR(COUNTA(INDEX(Mots!$J:$J,MATCH($A878,Mots!$A:$A,0)):INDEX(Mots!$P:$P,MATCH($A878,Mots!$A:$A,0))),0)</f>
        <v/>
      </c>
      <c r="E878" s="30">
        <f>IF(COUNTIF(Classement!$A:$A,$A878)&gt;0,"ok","à faire")</f>
        <v/>
      </c>
      <c r="F878" s="30">
        <f>IF(COUNTIF(Tags!$A:$A,$A878)&gt;0,"ok","à faire")</f>
        <v/>
      </c>
      <c r="G878" s="30">
        <f>IF(COUNTIF(Phrases!$A:$A,$A878)&gt;0,"ok","à faire")</f>
        <v/>
      </c>
      <c r="H878" s="30">
        <f>IF(COUNTIFS(Phrases!$A:$A,$A878,Phrases!$I:$I,"&lt;&gt;")&gt;0,"ok","à faire")</f>
        <v/>
      </c>
      <c r="I878" s="30">
        <f>IF(COUNTIF(Synonymes!$A:$A,$A878)&gt;0,"ok","")</f>
        <v/>
      </c>
      <c r="J878" s="30">
        <f>COUNTIF(E878:H878,"à faire")</f>
        <v/>
      </c>
    </row>
    <row r="879">
      <c r="A879" s="30" t="inlineStr">
        <is>
          <t>paix</t>
        </is>
      </c>
      <c r="B879" s="30">
        <f>IFERROR(INDEX(Mots!$B:$B,MATCH($A879,Mots!$A:$A,0)),"introuvable")</f>
        <v/>
      </c>
      <c r="C879" s="30">
        <f>IFERROR(INDEX(Mots!$S:$S,MATCH($A879,Mots!$A:$A,0)),"")</f>
        <v/>
      </c>
      <c r="D879" s="30">
        <f>IFERROR(COUNTA(INDEX(Mots!$J:$J,MATCH($A879,Mots!$A:$A,0)):INDEX(Mots!$P:$P,MATCH($A879,Mots!$A:$A,0))),0)</f>
        <v/>
      </c>
      <c r="E879" s="30">
        <f>IF(COUNTIF(Classement!$A:$A,$A879)&gt;0,"ok","à faire")</f>
        <v/>
      </c>
      <c r="F879" s="30">
        <f>IF(COUNTIF(Tags!$A:$A,$A879)&gt;0,"ok","à faire")</f>
        <v/>
      </c>
      <c r="G879" s="30">
        <f>IF(COUNTIF(Phrases!$A:$A,$A879)&gt;0,"ok","à faire")</f>
        <v/>
      </c>
      <c r="H879" s="30">
        <f>IF(COUNTIFS(Phrases!$A:$A,$A879,Phrases!$I:$I,"&lt;&gt;")&gt;0,"ok","à faire")</f>
        <v/>
      </c>
      <c r="I879" s="30">
        <f>IF(COUNTIF(Synonymes!$A:$A,$A879)&gt;0,"ok","")</f>
        <v/>
      </c>
      <c r="J879" s="30">
        <f>COUNTIF(E879:H879,"à faire")</f>
        <v/>
      </c>
    </row>
    <row r="880">
      <c r="A880" s="30" t="inlineStr">
        <is>
          <t>panne</t>
        </is>
      </c>
      <c r="B880" s="30">
        <f>IFERROR(INDEX(Mots!$B:$B,MATCH($A880,Mots!$A:$A,0)),"introuvable")</f>
        <v/>
      </c>
      <c r="C880" s="30">
        <f>IFERROR(INDEX(Mots!$S:$S,MATCH($A880,Mots!$A:$A,0)),"")</f>
        <v/>
      </c>
      <c r="D880" s="30">
        <f>IFERROR(COUNTA(INDEX(Mots!$J:$J,MATCH($A880,Mots!$A:$A,0)):INDEX(Mots!$P:$P,MATCH($A880,Mots!$A:$A,0))),0)</f>
        <v/>
      </c>
      <c r="E880" s="30">
        <f>IF(COUNTIF(Classement!$A:$A,$A880)&gt;0,"ok","à faire")</f>
        <v/>
      </c>
      <c r="F880" s="30">
        <f>IF(COUNTIF(Tags!$A:$A,$A880)&gt;0,"ok","à faire")</f>
        <v/>
      </c>
      <c r="G880" s="30">
        <f>IF(COUNTIF(Phrases!$A:$A,$A880)&gt;0,"ok","à faire")</f>
        <v/>
      </c>
      <c r="H880" s="30">
        <f>IF(COUNTIFS(Phrases!$A:$A,$A880,Phrases!$I:$I,"&lt;&gt;")&gt;0,"ok","à faire")</f>
        <v/>
      </c>
      <c r="I880" s="30">
        <f>IF(COUNTIF(Synonymes!$A:$A,$A880)&gt;0,"ok","")</f>
        <v/>
      </c>
      <c r="J880" s="30">
        <f>COUNTIF(E880:H880,"à faire")</f>
        <v/>
      </c>
    </row>
    <row r="881">
      <c r="A881" s="30" t="inlineStr">
        <is>
          <t>paroi</t>
        </is>
      </c>
      <c r="B881" s="30">
        <f>IFERROR(INDEX(Mots!$B:$B,MATCH($A881,Mots!$A:$A,0)),"introuvable")</f>
        <v/>
      </c>
      <c r="C881" s="30">
        <f>IFERROR(INDEX(Mots!$S:$S,MATCH($A881,Mots!$A:$A,0)),"")</f>
        <v/>
      </c>
      <c r="D881" s="30">
        <f>IFERROR(COUNTA(INDEX(Mots!$J:$J,MATCH($A881,Mots!$A:$A,0)):INDEX(Mots!$P:$P,MATCH($A881,Mots!$A:$A,0))),0)</f>
        <v/>
      </c>
      <c r="E881" s="30">
        <f>IF(COUNTIF(Classement!$A:$A,$A881)&gt;0,"ok","à faire")</f>
        <v/>
      </c>
      <c r="F881" s="30">
        <f>IF(COUNTIF(Tags!$A:$A,$A881)&gt;0,"ok","à faire")</f>
        <v/>
      </c>
      <c r="G881" s="30">
        <f>IF(COUNTIF(Phrases!$A:$A,$A881)&gt;0,"ok","à faire")</f>
        <v/>
      </c>
      <c r="H881" s="30">
        <f>IF(COUNTIFS(Phrases!$A:$A,$A881,Phrases!$I:$I,"&lt;&gt;")&gt;0,"ok","à faire")</f>
        <v/>
      </c>
      <c r="I881" s="30">
        <f>IF(COUNTIF(Synonymes!$A:$A,$A881)&gt;0,"ok","")</f>
        <v/>
      </c>
      <c r="J881" s="30">
        <f>COUNTIF(E881:H881,"à faire")</f>
        <v/>
      </c>
    </row>
    <row r="882">
      <c r="A882" s="30" t="inlineStr">
        <is>
          <t>part</t>
        </is>
      </c>
      <c r="B882" s="30">
        <f>IFERROR(INDEX(Mots!$B:$B,MATCH($A882,Mots!$A:$A,0)),"introuvable")</f>
        <v/>
      </c>
      <c r="C882" s="30">
        <f>IFERROR(INDEX(Mots!$S:$S,MATCH($A882,Mots!$A:$A,0)),"")</f>
        <v/>
      </c>
      <c r="D882" s="30">
        <f>IFERROR(COUNTA(INDEX(Mots!$J:$J,MATCH($A882,Mots!$A:$A,0)):INDEX(Mots!$P:$P,MATCH($A882,Mots!$A:$A,0))),0)</f>
        <v/>
      </c>
      <c r="E882" s="30">
        <f>IF(COUNTIF(Classement!$A:$A,$A882)&gt;0,"ok","à faire")</f>
        <v/>
      </c>
      <c r="F882" s="30">
        <f>IF(COUNTIF(Tags!$A:$A,$A882)&gt;0,"ok","à faire")</f>
        <v/>
      </c>
      <c r="G882" s="30">
        <f>IF(COUNTIF(Phrases!$A:$A,$A882)&gt;0,"ok","à faire")</f>
        <v/>
      </c>
      <c r="H882" s="30">
        <f>IF(COUNTIFS(Phrases!$A:$A,$A882,Phrases!$I:$I,"&lt;&gt;")&gt;0,"ok","à faire")</f>
        <v/>
      </c>
      <c r="I882" s="30">
        <f>IF(COUNTIF(Synonymes!$A:$A,$A882)&gt;0,"ok","")</f>
        <v/>
      </c>
      <c r="J882" s="30">
        <f>COUNTIF(E882:H882,"à faire")</f>
        <v/>
      </c>
    </row>
    <row r="883">
      <c r="A883" s="30" t="inlineStr">
        <is>
          <t>partie</t>
        </is>
      </c>
      <c r="B883" s="30">
        <f>IFERROR(INDEX(Mots!$B:$B,MATCH($A883,Mots!$A:$A,0)),"introuvable")</f>
        <v/>
      </c>
      <c r="C883" s="30">
        <f>IFERROR(INDEX(Mots!$S:$S,MATCH($A883,Mots!$A:$A,0)),"")</f>
        <v/>
      </c>
      <c r="D883" s="30">
        <f>IFERROR(COUNTA(INDEX(Mots!$J:$J,MATCH($A883,Mots!$A:$A,0)):INDEX(Mots!$P:$P,MATCH($A883,Mots!$A:$A,0))),0)</f>
        <v/>
      </c>
      <c r="E883" s="30">
        <f>IF(COUNTIF(Classement!$A:$A,$A883)&gt;0,"ok","à faire")</f>
        <v/>
      </c>
      <c r="F883" s="30">
        <f>IF(COUNTIF(Tags!$A:$A,$A883)&gt;0,"ok","à faire")</f>
        <v/>
      </c>
      <c r="G883" s="30">
        <f>IF(COUNTIF(Phrases!$A:$A,$A883)&gt;0,"ok","à faire")</f>
        <v/>
      </c>
      <c r="H883" s="30">
        <f>IF(COUNTIFS(Phrases!$A:$A,$A883,Phrases!$I:$I,"&lt;&gt;")&gt;0,"ok","à faire")</f>
        <v/>
      </c>
      <c r="I883" s="30">
        <f>IF(COUNTIF(Synonymes!$A:$A,$A883)&gt;0,"ok","")</f>
        <v/>
      </c>
      <c r="J883" s="30">
        <f>COUNTIF(E883:H883,"à faire")</f>
        <v/>
      </c>
    </row>
    <row r="884">
      <c r="A884" s="30" t="inlineStr">
        <is>
          <t>patience</t>
        </is>
      </c>
      <c r="B884" s="30">
        <f>IFERROR(INDEX(Mots!$B:$B,MATCH($A884,Mots!$A:$A,0)),"introuvable")</f>
        <v/>
      </c>
      <c r="C884" s="30">
        <f>IFERROR(INDEX(Mots!$S:$S,MATCH($A884,Mots!$A:$A,0)),"")</f>
        <v/>
      </c>
      <c r="D884" s="30">
        <f>IFERROR(COUNTA(INDEX(Mots!$J:$J,MATCH($A884,Mots!$A:$A,0)):INDEX(Mots!$P:$P,MATCH($A884,Mots!$A:$A,0))),0)</f>
        <v/>
      </c>
      <c r="E884" s="30">
        <f>IF(COUNTIF(Classement!$A:$A,$A884)&gt;0,"ok","à faire")</f>
        <v/>
      </c>
      <c r="F884" s="30">
        <f>IF(COUNTIF(Tags!$A:$A,$A884)&gt;0,"ok","à faire")</f>
        <v/>
      </c>
      <c r="G884" s="30">
        <f>IF(COUNTIF(Phrases!$A:$A,$A884)&gt;0,"ok","à faire")</f>
        <v/>
      </c>
      <c r="H884" s="30">
        <f>IF(COUNTIFS(Phrases!$A:$A,$A884,Phrases!$I:$I,"&lt;&gt;")&gt;0,"ok","à faire")</f>
        <v/>
      </c>
      <c r="I884" s="30">
        <f>IF(COUNTIF(Synonymes!$A:$A,$A884)&gt;0,"ok","")</f>
        <v/>
      </c>
      <c r="J884" s="30">
        <f>COUNTIF(E884:H884,"à faire")</f>
        <v/>
      </c>
    </row>
    <row r="885">
      <c r="A885" s="30" t="inlineStr">
        <is>
          <t>patte</t>
        </is>
      </c>
      <c r="B885" s="30">
        <f>IFERROR(INDEX(Mots!$B:$B,MATCH($A885,Mots!$A:$A,0)),"introuvable")</f>
        <v/>
      </c>
      <c r="C885" s="30">
        <f>IFERROR(INDEX(Mots!$S:$S,MATCH($A885,Mots!$A:$A,0)),"")</f>
        <v/>
      </c>
      <c r="D885" s="30">
        <f>IFERROR(COUNTA(INDEX(Mots!$J:$J,MATCH($A885,Mots!$A:$A,0)):INDEX(Mots!$P:$P,MATCH($A885,Mots!$A:$A,0))),0)</f>
        <v/>
      </c>
      <c r="E885" s="30">
        <f>IF(COUNTIF(Classement!$A:$A,$A885)&gt;0,"ok","à faire")</f>
        <v/>
      </c>
      <c r="F885" s="30">
        <f>IF(COUNTIF(Tags!$A:$A,$A885)&gt;0,"ok","à faire")</f>
        <v/>
      </c>
      <c r="G885" s="30">
        <f>IF(COUNTIF(Phrases!$A:$A,$A885)&gt;0,"ok","à faire")</f>
        <v/>
      </c>
      <c r="H885" s="30">
        <f>IF(COUNTIFS(Phrases!$A:$A,$A885,Phrases!$I:$I,"&lt;&gt;")&gt;0,"ok","à faire")</f>
        <v/>
      </c>
      <c r="I885" s="30">
        <f>IF(COUNTIF(Synonymes!$A:$A,$A885)&gt;0,"ok","")</f>
        <v/>
      </c>
      <c r="J885" s="30">
        <f>COUNTIF(E885:H885,"à faire")</f>
        <v/>
      </c>
    </row>
    <row r="886">
      <c r="A886" s="30" t="inlineStr">
        <is>
          <t>peine</t>
        </is>
      </c>
      <c r="B886" s="30">
        <f>IFERROR(INDEX(Mots!$B:$B,MATCH($A886,Mots!$A:$A,0)),"introuvable")</f>
        <v/>
      </c>
      <c r="C886" s="30">
        <f>IFERROR(INDEX(Mots!$S:$S,MATCH($A886,Mots!$A:$A,0)),"")</f>
        <v/>
      </c>
      <c r="D886" s="30">
        <f>IFERROR(COUNTA(INDEX(Mots!$J:$J,MATCH($A886,Mots!$A:$A,0)):INDEX(Mots!$P:$P,MATCH($A886,Mots!$A:$A,0))),0)</f>
        <v/>
      </c>
      <c r="E886" s="30">
        <f>IF(COUNTIF(Classement!$A:$A,$A886)&gt;0,"ok","à faire")</f>
        <v/>
      </c>
      <c r="F886" s="30">
        <f>IF(COUNTIF(Tags!$A:$A,$A886)&gt;0,"ok","à faire")</f>
        <v/>
      </c>
      <c r="G886" s="30">
        <f>IF(COUNTIF(Phrases!$A:$A,$A886)&gt;0,"ok","à faire")</f>
        <v/>
      </c>
      <c r="H886" s="30">
        <f>IF(COUNTIFS(Phrases!$A:$A,$A886,Phrases!$I:$I,"&lt;&gt;")&gt;0,"ok","à faire")</f>
        <v/>
      </c>
      <c r="I886" s="30">
        <f>IF(COUNTIF(Synonymes!$A:$A,$A886)&gt;0,"ok","")</f>
        <v/>
      </c>
      <c r="J886" s="30">
        <f>COUNTIF(E886:H886,"à faire")</f>
        <v/>
      </c>
    </row>
    <row r="887">
      <c r="A887" s="30" t="inlineStr">
        <is>
          <t>peinture</t>
        </is>
      </c>
      <c r="B887" s="30">
        <f>IFERROR(INDEX(Mots!$B:$B,MATCH($A887,Mots!$A:$A,0)),"introuvable")</f>
        <v/>
      </c>
      <c r="C887" s="30">
        <f>IFERROR(INDEX(Mots!$S:$S,MATCH($A887,Mots!$A:$A,0)),"")</f>
        <v/>
      </c>
      <c r="D887" s="30">
        <f>IFERROR(COUNTA(INDEX(Mots!$J:$J,MATCH($A887,Mots!$A:$A,0)):INDEX(Mots!$P:$P,MATCH($A887,Mots!$A:$A,0))),0)</f>
        <v/>
      </c>
      <c r="E887" s="30">
        <f>IF(COUNTIF(Classement!$A:$A,$A887)&gt;0,"ok","à faire")</f>
        <v/>
      </c>
      <c r="F887" s="30">
        <f>IF(COUNTIF(Tags!$A:$A,$A887)&gt;0,"ok","à faire")</f>
        <v/>
      </c>
      <c r="G887" s="30">
        <f>IF(COUNTIF(Phrases!$A:$A,$A887)&gt;0,"ok","à faire")</f>
        <v/>
      </c>
      <c r="H887" s="30">
        <f>IF(COUNTIFS(Phrases!$A:$A,$A887,Phrases!$I:$I,"&lt;&gt;")&gt;0,"ok","à faire")</f>
        <v/>
      </c>
      <c r="I887" s="30">
        <f>IF(COUNTIF(Synonymes!$A:$A,$A887)&gt;0,"ok","")</f>
        <v/>
      </c>
      <c r="J887" s="30">
        <f>COUNTIF(E887:H887,"à faire")</f>
        <v/>
      </c>
    </row>
    <row r="888">
      <c r="A888" s="30" t="inlineStr">
        <is>
          <t>pensee</t>
        </is>
      </c>
      <c r="B888" s="30">
        <f>IFERROR(INDEX(Mots!$B:$B,MATCH($A888,Mots!$A:$A,0)),"introuvable")</f>
        <v/>
      </c>
      <c r="C888" s="30">
        <f>IFERROR(INDEX(Mots!$S:$S,MATCH($A888,Mots!$A:$A,0)),"")</f>
        <v/>
      </c>
      <c r="D888" s="30">
        <f>IFERROR(COUNTA(INDEX(Mots!$J:$J,MATCH($A888,Mots!$A:$A,0)):INDEX(Mots!$P:$P,MATCH($A888,Mots!$A:$A,0))),0)</f>
        <v/>
      </c>
      <c r="E888" s="30">
        <f>IF(COUNTIF(Classement!$A:$A,$A888)&gt;0,"ok","à faire")</f>
        <v/>
      </c>
      <c r="F888" s="30">
        <f>IF(COUNTIF(Tags!$A:$A,$A888)&gt;0,"ok","à faire")</f>
        <v/>
      </c>
      <c r="G888" s="30">
        <f>IF(COUNTIF(Phrases!$A:$A,$A888)&gt;0,"ok","à faire")</f>
        <v/>
      </c>
      <c r="H888" s="30">
        <f>IF(COUNTIFS(Phrases!$A:$A,$A888,Phrases!$I:$I,"&lt;&gt;")&gt;0,"ok","à faire")</f>
        <v/>
      </c>
      <c r="I888" s="30">
        <f>IF(COUNTIF(Synonymes!$A:$A,$A888)&gt;0,"ok","")</f>
        <v/>
      </c>
      <c r="J888" s="30">
        <f>COUNTIF(E888:H888,"à faire")</f>
        <v/>
      </c>
    </row>
    <row r="889">
      <c r="A889" s="30" t="inlineStr">
        <is>
          <t>periode</t>
        </is>
      </c>
      <c r="B889" s="30">
        <f>IFERROR(INDEX(Mots!$B:$B,MATCH($A889,Mots!$A:$A,0)),"introuvable")</f>
        <v/>
      </c>
      <c r="C889" s="30">
        <f>IFERROR(INDEX(Mots!$S:$S,MATCH($A889,Mots!$A:$A,0)),"")</f>
        <v/>
      </c>
      <c r="D889" s="30">
        <f>IFERROR(COUNTA(INDEX(Mots!$J:$J,MATCH($A889,Mots!$A:$A,0)):INDEX(Mots!$P:$P,MATCH($A889,Mots!$A:$A,0))),0)</f>
        <v/>
      </c>
      <c r="E889" s="30">
        <f>IF(COUNTIF(Classement!$A:$A,$A889)&gt;0,"ok","à faire")</f>
        <v/>
      </c>
      <c r="F889" s="30">
        <f>IF(COUNTIF(Tags!$A:$A,$A889)&gt;0,"ok","à faire")</f>
        <v/>
      </c>
      <c r="G889" s="30">
        <f>IF(COUNTIF(Phrases!$A:$A,$A889)&gt;0,"ok","à faire")</f>
        <v/>
      </c>
      <c r="H889" s="30">
        <f>IF(COUNTIFS(Phrases!$A:$A,$A889,Phrases!$I:$I,"&lt;&gt;")&gt;0,"ok","à faire")</f>
        <v/>
      </c>
      <c r="I889" s="30">
        <f>IF(COUNTIF(Synonymes!$A:$A,$A889)&gt;0,"ok","")</f>
        <v/>
      </c>
      <c r="J889" s="30">
        <f>COUNTIF(E889:H889,"à faire")</f>
        <v/>
      </c>
    </row>
    <row r="890">
      <c r="A890" s="30" t="inlineStr">
        <is>
          <t>personne</t>
        </is>
      </c>
      <c r="B890" s="30">
        <f>IFERROR(INDEX(Mots!$B:$B,MATCH($A890,Mots!$A:$A,0)),"introuvable")</f>
        <v/>
      </c>
      <c r="C890" s="30">
        <f>IFERROR(INDEX(Mots!$S:$S,MATCH($A890,Mots!$A:$A,0)),"")</f>
        <v/>
      </c>
      <c r="D890" s="30">
        <f>IFERROR(COUNTA(INDEX(Mots!$J:$J,MATCH($A890,Mots!$A:$A,0)):INDEX(Mots!$P:$P,MATCH($A890,Mots!$A:$A,0))),0)</f>
        <v/>
      </c>
      <c r="E890" s="30">
        <f>IF(COUNTIF(Classement!$A:$A,$A890)&gt;0,"ok","à faire")</f>
        <v/>
      </c>
      <c r="F890" s="30">
        <f>IF(COUNTIF(Tags!$A:$A,$A890)&gt;0,"ok","à faire")</f>
        <v/>
      </c>
      <c r="G890" s="30">
        <f>IF(COUNTIF(Phrases!$A:$A,$A890)&gt;0,"ok","à faire")</f>
        <v/>
      </c>
      <c r="H890" s="30">
        <f>IF(COUNTIFS(Phrases!$A:$A,$A890,Phrases!$I:$I,"&lt;&gt;")&gt;0,"ok","à faire")</f>
        <v/>
      </c>
      <c r="I890" s="30">
        <f>IF(COUNTIF(Synonymes!$A:$A,$A890)&gt;0,"ok","")</f>
        <v/>
      </c>
      <c r="J890" s="30">
        <f>COUNTIF(E890:H890,"à faire")</f>
        <v/>
      </c>
    </row>
    <row r="891">
      <c r="A891" s="30" t="inlineStr">
        <is>
          <t>perte</t>
        </is>
      </c>
      <c r="B891" s="30">
        <f>IFERROR(INDEX(Mots!$B:$B,MATCH($A891,Mots!$A:$A,0)),"introuvable")</f>
        <v/>
      </c>
      <c r="C891" s="30">
        <f>IFERROR(INDEX(Mots!$S:$S,MATCH($A891,Mots!$A:$A,0)),"")</f>
        <v/>
      </c>
      <c r="D891" s="30">
        <f>IFERROR(COUNTA(INDEX(Mots!$J:$J,MATCH($A891,Mots!$A:$A,0)):INDEX(Mots!$P:$P,MATCH($A891,Mots!$A:$A,0))),0)</f>
        <v/>
      </c>
      <c r="E891" s="30">
        <f>IF(COUNTIF(Classement!$A:$A,$A891)&gt;0,"ok","à faire")</f>
        <v/>
      </c>
      <c r="F891" s="30">
        <f>IF(COUNTIF(Tags!$A:$A,$A891)&gt;0,"ok","à faire")</f>
        <v/>
      </c>
      <c r="G891" s="30">
        <f>IF(COUNTIF(Phrases!$A:$A,$A891)&gt;0,"ok","à faire")</f>
        <v/>
      </c>
      <c r="H891" s="30">
        <f>IF(COUNTIFS(Phrases!$A:$A,$A891,Phrases!$I:$I,"&lt;&gt;")&gt;0,"ok","à faire")</f>
        <v/>
      </c>
      <c r="I891" s="30">
        <f>IF(COUNTIF(Synonymes!$A:$A,$A891)&gt;0,"ok","")</f>
        <v/>
      </c>
      <c r="J891" s="30">
        <f>COUNTIF(E891:H891,"à faire")</f>
        <v/>
      </c>
    </row>
    <row r="892">
      <c r="A892" s="30" t="inlineStr">
        <is>
          <t>pharmacie</t>
        </is>
      </c>
      <c r="B892" s="30">
        <f>IFERROR(INDEX(Mots!$B:$B,MATCH($A892,Mots!$A:$A,0)),"introuvable")</f>
        <v/>
      </c>
      <c r="C892" s="30">
        <f>IFERROR(INDEX(Mots!$S:$S,MATCH($A892,Mots!$A:$A,0)),"")</f>
        <v/>
      </c>
      <c r="D892" s="30">
        <f>IFERROR(COUNTA(INDEX(Mots!$J:$J,MATCH($A892,Mots!$A:$A,0)):INDEX(Mots!$P:$P,MATCH($A892,Mots!$A:$A,0))),0)</f>
        <v/>
      </c>
      <c r="E892" s="30">
        <f>IF(COUNTIF(Classement!$A:$A,$A892)&gt;0,"ok","à faire")</f>
        <v/>
      </c>
      <c r="F892" s="30">
        <f>IF(COUNTIF(Tags!$A:$A,$A892)&gt;0,"ok","à faire")</f>
        <v/>
      </c>
      <c r="G892" s="30">
        <f>IF(COUNTIF(Phrases!$A:$A,$A892)&gt;0,"ok","à faire")</f>
        <v/>
      </c>
      <c r="H892" s="30">
        <f>IF(COUNTIFS(Phrases!$A:$A,$A892,Phrases!$I:$I,"&lt;&gt;")&gt;0,"ok","à faire")</f>
        <v/>
      </c>
      <c r="I892" s="30">
        <f>IF(COUNTIF(Synonymes!$A:$A,$A892)&gt;0,"ok","")</f>
        <v/>
      </c>
      <c r="J892" s="30">
        <f>COUNTIF(E892:H892,"à faire")</f>
        <v/>
      </c>
    </row>
    <row r="893">
      <c r="A893" s="30" t="inlineStr">
        <is>
          <t>photo</t>
        </is>
      </c>
      <c r="B893" s="30">
        <f>IFERROR(INDEX(Mots!$B:$B,MATCH($A893,Mots!$A:$A,0)),"introuvable")</f>
        <v/>
      </c>
      <c r="C893" s="30">
        <f>IFERROR(INDEX(Mots!$S:$S,MATCH($A893,Mots!$A:$A,0)),"")</f>
        <v/>
      </c>
      <c r="D893" s="30">
        <f>IFERROR(COUNTA(INDEX(Mots!$J:$J,MATCH($A893,Mots!$A:$A,0)):INDEX(Mots!$P:$P,MATCH($A893,Mots!$A:$A,0))),0)</f>
        <v/>
      </c>
      <c r="E893" s="30">
        <f>IF(COUNTIF(Classement!$A:$A,$A893)&gt;0,"ok","à faire")</f>
        <v/>
      </c>
      <c r="F893" s="30">
        <f>IF(COUNTIF(Tags!$A:$A,$A893)&gt;0,"ok","à faire")</f>
        <v/>
      </c>
      <c r="G893" s="30">
        <f>IF(COUNTIF(Phrases!$A:$A,$A893)&gt;0,"ok","à faire")</f>
        <v/>
      </c>
      <c r="H893" s="30">
        <f>IF(COUNTIFS(Phrases!$A:$A,$A893,Phrases!$I:$I,"&lt;&gt;")&gt;0,"ok","à faire")</f>
        <v/>
      </c>
      <c r="I893" s="30">
        <f>IF(COUNTIF(Synonymes!$A:$A,$A893)&gt;0,"ok","")</f>
        <v/>
      </c>
      <c r="J893" s="30">
        <f>COUNTIF(E893:H893,"à faire")</f>
        <v/>
      </c>
    </row>
    <row r="894">
      <c r="A894" s="30" t="inlineStr">
        <is>
          <t>pierre</t>
        </is>
      </c>
      <c r="B894" s="30">
        <f>IFERROR(INDEX(Mots!$B:$B,MATCH($A894,Mots!$A:$A,0)),"introuvable")</f>
        <v/>
      </c>
      <c r="C894" s="30">
        <f>IFERROR(INDEX(Mots!$S:$S,MATCH($A894,Mots!$A:$A,0)),"")</f>
        <v/>
      </c>
      <c r="D894" s="30">
        <f>IFERROR(COUNTA(INDEX(Mots!$J:$J,MATCH($A894,Mots!$A:$A,0)):INDEX(Mots!$P:$P,MATCH($A894,Mots!$A:$A,0))),0)</f>
        <v/>
      </c>
      <c r="E894" s="30">
        <f>IF(COUNTIF(Classement!$A:$A,$A894)&gt;0,"ok","à faire")</f>
        <v/>
      </c>
      <c r="F894" s="30">
        <f>IF(COUNTIF(Tags!$A:$A,$A894)&gt;0,"ok","à faire")</f>
        <v/>
      </c>
      <c r="G894" s="30">
        <f>IF(COUNTIF(Phrases!$A:$A,$A894)&gt;0,"ok","à faire")</f>
        <v/>
      </c>
      <c r="H894" s="30">
        <f>IF(COUNTIFS(Phrases!$A:$A,$A894,Phrases!$I:$I,"&lt;&gt;")&gt;0,"ok","à faire")</f>
        <v/>
      </c>
      <c r="I894" s="30">
        <f>IF(COUNTIF(Synonymes!$A:$A,$A894)&gt;0,"ok","")</f>
        <v/>
      </c>
      <c r="J894" s="30">
        <f>COUNTIF(E894:H894,"à faire")</f>
        <v/>
      </c>
    </row>
    <row r="895">
      <c r="A895" s="30" t="inlineStr">
        <is>
          <t>pince</t>
        </is>
      </c>
      <c r="B895" s="30">
        <f>IFERROR(INDEX(Mots!$B:$B,MATCH($A895,Mots!$A:$A,0)),"introuvable")</f>
        <v/>
      </c>
      <c r="C895" s="30">
        <f>IFERROR(INDEX(Mots!$S:$S,MATCH($A895,Mots!$A:$A,0)),"")</f>
        <v/>
      </c>
      <c r="D895" s="30">
        <f>IFERROR(COUNTA(INDEX(Mots!$J:$J,MATCH($A895,Mots!$A:$A,0)):INDEX(Mots!$P:$P,MATCH($A895,Mots!$A:$A,0))),0)</f>
        <v/>
      </c>
      <c r="E895" s="30">
        <f>IF(COUNTIF(Classement!$A:$A,$A895)&gt;0,"ok","à faire")</f>
        <v/>
      </c>
      <c r="F895" s="30">
        <f>IF(COUNTIF(Tags!$A:$A,$A895)&gt;0,"ok","à faire")</f>
        <v/>
      </c>
      <c r="G895" s="30">
        <f>IF(COUNTIF(Phrases!$A:$A,$A895)&gt;0,"ok","à faire")</f>
        <v/>
      </c>
      <c r="H895" s="30">
        <f>IF(COUNTIFS(Phrases!$A:$A,$A895,Phrases!$I:$I,"&lt;&gt;")&gt;0,"ok","à faire")</f>
        <v/>
      </c>
      <c r="I895" s="30">
        <f>IF(COUNTIF(Synonymes!$A:$A,$A895)&gt;0,"ok","")</f>
        <v/>
      </c>
      <c r="J895" s="30">
        <f>COUNTIF(E895:H895,"à faire")</f>
        <v/>
      </c>
    </row>
    <row r="896">
      <c r="A896" s="30" t="inlineStr">
        <is>
          <t>piqure</t>
        </is>
      </c>
      <c r="B896" s="30">
        <f>IFERROR(INDEX(Mots!$B:$B,MATCH($A896,Mots!$A:$A,0)),"introuvable")</f>
        <v/>
      </c>
      <c r="C896" s="30">
        <f>IFERROR(INDEX(Mots!$S:$S,MATCH($A896,Mots!$A:$A,0)),"")</f>
        <v/>
      </c>
      <c r="D896" s="30">
        <f>IFERROR(COUNTA(INDEX(Mots!$J:$J,MATCH($A896,Mots!$A:$A,0)):INDEX(Mots!$P:$P,MATCH($A896,Mots!$A:$A,0))),0)</f>
        <v/>
      </c>
      <c r="E896" s="30">
        <f>IF(COUNTIF(Classement!$A:$A,$A896)&gt;0,"ok","à faire")</f>
        <v/>
      </c>
      <c r="F896" s="30">
        <f>IF(COUNTIF(Tags!$A:$A,$A896)&gt;0,"ok","à faire")</f>
        <v/>
      </c>
      <c r="G896" s="30">
        <f>IF(COUNTIF(Phrases!$A:$A,$A896)&gt;0,"ok","à faire")</f>
        <v/>
      </c>
      <c r="H896" s="30">
        <f>IF(COUNTIFS(Phrases!$A:$A,$A896,Phrases!$I:$I,"&lt;&gt;")&gt;0,"ok","à faire")</f>
        <v/>
      </c>
      <c r="I896" s="30">
        <f>IF(COUNTIF(Synonymes!$A:$A,$A896)&gt;0,"ok","")</f>
        <v/>
      </c>
      <c r="J896" s="30">
        <f>COUNTIF(E896:H896,"à faire")</f>
        <v/>
      </c>
    </row>
    <row r="897">
      <c r="A897" s="30" t="inlineStr">
        <is>
          <t>piscine</t>
        </is>
      </c>
      <c r="B897" s="30">
        <f>IFERROR(INDEX(Mots!$B:$B,MATCH($A897,Mots!$A:$A,0)),"introuvable")</f>
        <v/>
      </c>
      <c r="C897" s="30">
        <f>IFERROR(INDEX(Mots!$S:$S,MATCH($A897,Mots!$A:$A,0)),"")</f>
        <v/>
      </c>
      <c r="D897" s="30">
        <f>IFERROR(COUNTA(INDEX(Mots!$J:$J,MATCH($A897,Mots!$A:$A,0)):INDEX(Mots!$P:$P,MATCH($A897,Mots!$A:$A,0))),0)</f>
        <v/>
      </c>
      <c r="E897" s="30">
        <f>IF(COUNTIF(Classement!$A:$A,$A897)&gt;0,"ok","à faire")</f>
        <v/>
      </c>
      <c r="F897" s="30">
        <f>IF(COUNTIF(Tags!$A:$A,$A897)&gt;0,"ok","à faire")</f>
        <v/>
      </c>
      <c r="G897" s="30">
        <f>IF(COUNTIF(Phrases!$A:$A,$A897)&gt;0,"ok","à faire")</f>
        <v/>
      </c>
      <c r="H897" s="30">
        <f>IF(COUNTIFS(Phrases!$A:$A,$A897,Phrases!$I:$I,"&lt;&gt;")&gt;0,"ok","à faire")</f>
        <v/>
      </c>
      <c r="I897" s="30">
        <f>IF(COUNTIF(Synonymes!$A:$A,$A897)&gt;0,"ok","")</f>
        <v/>
      </c>
      <c r="J897" s="30">
        <f>COUNTIF(E897:H897,"à faire")</f>
        <v/>
      </c>
    </row>
    <row r="898">
      <c r="A898" s="30" t="inlineStr">
        <is>
          <t>pitie</t>
        </is>
      </c>
      <c r="B898" s="30">
        <f>IFERROR(INDEX(Mots!$B:$B,MATCH($A898,Mots!$A:$A,0)),"introuvable")</f>
        <v/>
      </c>
      <c r="C898" s="30">
        <f>IFERROR(INDEX(Mots!$S:$S,MATCH($A898,Mots!$A:$A,0)),"")</f>
        <v/>
      </c>
      <c r="D898" s="30">
        <f>IFERROR(COUNTA(INDEX(Mots!$J:$J,MATCH($A898,Mots!$A:$A,0)):INDEX(Mots!$P:$P,MATCH($A898,Mots!$A:$A,0))),0)</f>
        <v/>
      </c>
      <c r="E898" s="30">
        <f>IF(COUNTIF(Classement!$A:$A,$A898)&gt;0,"ok","à faire")</f>
        <v/>
      </c>
      <c r="F898" s="30">
        <f>IF(COUNTIF(Tags!$A:$A,$A898)&gt;0,"ok","à faire")</f>
        <v/>
      </c>
      <c r="G898" s="30">
        <f>IF(COUNTIF(Phrases!$A:$A,$A898)&gt;0,"ok","à faire")</f>
        <v/>
      </c>
      <c r="H898" s="30">
        <f>IF(COUNTIFS(Phrases!$A:$A,$A898,Phrases!$I:$I,"&lt;&gt;")&gt;0,"ok","à faire")</f>
        <v/>
      </c>
      <c r="I898" s="30">
        <f>IF(COUNTIF(Synonymes!$A:$A,$A898)&gt;0,"ok","")</f>
        <v/>
      </c>
      <c r="J898" s="30">
        <f>COUNTIF(E898:H898,"à faire")</f>
        <v/>
      </c>
    </row>
    <row r="899">
      <c r="A899" s="30" t="inlineStr">
        <is>
          <t>place</t>
        </is>
      </c>
      <c r="B899" s="30">
        <f>IFERROR(INDEX(Mots!$B:$B,MATCH($A899,Mots!$A:$A,0)),"introuvable")</f>
        <v/>
      </c>
      <c r="C899" s="30">
        <f>IFERROR(INDEX(Mots!$S:$S,MATCH($A899,Mots!$A:$A,0)),"")</f>
        <v/>
      </c>
      <c r="D899" s="30">
        <f>IFERROR(COUNTA(INDEX(Mots!$J:$J,MATCH($A899,Mots!$A:$A,0)):INDEX(Mots!$P:$P,MATCH($A899,Mots!$A:$A,0))),0)</f>
        <v/>
      </c>
      <c r="E899" s="30">
        <f>IF(COUNTIF(Classement!$A:$A,$A899)&gt;0,"ok","à faire")</f>
        <v/>
      </c>
      <c r="F899" s="30">
        <f>IF(COUNTIF(Tags!$A:$A,$A899)&gt;0,"ok","à faire")</f>
        <v/>
      </c>
      <c r="G899" s="30">
        <f>IF(COUNTIF(Phrases!$A:$A,$A899)&gt;0,"ok","à faire")</f>
        <v/>
      </c>
      <c r="H899" s="30">
        <f>IF(COUNTIFS(Phrases!$A:$A,$A899,Phrases!$I:$I,"&lt;&gt;")&gt;0,"ok","à faire")</f>
        <v/>
      </c>
      <c r="I899" s="30">
        <f>IF(COUNTIF(Synonymes!$A:$A,$A899)&gt;0,"ok","")</f>
        <v/>
      </c>
      <c r="J899" s="30">
        <f>COUNTIF(E899:H899,"à faire")</f>
        <v/>
      </c>
    </row>
    <row r="900">
      <c r="A900" s="30" t="inlineStr">
        <is>
          <t>plage</t>
        </is>
      </c>
      <c r="B900" s="30">
        <f>IFERROR(INDEX(Mots!$B:$B,MATCH($A900,Mots!$A:$A,0)),"introuvable")</f>
        <v/>
      </c>
      <c r="C900" s="30">
        <f>IFERROR(INDEX(Mots!$S:$S,MATCH($A900,Mots!$A:$A,0)),"")</f>
        <v/>
      </c>
      <c r="D900" s="30">
        <f>IFERROR(COUNTA(INDEX(Mots!$J:$J,MATCH($A900,Mots!$A:$A,0)):INDEX(Mots!$P:$P,MATCH($A900,Mots!$A:$A,0))),0)</f>
        <v/>
      </c>
      <c r="E900" s="30">
        <f>IF(COUNTIF(Classement!$A:$A,$A900)&gt;0,"ok","à faire")</f>
        <v/>
      </c>
      <c r="F900" s="30">
        <f>IF(COUNTIF(Tags!$A:$A,$A900)&gt;0,"ok","à faire")</f>
        <v/>
      </c>
      <c r="G900" s="30">
        <f>IF(COUNTIF(Phrases!$A:$A,$A900)&gt;0,"ok","à faire")</f>
        <v/>
      </c>
      <c r="H900" s="30">
        <f>IF(COUNTIFS(Phrases!$A:$A,$A900,Phrases!$I:$I,"&lt;&gt;")&gt;0,"ok","à faire")</f>
        <v/>
      </c>
      <c r="I900" s="30">
        <f>IF(COUNTIF(Synonymes!$A:$A,$A900)&gt;0,"ok","")</f>
        <v/>
      </c>
      <c r="J900" s="30">
        <f>COUNTIF(E900:H900,"à faire")</f>
        <v/>
      </c>
    </row>
    <row r="901">
      <c r="A901" s="30" t="inlineStr">
        <is>
          <t>planete</t>
        </is>
      </c>
      <c r="B901" s="30">
        <f>IFERROR(INDEX(Mots!$B:$B,MATCH($A901,Mots!$A:$A,0)),"introuvable")</f>
        <v/>
      </c>
      <c r="C901" s="30">
        <f>IFERROR(INDEX(Mots!$S:$S,MATCH($A901,Mots!$A:$A,0)),"")</f>
        <v/>
      </c>
      <c r="D901" s="30">
        <f>IFERROR(COUNTA(INDEX(Mots!$J:$J,MATCH($A901,Mots!$A:$A,0)):INDEX(Mots!$P:$P,MATCH($A901,Mots!$A:$A,0))),0)</f>
        <v/>
      </c>
      <c r="E901" s="30">
        <f>IF(COUNTIF(Classement!$A:$A,$A901)&gt;0,"ok","à faire")</f>
        <v/>
      </c>
      <c r="F901" s="30">
        <f>IF(COUNTIF(Tags!$A:$A,$A901)&gt;0,"ok","à faire")</f>
        <v/>
      </c>
      <c r="G901" s="30">
        <f>IF(COUNTIF(Phrases!$A:$A,$A901)&gt;0,"ok","à faire")</f>
        <v/>
      </c>
      <c r="H901" s="30">
        <f>IF(COUNTIFS(Phrases!$A:$A,$A901,Phrases!$I:$I,"&lt;&gt;")&gt;0,"ok","à faire")</f>
        <v/>
      </c>
      <c r="I901" s="30">
        <f>IF(COUNTIF(Synonymes!$A:$A,$A901)&gt;0,"ok","")</f>
        <v/>
      </c>
      <c r="J901" s="30">
        <f>COUNTIF(E901:H901,"à faire")</f>
        <v/>
      </c>
    </row>
    <row r="902">
      <c r="A902" s="30" t="inlineStr">
        <is>
          <t>pluie</t>
        </is>
      </c>
      <c r="B902" s="30">
        <f>IFERROR(INDEX(Mots!$B:$B,MATCH($A902,Mots!$A:$A,0)),"introuvable")</f>
        <v/>
      </c>
      <c r="C902" s="30">
        <f>IFERROR(INDEX(Mots!$S:$S,MATCH($A902,Mots!$A:$A,0)),"")</f>
        <v/>
      </c>
      <c r="D902" s="30">
        <f>IFERROR(COUNTA(INDEX(Mots!$J:$J,MATCH($A902,Mots!$A:$A,0)):INDEX(Mots!$P:$P,MATCH($A902,Mots!$A:$A,0))),0)</f>
        <v/>
      </c>
      <c r="E902" s="30">
        <f>IF(COUNTIF(Classement!$A:$A,$A902)&gt;0,"ok","à faire")</f>
        <v/>
      </c>
      <c r="F902" s="30">
        <f>IF(COUNTIF(Tags!$A:$A,$A902)&gt;0,"ok","à faire")</f>
        <v/>
      </c>
      <c r="G902" s="30">
        <f>IF(COUNTIF(Phrases!$A:$A,$A902)&gt;0,"ok","à faire")</f>
        <v/>
      </c>
      <c r="H902" s="30">
        <f>IF(COUNTIFS(Phrases!$A:$A,$A902,Phrases!$I:$I,"&lt;&gt;")&gt;0,"ok","à faire")</f>
        <v/>
      </c>
      <c r="I902" s="30">
        <f>IF(COUNTIF(Synonymes!$A:$A,$A902)&gt;0,"ok","")</f>
        <v/>
      </c>
      <c r="J902" s="30">
        <f>COUNTIF(E902:H902,"à faire")</f>
        <v/>
      </c>
    </row>
    <row r="903">
      <c r="A903" s="30" t="inlineStr">
        <is>
          <t>plume</t>
        </is>
      </c>
      <c r="B903" s="30">
        <f>IFERROR(INDEX(Mots!$B:$B,MATCH($A903,Mots!$A:$A,0)),"introuvable")</f>
        <v/>
      </c>
      <c r="C903" s="30">
        <f>IFERROR(INDEX(Mots!$S:$S,MATCH($A903,Mots!$A:$A,0)),"")</f>
        <v/>
      </c>
      <c r="D903" s="30">
        <f>IFERROR(COUNTA(INDEX(Mots!$J:$J,MATCH($A903,Mots!$A:$A,0)):INDEX(Mots!$P:$P,MATCH($A903,Mots!$A:$A,0))),0)</f>
        <v/>
      </c>
      <c r="E903" s="30">
        <f>IF(COUNTIF(Classement!$A:$A,$A903)&gt;0,"ok","à faire")</f>
        <v/>
      </c>
      <c r="F903" s="30">
        <f>IF(COUNTIF(Tags!$A:$A,$A903)&gt;0,"ok","à faire")</f>
        <v/>
      </c>
      <c r="G903" s="30">
        <f>IF(COUNTIF(Phrases!$A:$A,$A903)&gt;0,"ok","à faire")</f>
        <v/>
      </c>
      <c r="H903" s="30">
        <f>IF(COUNTIFS(Phrases!$A:$A,$A903,Phrases!$I:$I,"&lt;&gt;")&gt;0,"ok","à faire")</f>
        <v/>
      </c>
      <c r="I903" s="30">
        <f>IF(COUNTIF(Synonymes!$A:$A,$A903)&gt;0,"ok","")</f>
        <v/>
      </c>
      <c r="J903" s="30">
        <f>COUNTIF(E903:H903,"à faire")</f>
        <v/>
      </c>
    </row>
    <row r="904">
      <c r="A904" s="30" t="inlineStr">
        <is>
          <t>poche</t>
        </is>
      </c>
      <c r="B904" s="30">
        <f>IFERROR(INDEX(Mots!$B:$B,MATCH($A904,Mots!$A:$A,0)),"introuvable")</f>
        <v/>
      </c>
      <c r="C904" s="30">
        <f>IFERROR(INDEX(Mots!$S:$S,MATCH($A904,Mots!$A:$A,0)),"")</f>
        <v/>
      </c>
      <c r="D904" s="30">
        <f>IFERROR(COUNTA(INDEX(Mots!$J:$J,MATCH($A904,Mots!$A:$A,0)):INDEX(Mots!$P:$P,MATCH($A904,Mots!$A:$A,0))),0)</f>
        <v/>
      </c>
      <c r="E904" s="30">
        <f>IF(COUNTIF(Classement!$A:$A,$A904)&gt;0,"ok","à faire")</f>
        <v/>
      </c>
      <c r="F904" s="30">
        <f>IF(COUNTIF(Tags!$A:$A,$A904)&gt;0,"ok","à faire")</f>
        <v/>
      </c>
      <c r="G904" s="30">
        <f>IF(COUNTIF(Phrases!$A:$A,$A904)&gt;0,"ok","à faire")</f>
        <v/>
      </c>
      <c r="H904" s="30">
        <f>IF(COUNTIFS(Phrases!$A:$A,$A904,Phrases!$I:$I,"&lt;&gt;")&gt;0,"ok","à faire")</f>
        <v/>
      </c>
      <c r="I904" s="30">
        <f>IF(COUNTIF(Synonymes!$A:$A,$A904)&gt;0,"ok","")</f>
        <v/>
      </c>
      <c r="J904" s="30">
        <f>COUNTIF(E904:H904,"à faire")</f>
        <v/>
      </c>
    </row>
    <row r="905">
      <c r="A905" s="30" t="inlineStr">
        <is>
          <t>politesse</t>
        </is>
      </c>
      <c r="B905" s="30">
        <f>IFERROR(INDEX(Mots!$B:$B,MATCH($A905,Mots!$A:$A,0)),"introuvable")</f>
        <v/>
      </c>
      <c r="C905" s="30">
        <f>IFERROR(INDEX(Mots!$S:$S,MATCH($A905,Mots!$A:$A,0)),"")</f>
        <v/>
      </c>
      <c r="D905" s="30">
        <f>IFERROR(COUNTA(INDEX(Mots!$J:$J,MATCH($A905,Mots!$A:$A,0)):INDEX(Mots!$P:$P,MATCH($A905,Mots!$A:$A,0))),0)</f>
        <v/>
      </c>
      <c r="E905" s="30">
        <f>IF(COUNTIF(Classement!$A:$A,$A905)&gt;0,"ok","à faire")</f>
        <v/>
      </c>
      <c r="F905" s="30">
        <f>IF(COUNTIF(Tags!$A:$A,$A905)&gt;0,"ok","à faire")</f>
        <v/>
      </c>
      <c r="G905" s="30">
        <f>IF(COUNTIF(Phrases!$A:$A,$A905)&gt;0,"ok","à faire")</f>
        <v/>
      </c>
      <c r="H905" s="30">
        <f>IF(COUNTIFS(Phrases!$A:$A,$A905,Phrases!$I:$I,"&lt;&gt;")&gt;0,"ok","à faire")</f>
        <v/>
      </c>
      <c r="I905" s="30">
        <f>IF(COUNTIF(Synonymes!$A:$A,$A905)&gt;0,"ok","")</f>
        <v/>
      </c>
      <c r="J905" s="30">
        <f>COUNTIF(E905:H905,"à faire")</f>
        <v/>
      </c>
    </row>
    <row r="906">
      <c r="A906" s="30" t="inlineStr">
        <is>
          <t>pommade</t>
        </is>
      </c>
      <c r="B906" s="30">
        <f>IFERROR(INDEX(Mots!$B:$B,MATCH($A906,Mots!$A:$A,0)),"introuvable")</f>
        <v/>
      </c>
      <c r="C906" s="30">
        <f>IFERROR(INDEX(Mots!$S:$S,MATCH($A906,Mots!$A:$A,0)),"")</f>
        <v/>
      </c>
      <c r="D906" s="30">
        <f>IFERROR(COUNTA(INDEX(Mots!$J:$J,MATCH($A906,Mots!$A:$A,0)):INDEX(Mots!$P:$P,MATCH($A906,Mots!$A:$A,0))),0)</f>
        <v/>
      </c>
      <c r="E906" s="30">
        <f>IF(COUNTIF(Classement!$A:$A,$A906)&gt;0,"ok","à faire")</f>
        <v/>
      </c>
      <c r="F906" s="30">
        <f>IF(COUNTIF(Tags!$A:$A,$A906)&gt;0,"ok","à faire")</f>
        <v/>
      </c>
      <c r="G906" s="30">
        <f>IF(COUNTIF(Phrases!$A:$A,$A906)&gt;0,"ok","à faire")</f>
        <v/>
      </c>
      <c r="H906" s="30">
        <f>IF(COUNTIFS(Phrases!$A:$A,$A906,Phrases!$I:$I,"&lt;&gt;")&gt;0,"ok","à faire")</f>
        <v/>
      </c>
      <c r="I906" s="30">
        <f>IF(COUNTIF(Synonymes!$A:$A,$A906)&gt;0,"ok","")</f>
        <v/>
      </c>
      <c r="J906" s="30">
        <f>COUNTIF(E906:H906,"à faire")</f>
        <v/>
      </c>
    </row>
    <row r="907">
      <c r="A907" s="30" t="inlineStr">
        <is>
          <t>possibilite</t>
        </is>
      </c>
      <c r="B907" s="30">
        <f>IFERROR(INDEX(Mots!$B:$B,MATCH($A907,Mots!$A:$A,0)),"introuvable")</f>
        <v/>
      </c>
      <c r="C907" s="30">
        <f>IFERROR(INDEX(Mots!$S:$S,MATCH($A907,Mots!$A:$A,0)),"")</f>
        <v/>
      </c>
      <c r="D907" s="30">
        <f>IFERROR(COUNTA(INDEX(Mots!$J:$J,MATCH($A907,Mots!$A:$A,0)):INDEX(Mots!$P:$P,MATCH($A907,Mots!$A:$A,0))),0)</f>
        <v/>
      </c>
      <c r="E907" s="30">
        <f>IF(COUNTIF(Classement!$A:$A,$A907)&gt;0,"ok","à faire")</f>
        <v/>
      </c>
      <c r="F907" s="30">
        <f>IF(COUNTIF(Tags!$A:$A,$A907)&gt;0,"ok","à faire")</f>
        <v/>
      </c>
      <c r="G907" s="30">
        <f>IF(COUNTIF(Phrases!$A:$A,$A907)&gt;0,"ok","à faire")</f>
        <v/>
      </c>
      <c r="H907" s="30">
        <f>IF(COUNTIFS(Phrases!$A:$A,$A907,Phrases!$I:$I,"&lt;&gt;")&gt;0,"ok","à faire")</f>
        <v/>
      </c>
      <c r="I907" s="30">
        <f>IF(COUNTIF(Synonymes!$A:$A,$A907)&gt;0,"ok","")</f>
        <v/>
      </c>
      <c r="J907" s="30">
        <f>COUNTIF(E907:H907,"à faire")</f>
        <v/>
      </c>
    </row>
    <row r="908">
      <c r="A908" s="30" t="inlineStr">
        <is>
          <t>poste</t>
        </is>
      </c>
      <c r="B908" s="30">
        <f>IFERROR(INDEX(Mots!$B:$B,MATCH($A908,Mots!$A:$A,0)),"introuvable")</f>
        <v/>
      </c>
      <c r="C908" s="30">
        <f>IFERROR(INDEX(Mots!$S:$S,MATCH($A908,Mots!$A:$A,0)),"")</f>
        <v/>
      </c>
      <c r="D908" s="30">
        <f>IFERROR(COUNTA(INDEX(Mots!$J:$J,MATCH($A908,Mots!$A:$A,0)):INDEX(Mots!$P:$P,MATCH($A908,Mots!$A:$A,0))),0)</f>
        <v/>
      </c>
      <c r="E908" s="30">
        <f>IF(COUNTIF(Classement!$A:$A,$A908)&gt;0,"ok","à faire")</f>
        <v/>
      </c>
      <c r="F908" s="30">
        <f>IF(COUNTIF(Tags!$A:$A,$A908)&gt;0,"ok","à faire")</f>
        <v/>
      </c>
      <c r="G908" s="30">
        <f>IF(COUNTIF(Phrases!$A:$A,$A908)&gt;0,"ok","à faire")</f>
        <v/>
      </c>
      <c r="H908" s="30">
        <f>IF(COUNTIFS(Phrases!$A:$A,$A908,Phrases!$I:$I,"&lt;&gt;")&gt;0,"ok","à faire")</f>
        <v/>
      </c>
      <c r="I908" s="30">
        <f>IF(COUNTIF(Synonymes!$A:$A,$A908)&gt;0,"ok","")</f>
        <v/>
      </c>
      <c r="J908" s="30">
        <f>COUNTIF(E908:H908,"à faire")</f>
        <v/>
      </c>
    </row>
    <row r="909">
      <c r="A909" s="30" t="inlineStr">
        <is>
          <t>poubelle</t>
        </is>
      </c>
      <c r="B909" s="30">
        <f>IFERROR(INDEX(Mots!$B:$B,MATCH($A909,Mots!$A:$A,0)),"introuvable")</f>
        <v/>
      </c>
      <c r="C909" s="30">
        <f>IFERROR(INDEX(Mots!$S:$S,MATCH($A909,Mots!$A:$A,0)),"")</f>
        <v/>
      </c>
      <c r="D909" s="30">
        <f>IFERROR(COUNTA(INDEX(Mots!$J:$J,MATCH($A909,Mots!$A:$A,0)):INDEX(Mots!$P:$P,MATCH($A909,Mots!$A:$A,0))),0)</f>
        <v/>
      </c>
      <c r="E909" s="30">
        <f>IF(COUNTIF(Classement!$A:$A,$A909)&gt;0,"ok","à faire")</f>
        <v/>
      </c>
      <c r="F909" s="30">
        <f>IF(COUNTIF(Tags!$A:$A,$A909)&gt;0,"ok","à faire")</f>
        <v/>
      </c>
      <c r="G909" s="30">
        <f>IF(COUNTIF(Phrases!$A:$A,$A909)&gt;0,"ok","à faire")</f>
        <v/>
      </c>
      <c r="H909" s="30">
        <f>IF(COUNTIFS(Phrases!$A:$A,$A909,Phrases!$I:$I,"&lt;&gt;")&gt;0,"ok","à faire")</f>
        <v/>
      </c>
      <c r="I909" s="30">
        <f>IF(COUNTIF(Synonymes!$A:$A,$A909)&gt;0,"ok","")</f>
        <v/>
      </c>
      <c r="J909" s="30">
        <f>COUNTIF(E909:H909,"à faire")</f>
        <v/>
      </c>
    </row>
    <row r="910">
      <c r="A910" s="30" t="inlineStr">
        <is>
          <t>poudre</t>
        </is>
      </c>
      <c r="B910" s="30">
        <f>IFERROR(INDEX(Mots!$B:$B,MATCH($A910,Mots!$A:$A,0)),"introuvable")</f>
        <v/>
      </c>
      <c r="C910" s="30">
        <f>IFERROR(INDEX(Mots!$S:$S,MATCH($A910,Mots!$A:$A,0)),"")</f>
        <v/>
      </c>
      <c r="D910" s="30">
        <f>IFERROR(COUNTA(INDEX(Mots!$J:$J,MATCH($A910,Mots!$A:$A,0)):INDEX(Mots!$P:$P,MATCH($A910,Mots!$A:$A,0))),0)</f>
        <v/>
      </c>
      <c r="E910" s="30">
        <f>IF(COUNTIF(Classement!$A:$A,$A910)&gt;0,"ok","à faire")</f>
        <v/>
      </c>
      <c r="F910" s="30">
        <f>IF(COUNTIF(Tags!$A:$A,$A910)&gt;0,"ok","à faire")</f>
        <v/>
      </c>
      <c r="G910" s="30">
        <f>IF(COUNTIF(Phrases!$A:$A,$A910)&gt;0,"ok","à faire")</f>
        <v/>
      </c>
      <c r="H910" s="30">
        <f>IF(COUNTIFS(Phrases!$A:$A,$A910,Phrases!$I:$I,"&lt;&gt;")&gt;0,"ok","à faire")</f>
        <v/>
      </c>
      <c r="I910" s="30">
        <f>IF(COUNTIF(Synonymes!$A:$A,$A910)&gt;0,"ok","")</f>
        <v/>
      </c>
      <c r="J910" s="30">
        <f>COUNTIF(E910:H910,"à faire")</f>
        <v/>
      </c>
    </row>
    <row r="911">
      <c r="A911" s="30" t="inlineStr">
        <is>
          <t>poussiere</t>
        </is>
      </c>
      <c r="B911" s="30">
        <f>IFERROR(INDEX(Mots!$B:$B,MATCH($A911,Mots!$A:$A,0)),"introuvable")</f>
        <v/>
      </c>
      <c r="C911" s="30">
        <f>IFERROR(INDEX(Mots!$S:$S,MATCH($A911,Mots!$A:$A,0)),"")</f>
        <v/>
      </c>
      <c r="D911" s="30">
        <f>IFERROR(COUNTA(INDEX(Mots!$J:$J,MATCH($A911,Mots!$A:$A,0)):INDEX(Mots!$P:$P,MATCH($A911,Mots!$A:$A,0))),0)</f>
        <v/>
      </c>
      <c r="E911" s="30">
        <f>IF(COUNTIF(Classement!$A:$A,$A911)&gt;0,"ok","à faire")</f>
        <v/>
      </c>
      <c r="F911" s="30">
        <f>IF(COUNTIF(Tags!$A:$A,$A911)&gt;0,"ok","à faire")</f>
        <v/>
      </c>
      <c r="G911" s="30">
        <f>IF(COUNTIF(Phrases!$A:$A,$A911)&gt;0,"ok","à faire")</f>
        <v/>
      </c>
      <c r="H911" s="30">
        <f>IF(COUNTIFS(Phrases!$A:$A,$A911,Phrases!$I:$I,"&lt;&gt;")&gt;0,"ok","à faire")</f>
        <v/>
      </c>
      <c r="I911" s="30">
        <f>IF(COUNTIF(Synonymes!$A:$A,$A911)&gt;0,"ok","")</f>
        <v/>
      </c>
      <c r="J911" s="30">
        <f>COUNTIF(E911:H911,"à faire")</f>
        <v/>
      </c>
    </row>
    <row r="912">
      <c r="A912" s="30" t="inlineStr">
        <is>
          <t>prairie</t>
        </is>
      </c>
      <c r="B912" s="30">
        <f>IFERROR(INDEX(Mots!$B:$B,MATCH($A912,Mots!$A:$A,0)),"introuvable")</f>
        <v/>
      </c>
      <c r="C912" s="30">
        <f>IFERROR(INDEX(Mots!$S:$S,MATCH($A912,Mots!$A:$A,0)),"")</f>
        <v/>
      </c>
      <c r="D912" s="30">
        <f>IFERROR(COUNTA(INDEX(Mots!$J:$J,MATCH($A912,Mots!$A:$A,0)):INDEX(Mots!$P:$P,MATCH($A912,Mots!$A:$A,0))),0)</f>
        <v/>
      </c>
      <c r="E912" s="30">
        <f>IF(COUNTIF(Classement!$A:$A,$A912)&gt;0,"ok","à faire")</f>
        <v/>
      </c>
      <c r="F912" s="30">
        <f>IF(COUNTIF(Tags!$A:$A,$A912)&gt;0,"ok","à faire")</f>
        <v/>
      </c>
      <c r="G912" s="30">
        <f>IF(COUNTIF(Phrases!$A:$A,$A912)&gt;0,"ok","à faire")</f>
        <v/>
      </c>
      <c r="H912" s="30">
        <f>IF(COUNTIFS(Phrases!$A:$A,$A912,Phrases!$I:$I,"&lt;&gt;")&gt;0,"ok","à faire")</f>
        <v/>
      </c>
      <c r="I912" s="30">
        <f>IF(COUNTIF(Synonymes!$A:$A,$A912)&gt;0,"ok","")</f>
        <v/>
      </c>
      <c r="J912" s="30">
        <f>COUNTIF(E912:H912,"à faire")</f>
        <v/>
      </c>
    </row>
    <row r="913">
      <c r="A913" s="30" t="inlineStr">
        <is>
          <t>preuve</t>
        </is>
      </c>
      <c r="B913" s="30">
        <f>IFERROR(INDEX(Mots!$B:$B,MATCH($A913,Mots!$A:$A,0)),"introuvable")</f>
        <v/>
      </c>
      <c r="C913" s="30">
        <f>IFERROR(INDEX(Mots!$S:$S,MATCH($A913,Mots!$A:$A,0)),"")</f>
        <v/>
      </c>
      <c r="D913" s="30">
        <f>IFERROR(COUNTA(INDEX(Mots!$J:$J,MATCH($A913,Mots!$A:$A,0)):INDEX(Mots!$P:$P,MATCH($A913,Mots!$A:$A,0))),0)</f>
        <v/>
      </c>
      <c r="E913" s="30">
        <f>IF(COUNTIF(Classement!$A:$A,$A913)&gt;0,"ok","à faire")</f>
        <v/>
      </c>
      <c r="F913" s="30">
        <f>IF(COUNTIF(Tags!$A:$A,$A913)&gt;0,"ok","à faire")</f>
        <v/>
      </c>
      <c r="G913" s="30">
        <f>IF(COUNTIF(Phrases!$A:$A,$A913)&gt;0,"ok","à faire")</f>
        <v/>
      </c>
      <c r="H913" s="30">
        <f>IF(COUNTIFS(Phrases!$A:$A,$A913,Phrases!$I:$I,"&lt;&gt;")&gt;0,"ok","à faire")</f>
        <v/>
      </c>
      <c r="I913" s="30">
        <f>IF(COUNTIF(Synonymes!$A:$A,$A913)&gt;0,"ok","")</f>
        <v/>
      </c>
      <c r="J913" s="30">
        <f>COUNTIF(E913:H913,"à faire")</f>
        <v/>
      </c>
    </row>
    <row r="914">
      <c r="A914" s="30" t="inlineStr">
        <is>
          <t>promenade</t>
        </is>
      </c>
      <c r="B914" s="30">
        <f>IFERROR(INDEX(Mots!$B:$B,MATCH($A914,Mots!$A:$A,0)),"introuvable")</f>
        <v/>
      </c>
      <c r="C914" s="30">
        <f>IFERROR(INDEX(Mots!$S:$S,MATCH($A914,Mots!$A:$A,0)),"")</f>
        <v/>
      </c>
      <c r="D914" s="30">
        <f>IFERROR(COUNTA(INDEX(Mots!$J:$J,MATCH($A914,Mots!$A:$A,0)):INDEX(Mots!$P:$P,MATCH($A914,Mots!$A:$A,0))),0)</f>
        <v/>
      </c>
      <c r="E914" s="30">
        <f>IF(COUNTIF(Classement!$A:$A,$A914)&gt;0,"ok","à faire")</f>
        <v/>
      </c>
      <c r="F914" s="30">
        <f>IF(COUNTIF(Tags!$A:$A,$A914)&gt;0,"ok","à faire")</f>
        <v/>
      </c>
      <c r="G914" s="30">
        <f>IF(COUNTIF(Phrases!$A:$A,$A914)&gt;0,"ok","à faire")</f>
        <v/>
      </c>
      <c r="H914" s="30">
        <f>IF(COUNTIFS(Phrases!$A:$A,$A914,Phrases!$I:$I,"&lt;&gt;")&gt;0,"ok","à faire")</f>
        <v/>
      </c>
      <c r="I914" s="30">
        <f>IF(COUNTIF(Synonymes!$A:$A,$A914)&gt;0,"ok","")</f>
        <v/>
      </c>
      <c r="J914" s="30">
        <f>COUNTIF(E914:H914,"à faire")</f>
        <v/>
      </c>
    </row>
    <row r="915">
      <c r="A915" s="30" t="inlineStr">
        <is>
          <t>promesse</t>
        </is>
      </c>
      <c r="B915" s="30">
        <f>IFERROR(INDEX(Mots!$B:$B,MATCH($A915,Mots!$A:$A,0)),"introuvable")</f>
        <v/>
      </c>
      <c r="C915" s="30">
        <f>IFERROR(INDEX(Mots!$S:$S,MATCH($A915,Mots!$A:$A,0)),"")</f>
        <v/>
      </c>
      <c r="D915" s="30">
        <f>IFERROR(COUNTA(INDEX(Mots!$J:$J,MATCH($A915,Mots!$A:$A,0)):INDEX(Mots!$P:$P,MATCH($A915,Mots!$A:$A,0))),0)</f>
        <v/>
      </c>
      <c r="E915" s="30">
        <f>IF(COUNTIF(Classement!$A:$A,$A915)&gt;0,"ok","à faire")</f>
        <v/>
      </c>
      <c r="F915" s="30">
        <f>IF(COUNTIF(Tags!$A:$A,$A915)&gt;0,"ok","à faire")</f>
        <v/>
      </c>
      <c r="G915" s="30">
        <f>IF(COUNTIF(Phrases!$A:$A,$A915)&gt;0,"ok","à faire")</f>
        <v/>
      </c>
      <c r="H915" s="30">
        <f>IF(COUNTIFS(Phrases!$A:$A,$A915,Phrases!$I:$I,"&lt;&gt;")&gt;0,"ok","à faire")</f>
        <v/>
      </c>
      <c r="I915" s="30">
        <f>IF(COUNTIF(Synonymes!$A:$A,$A915)&gt;0,"ok","")</f>
        <v/>
      </c>
      <c r="J915" s="30">
        <f>COUNTIF(E915:H915,"à faire")</f>
        <v/>
      </c>
    </row>
    <row r="916">
      <c r="A916" s="30" t="inlineStr">
        <is>
          <t>protection</t>
        </is>
      </c>
      <c r="B916" s="30">
        <f>IFERROR(INDEX(Mots!$B:$B,MATCH($A916,Mots!$A:$A,0)),"introuvable")</f>
        <v/>
      </c>
      <c r="C916" s="30">
        <f>IFERROR(INDEX(Mots!$S:$S,MATCH($A916,Mots!$A:$A,0)),"")</f>
        <v/>
      </c>
      <c r="D916" s="30">
        <f>IFERROR(COUNTA(INDEX(Mots!$J:$J,MATCH($A916,Mots!$A:$A,0)):INDEX(Mots!$P:$P,MATCH($A916,Mots!$A:$A,0))),0)</f>
        <v/>
      </c>
      <c r="E916" s="30">
        <f>IF(COUNTIF(Classement!$A:$A,$A916)&gt;0,"ok","à faire")</f>
        <v/>
      </c>
      <c r="F916" s="30">
        <f>IF(COUNTIF(Tags!$A:$A,$A916)&gt;0,"ok","à faire")</f>
        <v/>
      </c>
      <c r="G916" s="30">
        <f>IF(COUNTIF(Phrases!$A:$A,$A916)&gt;0,"ok","à faire")</f>
        <v/>
      </c>
      <c r="H916" s="30">
        <f>IF(COUNTIFS(Phrases!$A:$A,$A916,Phrases!$I:$I,"&lt;&gt;")&gt;0,"ok","à faire")</f>
        <v/>
      </c>
      <c r="I916" s="30">
        <f>IF(COUNTIF(Synonymes!$A:$A,$A916)&gt;0,"ok","")</f>
        <v/>
      </c>
      <c r="J916" s="30">
        <f>COUNTIF(E916:H916,"à faire")</f>
        <v/>
      </c>
    </row>
    <row r="917">
      <c r="A917" s="30" t="inlineStr">
        <is>
          <t>qualite</t>
        </is>
      </c>
      <c r="B917" s="30">
        <f>IFERROR(INDEX(Mots!$B:$B,MATCH($A917,Mots!$A:$A,0)),"introuvable")</f>
        <v/>
      </c>
      <c r="C917" s="30">
        <f>IFERROR(INDEX(Mots!$S:$S,MATCH($A917,Mots!$A:$A,0)),"")</f>
        <v/>
      </c>
      <c r="D917" s="30">
        <f>IFERROR(COUNTA(INDEX(Mots!$J:$J,MATCH($A917,Mots!$A:$A,0)):INDEX(Mots!$P:$P,MATCH($A917,Mots!$A:$A,0))),0)</f>
        <v/>
      </c>
      <c r="E917" s="30">
        <f>IF(COUNTIF(Classement!$A:$A,$A917)&gt;0,"ok","à faire")</f>
        <v/>
      </c>
      <c r="F917" s="30">
        <f>IF(COUNTIF(Tags!$A:$A,$A917)&gt;0,"ok","à faire")</f>
        <v/>
      </c>
      <c r="G917" s="30">
        <f>IF(COUNTIF(Phrases!$A:$A,$A917)&gt;0,"ok","à faire")</f>
        <v/>
      </c>
      <c r="H917" s="30">
        <f>IF(COUNTIFS(Phrases!$A:$A,$A917,Phrases!$I:$I,"&lt;&gt;")&gt;0,"ok","à faire")</f>
        <v/>
      </c>
      <c r="I917" s="30">
        <f>IF(COUNTIF(Synonymes!$A:$A,$A917)&gt;0,"ok","")</f>
        <v/>
      </c>
      <c r="J917" s="30">
        <f>COUNTIF(E917:H917,"à faire")</f>
        <v/>
      </c>
    </row>
    <row r="918">
      <c r="A918" s="30" t="inlineStr">
        <is>
          <t>quantite</t>
        </is>
      </c>
      <c r="B918" s="30">
        <f>IFERROR(INDEX(Mots!$B:$B,MATCH($A918,Mots!$A:$A,0)),"introuvable")</f>
        <v/>
      </c>
      <c r="C918" s="30">
        <f>IFERROR(INDEX(Mots!$S:$S,MATCH($A918,Mots!$A:$A,0)),"")</f>
        <v/>
      </c>
      <c r="D918" s="30">
        <f>IFERROR(COUNTA(INDEX(Mots!$J:$J,MATCH($A918,Mots!$A:$A,0)):INDEX(Mots!$P:$P,MATCH($A918,Mots!$A:$A,0))),0)</f>
        <v/>
      </c>
      <c r="E918" s="30">
        <f>IF(COUNTIF(Classement!$A:$A,$A918)&gt;0,"ok","à faire")</f>
        <v/>
      </c>
      <c r="F918" s="30">
        <f>IF(COUNTIF(Tags!$A:$A,$A918)&gt;0,"ok","à faire")</f>
        <v/>
      </c>
      <c r="G918" s="30">
        <f>IF(COUNTIF(Phrases!$A:$A,$A918)&gt;0,"ok","à faire")</f>
        <v/>
      </c>
      <c r="H918" s="30">
        <f>IF(COUNTIFS(Phrases!$A:$A,$A918,Phrases!$I:$I,"&lt;&gt;")&gt;0,"ok","à faire")</f>
        <v/>
      </c>
      <c r="I918" s="30">
        <f>IF(COUNTIF(Synonymes!$A:$A,$A918)&gt;0,"ok","")</f>
        <v/>
      </c>
      <c r="J918" s="30">
        <f>COUNTIF(E918:H918,"à faire")</f>
        <v/>
      </c>
    </row>
    <row r="919">
      <c r="A919" s="30" t="inlineStr">
        <is>
          <t>question</t>
        </is>
      </c>
      <c r="B919" s="30">
        <f>IFERROR(INDEX(Mots!$B:$B,MATCH($A919,Mots!$A:$A,0)),"introuvable")</f>
        <v/>
      </c>
      <c r="C919" s="30">
        <f>IFERROR(INDEX(Mots!$S:$S,MATCH($A919,Mots!$A:$A,0)),"")</f>
        <v/>
      </c>
      <c r="D919" s="30">
        <f>IFERROR(COUNTA(INDEX(Mots!$J:$J,MATCH($A919,Mots!$A:$A,0)):INDEX(Mots!$P:$P,MATCH($A919,Mots!$A:$A,0))),0)</f>
        <v/>
      </c>
      <c r="E919" s="30">
        <f>IF(COUNTIF(Classement!$A:$A,$A919)&gt;0,"ok","à faire")</f>
        <v/>
      </c>
      <c r="F919" s="30">
        <f>IF(COUNTIF(Tags!$A:$A,$A919)&gt;0,"ok","à faire")</f>
        <v/>
      </c>
      <c r="G919" s="30">
        <f>IF(COUNTIF(Phrases!$A:$A,$A919)&gt;0,"ok","à faire")</f>
        <v/>
      </c>
      <c r="H919" s="30">
        <f>IF(COUNTIFS(Phrases!$A:$A,$A919,Phrases!$I:$I,"&lt;&gt;")&gt;0,"ok","à faire")</f>
        <v/>
      </c>
      <c r="I919" s="30">
        <f>IF(COUNTIF(Synonymes!$A:$A,$A919)&gt;0,"ok","")</f>
        <v/>
      </c>
      <c r="J919" s="30">
        <f>COUNTIF(E919:H919,"à faire")</f>
        <v/>
      </c>
    </row>
    <row r="920">
      <c r="A920" s="30" t="inlineStr">
        <is>
          <t>queue</t>
        </is>
      </c>
      <c r="B920" s="30">
        <f>IFERROR(INDEX(Mots!$B:$B,MATCH($A920,Mots!$A:$A,0)),"introuvable")</f>
        <v/>
      </c>
      <c r="C920" s="30">
        <f>IFERROR(INDEX(Mots!$S:$S,MATCH($A920,Mots!$A:$A,0)),"")</f>
        <v/>
      </c>
      <c r="D920" s="30">
        <f>IFERROR(COUNTA(INDEX(Mots!$J:$J,MATCH($A920,Mots!$A:$A,0)):INDEX(Mots!$P:$P,MATCH($A920,Mots!$A:$A,0))),0)</f>
        <v/>
      </c>
      <c r="E920" s="30">
        <f>IF(COUNTIF(Classement!$A:$A,$A920)&gt;0,"ok","à faire")</f>
        <v/>
      </c>
      <c r="F920" s="30">
        <f>IF(COUNTIF(Tags!$A:$A,$A920)&gt;0,"ok","à faire")</f>
        <v/>
      </c>
      <c r="G920" s="30">
        <f>IF(COUNTIF(Phrases!$A:$A,$A920)&gt;0,"ok","à faire")</f>
        <v/>
      </c>
      <c r="H920" s="30">
        <f>IF(COUNTIFS(Phrases!$A:$A,$A920,Phrases!$I:$I,"&lt;&gt;")&gt;0,"ok","à faire")</f>
        <v/>
      </c>
      <c r="I920" s="30">
        <f>IF(COUNTIF(Synonymes!$A:$A,$A920)&gt;0,"ok","")</f>
        <v/>
      </c>
      <c r="J920" s="30">
        <f>COUNTIF(E920:H920,"à faire")</f>
        <v/>
      </c>
    </row>
    <row r="921">
      <c r="A921" s="30" t="inlineStr">
        <is>
          <t>racine</t>
        </is>
      </c>
      <c r="B921" s="30">
        <f>IFERROR(INDEX(Mots!$B:$B,MATCH($A921,Mots!$A:$A,0)),"introuvable")</f>
        <v/>
      </c>
      <c r="C921" s="30">
        <f>IFERROR(INDEX(Mots!$S:$S,MATCH($A921,Mots!$A:$A,0)),"")</f>
        <v/>
      </c>
      <c r="D921" s="30">
        <f>IFERROR(COUNTA(INDEX(Mots!$J:$J,MATCH($A921,Mots!$A:$A,0)):INDEX(Mots!$P:$P,MATCH($A921,Mots!$A:$A,0))),0)</f>
        <v/>
      </c>
      <c r="E921" s="30">
        <f>IF(COUNTIF(Classement!$A:$A,$A921)&gt;0,"ok","à faire")</f>
        <v/>
      </c>
      <c r="F921" s="30">
        <f>IF(COUNTIF(Tags!$A:$A,$A921)&gt;0,"ok","à faire")</f>
        <v/>
      </c>
      <c r="G921" s="30">
        <f>IF(COUNTIF(Phrases!$A:$A,$A921)&gt;0,"ok","à faire")</f>
        <v/>
      </c>
      <c r="H921" s="30">
        <f>IF(COUNTIFS(Phrases!$A:$A,$A921,Phrases!$I:$I,"&lt;&gt;")&gt;0,"ok","à faire")</f>
        <v/>
      </c>
      <c r="I921" s="30">
        <f>IF(COUNTIF(Synonymes!$A:$A,$A921)&gt;0,"ok","")</f>
        <v/>
      </c>
      <c r="J921" s="30">
        <f>COUNTIF(E921:H921,"à faire")</f>
        <v/>
      </c>
    </row>
    <row r="922">
      <c r="A922" s="30" t="inlineStr">
        <is>
          <t>randonnee</t>
        </is>
      </c>
      <c r="B922" s="30">
        <f>IFERROR(INDEX(Mots!$B:$B,MATCH($A922,Mots!$A:$A,0)),"introuvable")</f>
        <v/>
      </c>
      <c r="C922" s="30">
        <f>IFERROR(INDEX(Mots!$S:$S,MATCH($A922,Mots!$A:$A,0)),"")</f>
        <v/>
      </c>
      <c r="D922" s="30">
        <f>IFERROR(COUNTA(INDEX(Mots!$J:$J,MATCH($A922,Mots!$A:$A,0)):INDEX(Mots!$P:$P,MATCH($A922,Mots!$A:$A,0))),0)</f>
        <v/>
      </c>
      <c r="E922" s="30">
        <f>IF(COUNTIF(Classement!$A:$A,$A922)&gt;0,"ok","à faire")</f>
        <v/>
      </c>
      <c r="F922" s="30">
        <f>IF(COUNTIF(Tags!$A:$A,$A922)&gt;0,"ok","à faire")</f>
        <v/>
      </c>
      <c r="G922" s="30">
        <f>IF(COUNTIF(Phrases!$A:$A,$A922)&gt;0,"ok","à faire")</f>
        <v/>
      </c>
      <c r="H922" s="30">
        <f>IF(COUNTIFS(Phrases!$A:$A,$A922,Phrases!$I:$I,"&lt;&gt;")&gt;0,"ok","à faire")</f>
        <v/>
      </c>
      <c r="I922" s="30">
        <f>IF(COUNTIF(Synonymes!$A:$A,$A922)&gt;0,"ok","")</f>
        <v/>
      </c>
      <c r="J922" s="30">
        <f>COUNTIF(E922:H922,"à faire")</f>
        <v/>
      </c>
    </row>
    <row r="923">
      <c r="A923" s="30" t="inlineStr">
        <is>
          <t>rapidite</t>
        </is>
      </c>
      <c r="B923" s="30">
        <f>IFERROR(INDEX(Mots!$B:$B,MATCH($A923,Mots!$A:$A,0)),"introuvable")</f>
        <v/>
      </c>
      <c r="C923" s="30">
        <f>IFERROR(INDEX(Mots!$S:$S,MATCH($A923,Mots!$A:$A,0)),"")</f>
        <v/>
      </c>
      <c r="D923" s="30">
        <f>IFERROR(COUNTA(INDEX(Mots!$J:$J,MATCH($A923,Mots!$A:$A,0)):INDEX(Mots!$P:$P,MATCH($A923,Mots!$A:$A,0))),0)</f>
        <v/>
      </c>
      <c r="E923" s="30">
        <f>IF(COUNTIF(Classement!$A:$A,$A923)&gt;0,"ok","à faire")</f>
        <v/>
      </c>
      <c r="F923" s="30">
        <f>IF(COUNTIF(Tags!$A:$A,$A923)&gt;0,"ok","à faire")</f>
        <v/>
      </c>
      <c r="G923" s="30">
        <f>IF(COUNTIF(Phrases!$A:$A,$A923)&gt;0,"ok","à faire")</f>
        <v/>
      </c>
      <c r="H923" s="30">
        <f>IF(COUNTIFS(Phrases!$A:$A,$A923,Phrases!$I:$I,"&lt;&gt;")&gt;0,"ok","à faire")</f>
        <v/>
      </c>
      <c r="I923" s="30">
        <f>IF(COUNTIF(Synonymes!$A:$A,$A923)&gt;0,"ok","")</f>
        <v/>
      </c>
      <c r="J923" s="30">
        <f>COUNTIF(E923:H923,"à faire")</f>
        <v/>
      </c>
    </row>
    <row r="924">
      <c r="A924" s="30" t="inlineStr">
        <is>
          <t>reaction</t>
        </is>
      </c>
      <c r="B924" s="30">
        <f>IFERROR(INDEX(Mots!$B:$B,MATCH($A924,Mots!$A:$A,0)),"introuvable")</f>
        <v/>
      </c>
      <c r="C924" s="30">
        <f>IFERROR(INDEX(Mots!$S:$S,MATCH($A924,Mots!$A:$A,0)),"")</f>
        <v/>
      </c>
      <c r="D924" s="30">
        <f>IFERROR(COUNTA(INDEX(Mots!$J:$J,MATCH($A924,Mots!$A:$A,0)):INDEX(Mots!$P:$P,MATCH($A924,Mots!$A:$A,0))),0)</f>
        <v/>
      </c>
      <c r="E924" s="30">
        <f>IF(COUNTIF(Classement!$A:$A,$A924)&gt;0,"ok","à faire")</f>
        <v/>
      </c>
      <c r="F924" s="30">
        <f>IF(COUNTIF(Tags!$A:$A,$A924)&gt;0,"ok","à faire")</f>
        <v/>
      </c>
      <c r="G924" s="30">
        <f>IF(COUNTIF(Phrases!$A:$A,$A924)&gt;0,"ok","à faire")</f>
        <v/>
      </c>
      <c r="H924" s="30">
        <f>IF(COUNTIFS(Phrases!$A:$A,$A924,Phrases!$I:$I,"&lt;&gt;")&gt;0,"ok","à faire")</f>
        <v/>
      </c>
      <c r="I924" s="30">
        <f>IF(COUNTIF(Synonymes!$A:$A,$A924)&gt;0,"ok","")</f>
        <v/>
      </c>
      <c r="J924" s="30">
        <f>COUNTIF(E924:H924,"à faire")</f>
        <v/>
      </c>
    </row>
    <row r="925">
      <c r="A925" s="30" t="inlineStr">
        <is>
          <t>recolte</t>
        </is>
      </c>
      <c r="B925" s="30">
        <f>IFERROR(INDEX(Mots!$B:$B,MATCH($A925,Mots!$A:$A,0)),"introuvable")</f>
        <v/>
      </c>
      <c r="C925" s="30">
        <f>IFERROR(INDEX(Mots!$S:$S,MATCH($A925,Mots!$A:$A,0)),"")</f>
        <v/>
      </c>
      <c r="D925" s="30">
        <f>IFERROR(COUNTA(INDEX(Mots!$J:$J,MATCH($A925,Mots!$A:$A,0)):INDEX(Mots!$P:$P,MATCH($A925,Mots!$A:$A,0))),0)</f>
        <v/>
      </c>
      <c r="E925" s="30">
        <f>IF(COUNTIF(Classement!$A:$A,$A925)&gt;0,"ok","à faire")</f>
        <v/>
      </c>
      <c r="F925" s="30">
        <f>IF(COUNTIF(Tags!$A:$A,$A925)&gt;0,"ok","à faire")</f>
        <v/>
      </c>
      <c r="G925" s="30">
        <f>IF(COUNTIF(Phrases!$A:$A,$A925)&gt;0,"ok","à faire")</f>
        <v/>
      </c>
      <c r="H925" s="30">
        <f>IF(COUNTIFS(Phrases!$A:$A,$A925,Phrases!$I:$I,"&lt;&gt;")&gt;0,"ok","à faire")</f>
        <v/>
      </c>
      <c r="I925" s="30">
        <f>IF(COUNTIF(Synonymes!$A:$A,$A925)&gt;0,"ok","")</f>
        <v/>
      </c>
      <c r="J925" s="30">
        <f>COUNTIF(E925:H925,"à faire")</f>
        <v/>
      </c>
    </row>
    <row r="926">
      <c r="A926" s="30" t="inlineStr">
        <is>
          <t>reconciliation</t>
        </is>
      </c>
      <c r="B926" s="30">
        <f>IFERROR(INDEX(Mots!$B:$B,MATCH($A926,Mots!$A:$A,0)),"introuvable")</f>
        <v/>
      </c>
      <c r="C926" s="30">
        <f>IFERROR(INDEX(Mots!$S:$S,MATCH($A926,Mots!$A:$A,0)),"")</f>
        <v/>
      </c>
      <c r="D926" s="30">
        <f>IFERROR(COUNTA(INDEX(Mots!$J:$J,MATCH($A926,Mots!$A:$A,0)):INDEX(Mots!$P:$P,MATCH($A926,Mots!$A:$A,0))),0)</f>
        <v/>
      </c>
      <c r="E926" s="30">
        <f>IF(COUNTIF(Classement!$A:$A,$A926)&gt;0,"ok","à faire")</f>
        <v/>
      </c>
      <c r="F926" s="30">
        <f>IF(COUNTIF(Tags!$A:$A,$A926)&gt;0,"ok","à faire")</f>
        <v/>
      </c>
      <c r="G926" s="30">
        <f>IF(COUNTIF(Phrases!$A:$A,$A926)&gt;0,"ok","à faire")</f>
        <v/>
      </c>
      <c r="H926" s="30">
        <f>IF(COUNTIFS(Phrases!$A:$A,$A926,Phrases!$I:$I,"&lt;&gt;")&gt;0,"ok","à faire")</f>
        <v/>
      </c>
      <c r="I926" s="30">
        <f>IF(COUNTIF(Synonymes!$A:$A,$A926)&gt;0,"ok","")</f>
        <v/>
      </c>
      <c r="J926" s="30">
        <f>COUNTIF(E926:H926,"à faire")</f>
        <v/>
      </c>
    </row>
    <row r="927">
      <c r="A927" s="30" t="inlineStr">
        <is>
          <t>rencontre</t>
        </is>
      </c>
      <c r="B927" s="30">
        <f>IFERROR(INDEX(Mots!$B:$B,MATCH($A927,Mots!$A:$A,0)),"introuvable")</f>
        <v/>
      </c>
      <c r="C927" s="30">
        <f>IFERROR(INDEX(Mots!$S:$S,MATCH($A927,Mots!$A:$A,0)),"")</f>
        <v/>
      </c>
      <c r="D927" s="30">
        <f>IFERROR(COUNTA(INDEX(Mots!$J:$J,MATCH($A927,Mots!$A:$A,0)):INDEX(Mots!$P:$P,MATCH($A927,Mots!$A:$A,0))),0)</f>
        <v/>
      </c>
      <c r="E927" s="30">
        <f>IF(COUNTIF(Classement!$A:$A,$A927)&gt;0,"ok","à faire")</f>
        <v/>
      </c>
      <c r="F927" s="30">
        <f>IF(COUNTIF(Tags!$A:$A,$A927)&gt;0,"ok","à faire")</f>
        <v/>
      </c>
      <c r="G927" s="30">
        <f>IF(COUNTIF(Phrases!$A:$A,$A927)&gt;0,"ok","à faire")</f>
        <v/>
      </c>
      <c r="H927" s="30">
        <f>IF(COUNTIFS(Phrases!$A:$A,$A927,Phrases!$I:$I,"&lt;&gt;")&gt;0,"ok","à faire")</f>
        <v/>
      </c>
      <c r="I927" s="30">
        <f>IF(COUNTIF(Synonymes!$A:$A,$A927)&gt;0,"ok","")</f>
        <v/>
      </c>
      <c r="J927" s="30">
        <f>COUNTIF(E927:H927,"à faire")</f>
        <v/>
      </c>
    </row>
    <row r="928">
      <c r="A928" s="30" t="inlineStr">
        <is>
          <t>reparation</t>
        </is>
      </c>
      <c r="B928" s="30">
        <f>IFERROR(INDEX(Mots!$B:$B,MATCH($A928,Mots!$A:$A,0)),"introuvable")</f>
        <v/>
      </c>
      <c r="C928" s="30">
        <f>IFERROR(INDEX(Mots!$S:$S,MATCH($A928,Mots!$A:$A,0)),"")</f>
        <v/>
      </c>
      <c r="D928" s="30">
        <f>IFERROR(COUNTA(INDEX(Mots!$J:$J,MATCH($A928,Mots!$A:$A,0)):INDEX(Mots!$P:$P,MATCH($A928,Mots!$A:$A,0))),0)</f>
        <v/>
      </c>
      <c r="E928" s="30">
        <f>IF(COUNTIF(Classement!$A:$A,$A928)&gt;0,"ok","à faire")</f>
        <v/>
      </c>
      <c r="F928" s="30">
        <f>IF(COUNTIF(Tags!$A:$A,$A928)&gt;0,"ok","à faire")</f>
        <v/>
      </c>
      <c r="G928" s="30">
        <f>IF(COUNTIF(Phrases!$A:$A,$A928)&gt;0,"ok","à faire")</f>
        <v/>
      </c>
      <c r="H928" s="30">
        <f>IF(COUNTIFS(Phrases!$A:$A,$A928,Phrases!$I:$I,"&lt;&gt;")&gt;0,"ok","à faire")</f>
        <v/>
      </c>
      <c r="I928" s="30">
        <f>IF(COUNTIF(Synonymes!$A:$A,$A928)&gt;0,"ok","")</f>
        <v/>
      </c>
      <c r="J928" s="30">
        <f>COUNTIF(E928:H928,"à faire")</f>
        <v/>
      </c>
    </row>
    <row r="929">
      <c r="A929" s="30" t="inlineStr">
        <is>
          <t>reponse</t>
        </is>
      </c>
      <c r="B929" s="30">
        <f>IFERROR(INDEX(Mots!$B:$B,MATCH($A929,Mots!$A:$A,0)),"introuvable")</f>
        <v/>
      </c>
      <c r="C929" s="30">
        <f>IFERROR(INDEX(Mots!$S:$S,MATCH($A929,Mots!$A:$A,0)),"")</f>
        <v/>
      </c>
      <c r="D929" s="30">
        <f>IFERROR(COUNTA(INDEX(Mots!$J:$J,MATCH($A929,Mots!$A:$A,0)):INDEX(Mots!$P:$P,MATCH($A929,Mots!$A:$A,0))),0)</f>
        <v/>
      </c>
      <c r="E929" s="30">
        <f>IF(COUNTIF(Classement!$A:$A,$A929)&gt;0,"ok","à faire")</f>
        <v/>
      </c>
      <c r="F929" s="30">
        <f>IF(COUNTIF(Tags!$A:$A,$A929)&gt;0,"ok","à faire")</f>
        <v/>
      </c>
      <c r="G929" s="30">
        <f>IF(COUNTIF(Phrases!$A:$A,$A929)&gt;0,"ok","à faire")</f>
        <v/>
      </c>
      <c r="H929" s="30">
        <f>IF(COUNTIFS(Phrases!$A:$A,$A929,Phrases!$I:$I,"&lt;&gt;")&gt;0,"ok","à faire")</f>
        <v/>
      </c>
      <c r="I929" s="30">
        <f>IF(COUNTIF(Synonymes!$A:$A,$A929)&gt;0,"ok","")</f>
        <v/>
      </c>
      <c r="J929" s="30">
        <f>COUNTIF(E929:H929,"à faire")</f>
        <v/>
      </c>
    </row>
    <row r="930">
      <c r="A930" s="30" t="inlineStr">
        <is>
          <t>robe</t>
        </is>
      </c>
      <c r="B930" s="30">
        <f>IFERROR(INDEX(Mots!$B:$B,MATCH($A930,Mots!$A:$A,0)),"introuvable")</f>
        <v/>
      </c>
      <c r="C930" s="30">
        <f>IFERROR(INDEX(Mots!$S:$S,MATCH($A930,Mots!$A:$A,0)),"")</f>
        <v/>
      </c>
      <c r="D930" s="30">
        <f>IFERROR(COUNTA(INDEX(Mots!$J:$J,MATCH($A930,Mots!$A:$A,0)):INDEX(Mots!$P:$P,MATCH($A930,Mots!$A:$A,0))),0)</f>
        <v/>
      </c>
      <c r="E930" s="30">
        <f>IF(COUNTIF(Classement!$A:$A,$A930)&gt;0,"ok","à faire")</f>
        <v/>
      </c>
      <c r="F930" s="30">
        <f>IF(COUNTIF(Tags!$A:$A,$A930)&gt;0,"ok","à faire")</f>
        <v/>
      </c>
      <c r="G930" s="30">
        <f>IF(COUNTIF(Phrases!$A:$A,$A930)&gt;0,"ok","à faire")</f>
        <v/>
      </c>
      <c r="H930" s="30">
        <f>IF(COUNTIFS(Phrases!$A:$A,$A930,Phrases!$I:$I,"&lt;&gt;")&gt;0,"ok","à faire")</f>
        <v/>
      </c>
      <c r="I930" s="30">
        <f>IF(COUNTIF(Synonymes!$A:$A,$A930)&gt;0,"ok","")</f>
        <v/>
      </c>
      <c r="J930" s="30">
        <f>COUNTIF(E930:H930,"à faire")</f>
        <v/>
      </c>
    </row>
    <row r="931">
      <c r="A931" s="30" t="inlineStr">
        <is>
          <t>roche</t>
        </is>
      </c>
      <c r="B931" s="30">
        <f>IFERROR(INDEX(Mots!$B:$B,MATCH($A931,Mots!$A:$A,0)),"introuvable")</f>
        <v/>
      </c>
      <c r="C931" s="30">
        <f>IFERROR(INDEX(Mots!$S:$S,MATCH($A931,Mots!$A:$A,0)),"")</f>
        <v/>
      </c>
      <c r="D931" s="30">
        <f>IFERROR(COUNTA(INDEX(Mots!$J:$J,MATCH($A931,Mots!$A:$A,0)):INDEX(Mots!$P:$P,MATCH($A931,Mots!$A:$A,0))),0)</f>
        <v/>
      </c>
      <c r="E931" s="30">
        <f>IF(COUNTIF(Classement!$A:$A,$A931)&gt;0,"ok","à faire")</f>
        <v/>
      </c>
      <c r="F931" s="30">
        <f>IF(COUNTIF(Tags!$A:$A,$A931)&gt;0,"ok","à faire")</f>
        <v/>
      </c>
      <c r="G931" s="30">
        <f>IF(COUNTIF(Phrases!$A:$A,$A931)&gt;0,"ok","à faire")</f>
        <v/>
      </c>
      <c r="H931" s="30">
        <f>IF(COUNTIFS(Phrases!$A:$A,$A931,Phrases!$I:$I,"&lt;&gt;")&gt;0,"ok","à faire")</f>
        <v/>
      </c>
      <c r="I931" s="30">
        <f>IF(COUNTIF(Synonymes!$A:$A,$A931)&gt;0,"ok","")</f>
        <v/>
      </c>
      <c r="J931" s="30">
        <f>COUNTIF(E931:H931,"à faire")</f>
        <v/>
      </c>
    </row>
    <row r="932">
      <c r="A932" s="30" t="inlineStr">
        <is>
          <t>rosee</t>
        </is>
      </c>
      <c r="B932" s="30">
        <f>IFERROR(INDEX(Mots!$B:$B,MATCH($A932,Mots!$A:$A,0)),"introuvable")</f>
        <v/>
      </c>
      <c r="C932" s="30">
        <f>IFERROR(INDEX(Mots!$S:$S,MATCH($A932,Mots!$A:$A,0)),"")</f>
        <v/>
      </c>
      <c r="D932" s="30">
        <f>IFERROR(COUNTA(INDEX(Mots!$J:$J,MATCH($A932,Mots!$A:$A,0)):INDEX(Mots!$P:$P,MATCH($A932,Mots!$A:$A,0))),0)</f>
        <v/>
      </c>
      <c r="E932" s="30">
        <f>IF(COUNTIF(Classement!$A:$A,$A932)&gt;0,"ok","à faire")</f>
        <v/>
      </c>
      <c r="F932" s="30">
        <f>IF(COUNTIF(Tags!$A:$A,$A932)&gt;0,"ok","à faire")</f>
        <v/>
      </c>
      <c r="G932" s="30">
        <f>IF(COUNTIF(Phrases!$A:$A,$A932)&gt;0,"ok","à faire")</f>
        <v/>
      </c>
      <c r="H932" s="30">
        <f>IF(COUNTIFS(Phrases!$A:$A,$A932,Phrases!$I:$I,"&lt;&gt;")&gt;0,"ok","à faire")</f>
        <v/>
      </c>
      <c r="I932" s="30">
        <f>IF(COUNTIF(Synonymes!$A:$A,$A932)&gt;0,"ok","")</f>
        <v/>
      </c>
      <c r="J932" s="30">
        <f>COUNTIF(E932:H932,"à faire")</f>
        <v/>
      </c>
    </row>
    <row r="933">
      <c r="A933" s="30" t="inlineStr">
        <is>
          <t>roue</t>
        </is>
      </c>
      <c r="B933" s="30">
        <f>IFERROR(INDEX(Mots!$B:$B,MATCH($A933,Mots!$A:$A,0)),"introuvable")</f>
        <v/>
      </c>
      <c r="C933" s="30">
        <f>IFERROR(INDEX(Mots!$S:$S,MATCH($A933,Mots!$A:$A,0)),"")</f>
        <v/>
      </c>
      <c r="D933" s="30">
        <f>IFERROR(COUNTA(INDEX(Mots!$J:$J,MATCH($A933,Mots!$A:$A,0)):INDEX(Mots!$P:$P,MATCH($A933,Mots!$A:$A,0))),0)</f>
        <v/>
      </c>
      <c r="E933" s="30">
        <f>IF(COUNTIF(Classement!$A:$A,$A933)&gt;0,"ok","à faire")</f>
        <v/>
      </c>
      <c r="F933" s="30">
        <f>IF(COUNTIF(Tags!$A:$A,$A933)&gt;0,"ok","à faire")</f>
        <v/>
      </c>
      <c r="G933" s="30">
        <f>IF(COUNTIF(Phrases!$A:$A,$A933)&gt;0,"ok","à faire")</f>
        <v/>
      </c>
      <c r="H933" s="30">
        <f>IF(COUNTIFS(Phrases!$A:$A,$A933,Phrases!$I:$I,"&lt;&gt;")&gt;0,"ok","à faire")</f>
        <v/>
      </c>
      <c r="I933" s="30">
        <f>IF(COUNTIF(Synonymes!$A:$A,$A933)&gt;0,"ok","")</f>
        <v/>
      </c>
      <c r="J933" s="30">
        <f>COUNTIF(E933:H933,"à faire")</f>
        <v/>
      </c>
    </row>
    <row r="934">
      <c r="A934" s="30" t="inlineStr">
        <is>
          <t>salete</t>
        </is>
      </c>
      <c r="B934" s="30">
        <f>IFERROR(INDEX(Mots!$B:$B,MATCH($A934,Mots!$A:$A,0)),"introuvable")</f>
        <v/>
      </c>
      <c r="C934" s="30">
        <f>IFERROR(INDEX(Mots!$S:$S,MATCH($A934,Mots!$A:$A,0)),"")</f>
        <v/>
      </c>
      <c r="D934" s="30">
        <f>IFERROR(COUNTA(INDEX(Mots!$J:$J,MATCH($A934,Mots!$A:$A,0)):INDEX(Mots!$P:$P,MATCH($A934,Mots!$A:$A,0))),0)</f>
        <v/>
      </c>
      <c r="E934" s="30">
        <f>IF(COUNTIF(Classement!$A:$A,$A934)&gt;0,"ok","à faire")</f>
        <v/>
      </c>
      <c r="F934" s="30">
        <f>IF(COUNTIF(Tags!$A:$A,$A934)&gt;0,"ok","à faire")</f>
        <v/>
      </c>
      <c r="G934" s="30">
        <f>IF(COUNTIF(Phrases!$A:$A,$A934)&gt;0,"ok","à faire")</f>
        <v/>
      </c>
      <c r="H934" s="30">
        <f>IF(COUNTIFS(Phrases!$A:$A,$A934,Phrases!$I:$I,"&lt;&gt;")&gt;0,"ok","à faire")</f>
        <v/>
      </c>
      <c r="I934" s="30">
        <f>IF(COUNTIF(Synonymes!$A:$A,$A934)&gt;0,"ok","")</f>
        <v/>
      </c>
      <c r="J934" s="30">
        <f>COUNTIF(E934:H934,"à faire")</f>
        <v/>
      </c>
    </row>
    <row r="935">
      <c r="A935" s="30" t="inlineStr">
        <is>
          <t>sante</t>
        </is>
      </c>
      <c r="B935" s="30">
        <f>IFERROR(INDEX(Mots!$B:$B,MATCH($A935,Mots!$A:$A,0)),"introuvable")</f>
        <v/>
      </c>
      <c r="C935" s="30">
        <f>IFERROR(INDEX(Mots!$S:$S,MATCH($A935,Mots!$A:$A,0)),"")</f>
        <v/>
      </c>
      <c r="D935" s="30">
        <f>IFERROR(COUNTA(INDEX(Mots!$J:$J,MATCH($A935,Mots!$A:$A,0)):INDEX(Mots!$P:$P,MATCH($A935,Mots!$A:$A,0))),0)</f>
        <v/>
      </c>
      <c r="E935" s="30">
        <f>IF(COUNTIF(Classement!$A:$A,$A935)&gt;0,"ok","à faire")</f>
        <v/>
      </c>
      <c r="F935" s="30">
        <f>IF(COUNTIF(Tags!$A:$A,$A935)&gt;0,"ok","à faire")</f>
        <v/>
      </c>
      <c r="G935" s="30">
        <f>IF(COUNTIF(Phrases!$A:$A,$A935)&gt;0,"ok","à faire")</f>
        <v/>
      </c>
      <c r="H935" s="30">
        <f>IF(COUNTIFS(Phrases!$A:$A,$A935,Phrases!$I:$I,"&lt;&gt;")&gt;0,"ok","à faire")</f>
        <v/>
      </c>
      <c r="I935" s="30">
        <f>IF(COUNTIF(Synonymes!$A:$A,$A935)&gt;0,"ok","")</f>
        <v/>
      </c>
      <c r="J935" s="30">
        <f>COUNTIF(E935:H935,"à faire")</f>
        <v/>
      </c>
    </row>
    <row r="936">
      <c r="A936" s="30" t="inlineStr">
        <is>
          <t>sauce</t>
        </is>
      </c>
      <c r="B936" s="30">
        <f>IFERROR(INDEX(Mots!$B:$B,MATCH($A936,Mots!$A:$A,0)),"introuvable")</f>
        <v/>
      </c>
      <c r="C936" s="30">
        <f>IFERROR(INDEX(Mots!$S:$S,MATCH($A936,Mots!$A:$A,0)),"")</f>
        <v/>
      </c>
      <c r="D936" s="30">
        <f>IFERROR(COUNTA(INDEX(Mots!$J:$J,MATCH($A936,Mots!$A:$A,0)):INDEX(Mots!$P:$P,MATCH($A936,Mots!$A:$A,0))),0)</f>
        <v/>
      </c>
      <c r="E936" s="30">
        <f>IF(COUNTIF(Classement!$A:$A,$A936)&gt;0,"ok","à faire")</f>
        <v/>
      </c>
      <c r="F936" s="30">
        <f>IF(COUNTIF(Tags!$A:$A,$A936)&gt;0,"ok","à faire")</f>
        <v/>
      </c>
      <c r="G936" s="30">
        <f>IF(COUNTIF(Phrases!$A:$A,$A936)&gt;0,"ok","à faire")</f>
        <v/>
      </c>
      <c r="H936" s="30">
        <f>IF(COUNTIFS(Phrases!$A:$A,$A936,Phrases!$I:$I,"&lt;&gt;")&gt;0,"ok","à faire")</f>
        <v/>
      </c>
      <c r="I936" s="30">
        <f>IF(COUNTIF(Synonymes!$A:$A,$A936)&gt;0,"ok","")</f>
        <v/>
      </c>
      <c r="J936" s="30">
        <f>COUNTIF(E936:H936,"à faire")</f>
        <v/>
      </c>
    </row>
    <row r="937">
      <c r="A937" s="30" t="inlineStr">
        <is>
          <t>sensation</t>
        </is>
      </c>
      <c r="B937" s="30">
        <f>IFERROR(INDEX(Mots!$B:$B,MATCH($A937,Mots!$A:$A,0)),"introuvable")</f>
        <v/>
      </c>
      <c r="C937" s="30">
        <f>IFERROR(INDEX(Mots!$S:$S,MATCH($A937,Mots!$A:$A,0)),"")</f>
        <v/>
      </c>
      <c r="D937" s="30">
        <f>IFERROR(COUNTA(INDEX(Mots!$J:$J,MATCH($A937,Mots!$A:$A,0)):INDEX(Mots!$P:$P,MATCH($A937,Mots!$A:$A,0))),0)</f>
        <v/>
      </c>
      <c r="E937" s="30">
        <f>IF(COUNTIF(Classement!$A:$A,$A937)&gt;0,"ok","à faire")</f>
        <v/>
      </c>
      <c r="F937" s="30">
        <f>IF(COUNTIF(Tags!$A:$A,$A937)&gt;0,"ok","à faire")</f>
        <v/>
      </c>
      <c r="G937" s="30">
        <f>IF(COUNTIF(Phrases!$A:$A,$A937)&gt;0,"ok","à faire")</f>
        <v/>
      </c>
      <c r="H937" s="30">
        <f>IF(COUNTIFS(Phrases!$A:$A,$A937,Phrases!$I:$I,"&lt;&gt;")&gt;0,"ok","à faire")</f>
        <v/>
      </c>
      <c r="I937" s="30">
        <f>IF(COUNTIF(Synonymes!$A:$A,$A937)&gt;0,"ok","")</f>
        <v/>
      </c>
      <c r="J937" s="30">
        <f>COUNTIF(E937:H937,"à faire")</f>
        <v/>
      </c>
    </row>
    <row r="938">
      <c r="A938" s="30" t="inlineStr">
        <is>
          <t>serviette</t>
        </is>
      </c>
      <c r="B938" s="30">
        <f>IFERROR(INDEX(Mots!$B:$B,MATCH($A938,Mots!$A:$A,0)),"introuvable")</f>
        <v/>
      </c>
      <c r="C938" s="30">
        <f>IFERROR(INDEX(Mots!$S:$S,MATCH($A938,Mots!$A:$A,0)),"")</f>
        <v/>
      </c>
      <c r="D938" s="30">
        <f>IFERROR(COUNTA(INDEX(Mots!$J:$J,MATCH($A938,Mots!$A:$A,0)):INDEX(Mots!$P:$P,MATCH($A938,Mots!$A:$A,0))),0)</f>
        <v/>
      </c>
      <c r="E938" s="30">
        <f>IF(COUNTIF(Classement!$A:$A,$A938)&gt;0,"ok","à faire")</f>
        <v/>
      </c>
      <c r="F938" s="30">
        <f>IF(COUNTIF(Tags!$A:$A,$A938)&gt;0,"ok","à faire")</f>
        <v/>
      </c>
      <c r="G938" s="30">
        <f>IF(COUNTIF(Phrases!$A:$A,$A938)&gt;0,"ok","à faire")</f>
        <v/>
      </c>
      <c r="H938" s="30">
        <f>IF(COUNTIFS(Phrases!$A:$A,$A938,Phrases!$I:$I,"&lt;&gt;")&gt;0,"ok","à faire")</f>
        <v/>
      </c>
      <c r="I938" s="30">
        <f>IF(COUNTIF(Synonymes!$A:$A,$A938)&gt;0,"ok","")</f>
        <v/>
      </c>
      <c r="J938" s="30">
        <f>COUNTIF(E938:H938,"à faire")</f>
        <v/>
      </c>
    </row>
    <row r="939">
      <c r="A939" s="30" t="inlineStr">
        <is>
          <t>signature</t>
        </is>
      </c>
      <c r="B939" s="30">
        <f>IFERROR(INDEX(Mots!$B:$B,MATCH($A939,Mots!$A:$A,0)),"introuvable")</f>
        <v/>
      </c>
      <c r="C939" s="30">
        <f>IFERROR(INDEX(Mots!$S:$S,MATCH($A939,Mots!$A:$A,0)),"")</f>
        <v/>
      </c>
      <c r="D939" s="30">
        <f>IFERROR(COUNTA(INDEX(Mots!$J:$J,MATCH($A939,Mots!$A:$A,0)):INDEX(Mots!$P:$P,MATCH($A939,Mots!$A:$A,0))),0)</f>
        <v/>
      </c>
      <c r="E939" s="30">
        <f>IF(COUNTIF(Classement!$A:$A,$A939)&gt;0,"ok","à faire")</f>
        <v/>
      </c>
      <c r="F939" s="30">
        <f>IF(COUNTIF(Tags!$A:$A,$A939)&gt;0,"ok","à faire")</f>
        <v/>
      </c>
      <c r="G939" s="30">
        <f>IF(COUNTIF(Phrases!$A:$A,$A939)&gt;0,"ok","à faire")</f>
        <v/>
      </c>
      <c r="H939" s="30">
        <f>IF(COUNTIFS(Phrases!$A:$A,$A939,Phrases!$I:$I,"&lt;&gt;")&gt;0,"ok","à faire")</f>
        <v/>
      </c>
      <c r="I939" s="30">
        <f>IF(COUNTIF(Synonymes!$A:$A,$A939)&gt;0,"ok","")</f>
        <v/>
      </c>
      <c r="J939" s="30">
        <f>COUNTIF(E939:H939,"à faire")</f>
        <v/>
      </c>
    </row>
    <row r="940">
      <c r="A940" s="30" t="inlineStr">
        <is>
          <t>situation</t>
        </is>
      </c>
      <c r="B940" s="30">
        <f>IFERROR(INDEX(Mots!$B:$B,MATCH($A940,Mots!$A:$A,0)),"introuvable")</f>
        <v/>
      </c>
      <c r="C940" s="30">
        <f>IFERROR(INDEX(Mots!$S:$S,MATCH($A940,Mots!$A:$A,0)),"")</f>
        <v/>
      </c>
      <c r="D940" s="30">
        <f>IFERROR(COUNTA(INDEX(Mots!$J:$J,MATCH($A940,Mots!$A:$A,0)):INDEX(Mots!$P:$P,MATCH($A940,Mots!$A:$A,0))),0)</f>
        <v/>
      </c>
      <c r="E940" s="30">
        <f>IF(COUNTIF(Classement!$A:$A,$A940)&gt;0,"ok","à faire")</f>
        <v/>
      </c>
      <c r="F940" s="30">
        <f>IF(COUNTIF(Tags!$A:$A,$A940)&gt;0,"ok","à faire")</f>
        <v/>
      </c>
      <c r="G940" s="30">
        <f>IF(COUNTIF(Phrases!$A:$A,$A940)&gt;0,"ok","à faire")</f>
        <v/>
      </c>
      <c r="H940" s="30">
        <f>IF(COUNTIFS(Phrases!$A:$A,$A940,Phrases!$I:$I,"&lt;&gt;")&gt;0,"ok","à faire")</f>
        <v/>
      </c>
      <c r="I940" s="30">
        <f>IF(COUNTIF(Synonymes!$A:$A,$A940)&gt;0,"ok","")</f>
        <v/>
      </c>
      <c r="J940" s="30">
        <f>COUNTIF(E940:H940,"à faire")</f>
        <v/>
      </c>
    </row>
    <row r="941">
      <c r="A941" s="30" t="inlineStr">
        <is>
          <t>societe</t>
        </is>
      </c>
      <c r="B941" s="30">
        <f>IFERROR(INDEX(Mots!$B:$B,MATCH($A941,Mots!$A:$A,0)),"introuvable")</f>
        <v/>
      </c>
      <c r="C941" s="30">
        <f>IFERROR(INDEX(Mots!$S:$S,MATCH($A941,Mots!$A:$A,0)),"")</f>
        <v/>
      </c>
      <c r="D941" s="30">
        <f>IFERROR(COUNTA(INDEX(Mots!$J:$J,MATCH($A941,Mots!$A:$A,0)):INDEX(Mots!$P:$P,MATCH($A941,Mots!$A:$A,0))),0)</f>
        <v/>
      </c>
      <c r="E941" s="30">
        <f>IF(COUNTIF(Classement!$A:$A,$A941)&gt;0,"ok","à faire")</f>
        <v/>
      </c>
      <c r="F941" s="30">
        <f>IF(COUNTIF(Tags!$A:$A,$A941)&gt;0,"ok","à faire")</f>
        <v/>
      </c>
      <c r="G941" s="30">
        <f>IF(COUNTIF(Phrases!$A:$A,$A941)&gt;0,"ok","à faire")</f>
        <v/>
      </c>
      <c r="H941" s="30">
        <f>IF(COUNTIFS(Phrases!$A:$A,$A941,Phrases!$I:$I,"&lt;&gt;")&gt;0,"ok","à faire")</f>
        <v/>
      </c>
      <c r="I941" s="30">
        <f>IF(COUNTIF(Synonymes!$A:$A,$A941)&gt;0,"ok","")</f>
        <v/>
      </c>
      <c r="J941" s="30">
        <f>COUNTIF(E941:H941,"à faire")</f>
        <v/>
      </c>
    </row>
    <row r="942">
      <c r="A942" s="30" t="inlineStr">
        <is>
          <t>somme</t>
        </is>
      </c>
      <c r="B942" s="30">
        <f>IFERROR(INDEX(Mots!$B:$B,MATCH($A942,Mots!$A:$A,0)),"introuvable")</f>
        <v/>
      </c>
      <c r="C942" s="30">
        <f>IFERROR(INDEX(Mots!$S:$S,MATCH($A942,Mots!$A:$A,0)),"")</f>
        <v/>
      </c>
      <c r="D942" s="30">
        <f>IFERROR(COUNTA(INDEX(Mots!$J:$J,MATCH($A942,Mots!$A:$A,0)):INDEX(Mots!$P:$P,MATCH($A942,Mots!$A:$A,0))),0)</f>
        <v/>
      </c>
      <c r="E942" s="30">
        <f>IF(COUNTIF(Classement!$A:$A,$A942)&gt;0,"ok","à faire")</f>
        <v/>
      </c>
      <c r="F942" s="30">
        <f>IF(COUNTIF(Tags!$A:$A,$A942)&gt;0,"ok","à faire")</f>
        <v/>
      </c>
      <c r="G942" s="30">
        <f>IF(COUNTIF(Phrases!$A:$A,$A942)&gt;0,"ok","à faire")</f>
        <v/>
      </c>
      <c r="H942" s="30">
        <f>IF(COUNTIFS(Phrases!$A:$A,$A942,Phrases!$I:$I,"&lt;&gt;")&gt;0,"ok","à faire")</f>
        <v/>
      </c>
      <c r="I942" s="30">
        <f>IF(COUNTIF(Synonymes!$A:$A,$A942)&gt;0,"ok","")</f>
        <v/>
      </c>
      <c r="J942" s="30">
        <f>COUNTIF(E942:H942,"à faire")</f>
        <v/>
      </c>
    </row>
    <row r="943">
      <c r="A943" s="30" t="inlineStr">
        <is>
          <t>sorte</t>
        </is>
      </c>
      <c r="B943" s="30">
        <f>IFERROR(INDEX(Mots!$B:$B,MATCH($A943,Mots!$A:$A,0)),"introuvable")</f>
        <v/>
      </c>
      <c r="C943" s="30">
        <f>IFERROR(INDEX(Mots!$S:$S,MATCH($A943,Mots!$A:$A,0)),"")</f>
        <v/>
      </c>
      <c r="D943" s="30">
        <f>IFERROR(COUNTA(INDEX(Mots!$J:$J,MATCH($A943,Mots!$A:$A,0)):INDEX(Mots!$P:$P,MATCH($A943,Mots!$A:$A,0))),0)</f>
        <v/>
      </c>
      <c r="E943" s="30">
        <f>IF(COUNTIF(Classement!$A:$A,$A943)&gt;0,"ok","à faire")</f>
        <v/>
      </c>
      <c r="F943" s="30">
        <f>IF(COUNTIF(Tags!$A:$A,$A943)&gt;0,"ok","à faire")</f>
        <v/>
      </c>
      <c r="G943" s="30">
        <f>IF(COUNTIF(Phrases!$A:$A,$A943)&gt;0,"ok","à faire")</f>
        <v/>
      </c>
      <c r="H943" s="30">
        <f>IF(COUNTIFS(Phrases!$A:$A,$A943,Phrases!$I:$I,"&lt;&gt;")&gt;0,"ok","à faire")</f>
        <v/>
      </c>
      <c r="I943" s="30">
        <f>IF(COUNTIF(Synonymes!$A:$A,$A943)&gt;0,"ok","")</f>
        <v/>
      </c>
      <c r="J943" s="30">
        <f>COUNTIF(E943:H943,"à faire")</f>
        <v/>
      </c>
    </row>
    <row r="944">
      <c r="A944" s="30" t="inlineStr">
        <is>
          <t>sortie</t>
        </is>
      </c>
      <c r="B944" s="30">
        <f>IFERROR(INDEX(Mots!$B:$B,MATCH($A944,Mots!$A:$A,0)),"introuvable")</f>
        <v/>
      </c>
      <c r="C944" s="30">
        <f>IFERROR(INDEX(Mots!$S:$S,MATCH($A944,Mots!$A:$A,0)),"")</f>
        <v/>
      </c>
      <c r="D944" s="30">
        <f>IFERROR(COUNTA(INDEX(Mots!$J:$J,MATCH($A944,Mots!$A:$A,0)):INDEX(Mots!$P:$P,MATCH($A944,Mots!$A:$A,0))),0)</f>
        <v/>
      </c>
      <c r="E944" s="30">
        <f>IF(COUNTIF(Classement!$A:$A,$A944)&gt;0,"ok","à faire")</f>
        <v/>
      </c>
      <c r="F944" s="30">
        <f>IF(COUNTIF(Tags!$A:$A,$A944)&gt;0,"ok","à faire")</f>
        <v/>
      </c>
      <c r="G944" s="30">
        <f>IF(COUNTIF(Phrases!$A:$A,$A944)&gt;0,"ok","à faire")</f>
        <v/>
      </c>
      <c r="H944" s="30">
        <f>IF(COUNTIFS(Phrases!$A:$A,$A944,Phrases!$I:$I,"&lt;&gt;")&gt;0,"ok","à faire")</f>
        <v/>
      </c>
      <c r="I944" s="30">
        <f>IF(COUNTIF(Synonymes!$A:$A,$A944)&gt;0,"ok","")</f>
        <v/>
      </c>
      <c r="J944" s="30">
        <f>COUNTIF(E944:H944,"à faire")</f>
        <v/>
      </c>
    </row>
    <row r="945">
      <c r="A945" s="30" t="inlineStr">
        <is>
          <t>source</t>
        </is>
      </c>
      <c r="B945" s="30">
        <f>IFERROR(INDEX(Mots!$B:$B,MATCH($A945,Mots!$A:$A,0)),"introuvable")</f>
        <v/>
      </c>
      <c r="C945" s="30">
        <f>IFERROR(INDEX(Mots!$S:$S,MATCH($A945,Mots!$A:$A,0)),"")</f>
        <v/>
      </c>
      <c r="D945" s="30">
        <f>IFERROR(COUNTA(INDEX(Mots!$J:$J,MATCH($A945,Mots!$A:$A,0)):INDEX(Mots!$P:$P,MATCH($A945,Mots!$A:$A,0))),0)</f>
        <v/>
      </c>
      <c r="E945" s="30">
        <f>IF(COUNTIF(Classement!$A:$A,$A945)&gt;0,"ok","à faire")</f>
        <v/>
      </c>
      <c r="F945" s="30">
        <f>IF(COUNTIF(Tags!$A:$A,$A945)&gt;0,"ok","à faire")</f>
        <v/>
      </c>
      <c r="G945" s="30">
        <f>IF(COUNTIF(Phrases!$A:$A,$A945)&gt;0,"ok","à faire")</f>
        <v/>
      </c>
      <c r="H945" s="30">
        <f>IF(COUNTIFS(Phrases!$A:$A,$A945,Phrases!$I:$I,"&lt;&gt;")&gt;0,"ok","à faire")</f>
        <v/>
      </c>
      <c r="I945" s="30">
        <f>IF(COUNTIF(Synonymes!$A:$A,$A945)&gt;0,"ok","")</f>
        <v/>
      </c>
      <c r="J945" s="30">
        <f>COUNTIF(E945:H945,"à faire")</f>
        <v/>
      </c>
    </row>
    <row r="946">
      <c r="A946" s="30" t="inlineStr">
        <is>
          <t>sucrerie</t>
        </is>
      </c>
      <c r="B946" s="30">
        <f>IFERROR(INDEX(Mots!$B:$B,MATCH($A946,Mots!$A:$A,0)),"introuvable")</f>
        <v/>
      </c>
      <c r="C946" s="30">
        <f>IFERROR(INDEX(Mots!$S:$S,MATCH($A946,Mots!$A:$A,0)),"")</f>
        <v/>
      </c>
      <c r="D946" s="30">
        <f>IFERROR(COUNTA(INDEX(Mots!$J:$J,MATCH($A946,Mots!$A:$A,0)):INDEX(Mots!$P:$P,MATCH($A946,Mots!$A:$A,0))),0)</f>
        <v/>
      </c>
      <c r="E946" s="30">
        <f>IF(COUNTIF(Classement!$A:$A,$A946)&gt;0,"ok","à faire")</f>
        <v/>
      </c>
      <c r="F946" s="30">
        <f>IF(COUNTIF(Tags!$A:$A,$A946)&gt;0,"ok","à faire")</f>
        <v/>
      </c>
      <c r="G946" s="30">
        <f>IF(COUNTIF(Phrases!$A:$A,$A946)&gt;0,"ok","à faire")</f>
        <v/>
      </c>
      <c r="H946" s="30">
        <f>IF(COUNTIFS(Phrases!$A:$A,$A946,Phrases!$I:$I,"&lt;&gt;")&gt;0,"ok","à faire")</f>
        <v/>
      </c>
      <c r="I946" s="30">
        <f>IF(COUNTIF(Synonymes!$A:$A,$A946)&gt;0,"ok","")</f>
        <v/>
      </c>
      <c r="J946" s="30">
        <f>COUNTIF(E946:H946,"à faire")</f>
        <v/>
      </c>
    </row>
    <row r="947">
      <c r="A947" s="30" t="inlineStr">
        <is>
          <t>surface</t>
        </is>
      </c>
      <c r="B947" s="30">
        <f>IFERROR(INDEX(Mots!$B:$B,MATCH($A947,Mots!$A:$A,0)),"introuvable")</f>
        <v/>
      </c>
      <c r="C947" s="30">
        <f>IFERROR(INDEX(Mots!$S:$S,MATCH($A947,Mots!$A:$A,0)),"")</f>
        <v/>
      </c>
      <c r="D947" s="30">
        <f>IFERROR(COUNTA(INDEX(Mots!$J:$J,MATCH($A947,Mots!$A:$A,0)):INDEX(Mots!$P:$P,MATCH($A947,Mots!$A:$A,0))),0)</f>
        <v/>
      </c>
      <c r="E947" s="30">
        <f>IF(COUNTIF(Classement!$A:$A,$A947)&gt;0,"ok","à faire")</f>
        <v/>
      </c>
      <c r="F947" s="30">
        <f>IF(COUNTIF(Tags!$A:$A,$A947)&gt;0,"ok","à faire")</f>
        <v/>
      </c>
      <c r="G947" s="30">
        <f>IF(COUNTIF(Phrases!$A:$A,$A947)&gt;0,"ok","à faire")</f>
        <v/>
      </c>
      <c r="H947" s="30">
        <f>IF(COUNTIFS(Phrases!$A:$A,$A947,Phrases!$I:$I,"&lt;&gt;")&gt;0,"ok","à faire")</f>
        <v/>
      </c>
      <c r="I947" s="30">
        <f>IF(COUNTIF(Synonymes!$A:$A,$A947)&gt;0,"ok","")</f>
        <v/>
      </c>
      <c r="J947" s="30">
        <f>COUNTIF(E947:H947,"à faire")</f>
        <v/>
      </c>
    </row>
    <row r="948">
      <c r="A948" s="30" t="inlineStr">
        <is>
          <t>tache</t>
        </is>
      </c>
      <c r="B948" s="30">
        <f>IFERROR(INDEX(Mots!$B:$B,MATCH($A948,Mots!$A:$A,0)),"introuvable")</f>
        <v/>
      </c>
      <c r="C948" s="30">
        <f>IFERROR(INDEX(Mots!$S:$S,MATCH($A948,Mots!$A:$A,0)),"")</f>
        <v/>
      </c>
      <c r="D948" s="30">
        <f>IFERROR(COUNTA(INDEX(Mots!$J:$J,MATCH($A948,Mots!$A:$A,0)):INDEX(Mots!$P:$P,MATCH($A948,Mots!$A:$A,0))),0)</f>
        <v/>
      </c>
      <c r="E948" s="30">
        <f>IF(COUNTIF(Classement!$A:$A,$A948)&gt;0,"ok","à faire")</f>
        <v/>
      </c>
      <c r="F948" s="30">
        <f>IF(COUNTIF(Tags!$A:$A,$A948)&gt;0,"ok","à faire")</f>
        <v/>
      </c>
      <c r="G948" s="30">
        <f>IF(COUNTIF(Phrases!$A:$A,$A948)&gt;0,"ok","à faire")</f>
        <v/>
      </c>
      <c r="H948" s="30">
        <f>IF(COUNTIFS(Phrases!$A:$A,$A948,Phrases!$I:$I,"&lt;&gt;")&gt;0,"ok","à faire")</f>
        <v/>
      </c>
      <c r="I948" s="30">
        <f>IF(COUNTIF(Synonymes!$A:$A,$A948)&gt;0,"ok","")</f>
        <v/>
      </c>
      <c r="J948" s="30">
        <f>COUNTIF(E948:H948,"à faire")</f>
        <v/>
      </c>
    </row>
    <row r="949">
      <c r="A949" s="30" t="inlineStr">
        <is>
          <t>tempete</t>
        </is>
      </c>
      <c r="B949" s="30">
        <f>IFERROR(INDEX(Mots!$B:$B,MATCH($A949,Mots!$A:$A,0)),"introuvable")</f>
        <v/>
      </c>
      <c r="C949" s="30">
        <f>IFERROR(INDEX(Mots!$S:$S,MATCH($A949,Mots!$A:$A,0)),"")</f>
        <v/>
      </c>
      <c r="D949" s="30">
        <f>IFERROR(COUNTA(INDEX(Mots!$J:$J,MATCH($A949,Mots!$A:$A,0)):INDEX(Mots!$P:$P,MATCH($A949,Mots!$A:$A,0))),0)</f>
        <v/>
      </c>
      <c r="E949" s="30">
        <f>IF(COUNTIF(Classement!$A:$A,$A949)&gt;0,"ok","à faire")</f>
        <v/>
      </c>
      <c r="F949" s="30">
        <f>IF(COUNTIF(Tags!$A:$A,$A949)&gt;0,"ok","à faire")</f>
        <v/>
      </c>
      <c r="G949" s="30">
        <f>IF(COUNTIF(Phrases!$A:$A,$A949)&gt;0,"ok","à faire")</f>
        <v/>
      </c>
      <c r="H949" s="30">
        <f>IF(COUNTIFS(Phrases!$A:$A,$A949,Phrases!$I:$I,"&lt;&gt;")&gt;0,"ok","à faire")</f>
        <v/>
      </c>
      <c r="I949" s="30">
        <f>IF(COUNTIF(Synonymes!$A:$A,$A949)&gt;0,"ok","")</f>
        <v/>
      </c>
      <c r="J949" s="30">
        <f>COUNTIF(E949:H949,"à faire")</f>
        <v/>
      </c>
    </row>
    <row r="950">
      <c r="A950" s="30" t="inlineStr">
        <is>
          <t>tendresse</t>
        </is>
      </c>
      <c r="B950" s="30">
        <f>IFERROR(INDEX(Mots!$B:$B,MATCH($A950,Mots!$A:$A,0)),"introuvable")</f>
        <v/>
      </c>
      <c r="C950" s="30">
        <f>IFERROR(INDEX(Mots!$S:$S,MATCH($A950,Mots!$A:$A,0)),"")</f>
        <v/>
      </c>
      <c r="D950" s="30">
        <f>IFERROR(COUNTA(INDEX(Mots!$J:$J,MATCH($A950,Mots!$A:$A,0)):INDEX(Mots!$P:$P,MATCH($A950,Mots!$A:$A,0))),0)</f>
        <v/>
      </c>
      <c r="E950" s="30">
        <f>IF(COUNTIF(Classement!$A:$A,$A950)&gt;0,"ok","à faire")</f>
        <v/>
      </c>
      <c r="F950" s="30">
        <f>IF(COUNTIF(Tags!$A:$A,$A950)&gt;0,"ok","à faire")</f>
        <v/>
      </c>
      <c r="G950" s="30">
        <f>IF(COUNTIF(Phrases!$A:$A,$A950)&gt;0,"ok","à faire")</f>
        <v/>
      </c>
      <c r="H950" s="30">
        <f>IF(COUNTIFS(Phrases!$A:$A,$A950,Phrases!$I:$I,"&lt;&gt;")&gt;0,"ok","à faire")</f>
        <v/>
      </c>
      <c r="I950" s="30">
        <f>IF(COUNTIF(Synonymes!$A:$A,$A950)&gt;0,"ok","")</f>
        <v/>
      </c>
      <c r="J950" s="30">
        <f>COUNTIF(E950:H950,"à faire")</f>
        <v/>
      </c>
    </row>
    <row r="951">
      <c r="A951" s="30" t="inlineStr">
        <is>
          <t>tente</t>
        </is>
      </c>
      <c r="B951" s="30">
        <f>IFERROR(INDEX(Mots!$B:$B,MATCH($A951,Mots!$A:$A,0)),"introuvable")</f>
        <v/>
      </c>
      <c r="C951" s="30">
        <f>IFERROR(INDEX(Mots!$S:$S,MATCH($A951,Mots!$A:$A,0)),"")</f>
        <v/>
      </c>
      <c r="D951" s="30">
        <f>IFERROR(COUNTA(INDEX(Mots!$J:$J,MATCH($A951,Mots!$A:$A,0)):INDEX(Mots!$P:$P,MATCH($A951,Mots!$A:$A,0))),0)</f>
        <v/>
      </c>
      <c r="E951" s="30">
        <f>IF(COUNTIF(Classement!$A:$A,$A951)&gt;0,"ok","à faire")</f>
        <v/>
      </c>
      <c r="F951" s="30">
        <f>IF(COUNTIF(Tags!$A:$A,$A951)&gt;0,"ok","à faire")</f>
        <v/>
      </c>
      <c r="G951" s="30">
        <f>IF(COUNTIF(Phrases!$A:$A,$A951)&gt;0,"ok","à faire")</f>
        <v/>
      </c>
      <c r="H951" s="30">
        <f>IF(COUNTIFS(Phrases!$A:$A,$A951,Phrases!$I:$I,"&lt;&gt;")&gt;0,"ok","à faire")</f>
        <v/>
      </c>
      <c r="I951" s="30">
        <f>IF(COUNTIF(Synonymes!$A:$A,$A951)&gt;0,"ok","")</f>
        <v/>
      </c>
      <c r="J951" s="30">
        <f>COUNTIF(E951:H951,"à faire")</f>
        <v/>
      </c>
    </row>
    <row r="952">
      <c r="A952" s="30" t="inlineStr">
        <is>
          <t>timidite</t>
        </is>
      </c>
      <c r="B952" s="30">
        <f>IFERROR(INDEX(Mots!$B:$B,MATCH($A952,Mots!$A:$A,0)),"introuvable")</f>
        <v/>
      </c>
      <c r="C952" s="30">
        <f>IFERROR(INDEX(Mots!$S:$S,MATCH($A952,Mots!$A:$A,0)),"")</f>
        <v/>
      </c>
      <c r="D952" s="30">
        <f>IFERROR(COUNTA(INDEX(Mots!$J:$J,MATCH($A952,Mots!$A:$A,0)):INDEX(Mots!$P:$P,MATCH($A952,Mots!$A:$A,0))),0)</f>
        <v/>
      </c>
      <c r="E952" s="30">
        <f>IF(COUNTIF(Classement!$A:$A,$A952)&gt;0,"ok","à faire")</f>
        <v/>
      </c>
      <c r="F952" s="30">
        <f>IF(COUNTIF(Tags!$A:$A,$A952)&gt;0,"ok","à faire")</f>
        <v/>
      </c>
      <c r="G952" s="30">
        <f>IF(COUNTIF(Phrases!$A:$A,$A952)&gt;0,"ok","à faire")</f>
        <v/>
      </c>
      <c r="H952" s="30">
        <f>IF(COUNTIFS(Phrases!$A:$A,$A952,Phrases!$I:$I,"&lt;&gt;")&gt;0,"ok","à faire")</f>
        <v/>
      </c>
      <c r="I952" s="30">
        <f>IF(COUNTIF(Synonymes!$A:$A,$A952)&gt;0,"ok","")</f>
        <v/>
      </c>
      <c r="J952" s="30">
        <f>COUNTIF(E952:H952,"à faire")</f>
        <v/>
      </c>
    </row>
    <row r="953">
      <c r="A953" s="30" t="inlineStr">
        <is>
          <t>toux</t>
        </is>
      </c>
      <c r="B953" s="30">
        <f>IFERROR(INDEX(Mots!$B:$B,MATCH($A953,Mots!$A:$A,0)),"introuvable")</f>
        <v/>
      </c>
      <c r="C953" s="30">
        <f>IFERROR(INDEX(Mots!$S:$S,MATCH($A953,Mots!$A:$A,0)),"")</f>
        <v/>
      </c>
      <c r="D953" s="30">
        <f>IFERROR(COUNTA(INDEX(Mots!$J:$J,MATCH($A953,Mots!$A:$A,0)):INDEX(Mots!$P:$P,MATCH($A953,Mots!$A:$A,0))),0)</f>
        <v/>
      </c>
      <c r="E953" s="30">
        <f>IF(COUNTIF(Classement!$A:$A,$A953)&gt;0,"ok","à faire")</f>
        <v/>
      </c>
      <c r="F953" s="30">
        <f>IF(COUNTIF(Tags!$A:$A,$A953)&gt;0,"ok","à faire")</f>
        <v/>
      </c>
      <c r="G953" s="30">
        <f>IF(COUNTIF(Phrases!$A:$A,$A953)&gt;0,"ok","à faire")</f>
        <v/>
      </c>
      <c r="H953" s="30">
        <f>IF(COUNTIFS(Phrases!$A:$A,$A953,Phrases!$I:$I,"&lt;&gt;")&gt;0,"ok","à faire")</f>
        <v/>
      </c>
      <c r="I953" s="30">
        <f>IF(COUNTIF(Synonymes!$A:$A,$A953)&gt;0,"ok","")</f>
        <v/>
      </c>
      <c r="J953" s="30">
        <f>COUNTIF(E953:H953,"à faire")</f>
        <v/>
      </c>
    </row>
    <row r="954">
      <c r="A954" s="30" t="inlineStr">
        <is>
          <t>vague</t>
        </is>
      </c>
      <c r="B954" s="30">
        <f>IFERROR(INDEX(Mots!$B:$B,MATCH($A954,Mots!$A:$A,0)),"introuvable")</f>
        <v/>
      </c>
      <c r="C954" s="30">
        <f>IFERROR(INDEX(Mots!$S:$S,MATCH($A954,Mots!$A:$A,0)),"")</f>
        <v/>
      </c>
      <c r="D954" s="30">
        <f>IFERROR(COUNTA(INDEX(Mots!$J:$J,MATCH($A954,Mots!$A:$A,0)):INDEX(Mots!$P:$P,MATCH($A954,Mots!$A:$A,0))),0)</f>
        <v/>
      </c>
      <c r="E954" s="30">
        <f>IF(COUNTIF(Classement!$A:$A,$A954)&gt;0,"ok","à faire")</f>
        <v/>
      </c>
      <c r="F954" s="30">
        <f>IF(COUNTIF(Tags!$A:$A,$A954)&gt;0,"ok","à faire")</f>
        <v/>
      </c>
      <c r="G954" s="30">
        <f>IF(COUNTIF(Phrases!$A:$A,$A954)&gt;0,"ok","à faire")</f>
        <v/>
      </c>
      <c r="H954" s="30">
        <f>IF(COUNTIFS(Phrases!$A:$A,$A954,Phrases!$I:$I,"&lt;&gt;")&gt;0,"ok","à faire")</f>
        <v/>
      </c>
      <c r="I954" s="30">
        <f>IF(COUNTIF(Synonymes!$A:$A,$A954)&gt;0,"ok","")</f>
        <v/>
      </c>
      <c r="J954" s="30">
        <f>COUNTIF(E954:H954,"à faire")</f>
        <v/>
      </c>
    </row>
    <row r="955">
      <c r="A955" s="30" t="inlineStr">
        <is>
          <t>valise</t>
        </is>
      </c>
      <c r="B955" s="30">
        <f>IFERROR(INDEX(Mots!$B:$B,MATCH($A955,Mots!$A:$A,0)),"introuvable")</f>
        <v/>
      </c>
      <c r="C955" s="30">
        <f>IFERROR(INDEX(Mots!$S:$S,MATCH($A955,Mots!$A:$A,0)),"")</f>
        <v/>
      </c>
      <c r="D955" s="30">
        <f>IFERROR(COUNTA(INDEX(Mots!$J:$J,MATCH($A955,Mots!$A:$A,0)):INDEX(Mots!$P:$P,MATCH($A955,Mots!$A:$A,0))),0)</f>
        <v/>
      </c>
      <c r="E955" s="30">
        <f>IF(COUNTIF(Classement!$A:$A,$A955)&gt;0,"ok","à faire")</f>
        <v/>
      </c>
      <c r="F955" s="30">
        <f>IF(COUNTIF(Tags!$A:$A,$A955)&gt;0,"ok","à faire")</f>
        <v/>
      </c>
      <c r="G955" s="30">
        <f>IF(COUNTIF(Phrases!$A:$A,$A955)&gt;0,"ok","à faire")</f>
        <v/>
      </c>
      <c r="H955" s="30">
        <f>IF(COUNTIFS(Phrases!$A:$A,$A955,Phrases!$I:$I,"&lt;&gt;")&gt;0,"ok","à faire")</f>
        <v/>
      </c>
      <c r="I955" s="30">
        <f>IF(COUNTIF(Synonymes!$A:$A,$A955)&gt;0,"ok","")</f>
        <v/>
      </c>
      <c r="J955" s="30">
        <f>COUNTIF(E955:H955,"à faire")</f>
        <v/>
      </c>
    </row>
    <row r="956">
      <c r="A956" s="30" t="inlineStr">
        <is>
          <t>vallee</t>
        </is>
      </c>
      <c r="B956" s="30">
        <f>IFERROR(INDEX(Mots!$B:$B,MATCH($A956,Mots!$A:$A,0)),"introuvable")</f>
        <v/>
      </c>
      <c r="C956" s="30">
        <f>IFERROR(INDEX(Mots!$S:$S,MATCH($A956,Mots!$A:$A,0)),"")</f>
        <v/>
      </c>
      <c r="D956" s="30">
        <f>IFERROR(COUNTA(INDEX(Mots!$J:$J,MATCH($A956,Mots!$A:$A,0)):INDEX(Mots!$P:$P,MATCH($A956,Mots!$A:$A,0))),0)</f>
        <v/>
      </c>
      <c r="E956" s="30">
        <f>IF(COUNTIF(Classement!$A:$A,$A956)&gt;0,"ok","à faire")</f>
        <v/>
      </c>
      <c r="F956" s="30">
        <f>IF(COUNTIF(Tags!$A:$A,$A956)&gt;0,"ok","à faire")</f>
        <v/>
      </c>
      <c r="G956" s="30">
        <f>IF(COUNTIF(Phrases!$A:$A,$A956)&gt;0,"ok","à faire")</f>
        <v/>
      </c>
      <c r="H956" s="30">
        <f>IF(COUNTIFS(Phrases!$A:$A,$A956,Phrases!$I:$I,"&lt;&gt;")&gt;0,"ok","à faire")</f>
        <v/>
      </c>
      <c r="I956" s="30">
        <f>IF(COUNTIF(Synonymes!$A:$A,$A956)&gt;0,"ok","")</f>
        <v/>
      </c>
      <c r="J956" s="30">
        <f>COUNTIF(E956:H956,"à faire")</f>
        <v/>
      </c>
    </row>
    <row r="957">
      <c r="A957" s="30" t="inlineStr">
        <is>
          <t>vente</t>
        </is>
      </c>
      <c r="B957" s="30">
        <f>IFERROR(INDEX(Mots!$B:$B,MATCH($A957,Mots!$A:$A,0)),"introuvable")</f>
        <v/>
      </c>
      <c r="C957" s="30">
        <f>IFERROR(INDEX(Mots!$S:$S,MATCH($A957,Mots!$A:$A,0)),"")</f>
        <v/>
      </c>
      <c r="D957" s="30">
        <f>IFERROR(COUNTA(INDEX(Mots!$J:$J,MATCH($A957,Mots!$A:$A,0)):INDEX(Mots!$P:$P,MATCH($A957,Mots!$A:$A,0))),0)</f>
        <v/>
      </c>
      <c r="E957" s="30">
        <f>IF(COUNTIF(Classement!$A:$A,$A957)&gt;0,"ok","à faire")</f>
        <v/>
      </c>
      <c r="F957" s="30">
        <f>IF(COUNTIF(Tags!$A:$A,$A957)&gt;0,"ok","à faire")</f>
        <v/>
      </c>
      <c r="G957" s="30">
        <f>IF(COUNTIF(Phrases!$A:$A,$A957)&gt;0,"ok","à faire")</f>
        <v/>
      </c>
      <c r="H957" s="30">
        <f>IF(COUNTIFS(Phrases!$A:$A,$A957,Phrases!$I:$I,"&lt;&gt;")&gt;0,"ok","à faire")</f>
        <v/>
      </c>
      <c r="I957" s="30">
        <f>IF(COUNTIF(Synonymes!$A:$A,$A957)&gt;0,"ok","")</f>
        <v/>
      </c>
      <c r="J957" s="30">
        <f>COUNTIF(E957:H957,"à faire")</f>
        <v/>
      </c>
    </row>
    <row r="958">
      <c r="A958" s="30" t="inlineStr">
        <is>
          <t>verite</t>
        </is>
      </c>
      <c r="B958" s="30">
        <f>IFERROR(INDEX(Mots!$B:$B,MATCH($A958,Mots!$A:$A,0)),"introuvable")</f>
        <v/>
      </c>
      <c r="C958" s="30">
        <f>IFERROR(INDEX(Mots!$S:$S,MATCH($A958,Mots!$A:$A,0)),"")</f>
        <v/>
      </c>
      <c r="D958" s="30">
        <f>IFERROR(COUNTA(INDEX(Mots!$J:$J,MATCH($A958,Mots!$A:$A,0)):INDEX(Mots!$P:$P,MATCH($A958,Mots!$A:$A,0))),0)</f>
        <v/>
      </c>
      <c r="E958" s="30">
        <f>IF(COUNTIF(Classement!$A:$A,$A958)&gt;0,"ok","à faire")</f>
        <v/>
      </c>
      <c r="F958" s="30">
        <f>IF(COUNTIF(Tags!$A:$A,$A958)&gt;0,"ok","à faire")</f>
        <v/>
      </c>
      <c r="G958" s="30">
        <f>IF(COUNTIF(Phrases!$A:$A,$A958)&gt;0,"ok","à faire")</f>
        <v/>
      </c>
      <c r="H958" s="30">
        <f>IF(COUNTIFS(Phrases!$A:$A,$A958,Phrases!$I:$I,"&lt;&gt;")&gt;0,"ok","à faire")</f>
        <v/>
      </c>
      <c r="I958" s="30">
        <f>IF(COUNTIF(Synonymes!$A:$A,$A958)&gt;0,"ok","")</f>
        <v/>
      </c>
      <c r="J958" s="30">
        <f>COUNTIF(E958:H958,"à faire")</f>
        <v/>
      </c>
    </row>
    <row r="959">
      <c r="A959" s="30" t="inlineStr">
        <is>
          <t>victime</t>
        </is>
      </c>
      <c r="B959" s="30">
        <f>IFERROR(INDEX(Mots!$B:$B,MATCH($A959,Mots!$A:$A,0)),"introuvable")</f>
        <v/>
      </c>
      <c r="C959" s="30">
        <f>IFERROR(INDEX(Mots!$S:$S,MATCH($A959,Mots!$A:$A,0)),"")</f>
        <v/>
      </c>
      <c r="D959" s="30">
        <f>IFERROR(COUNTA(INDEX(Mots!$J:$J,MATCH($A959,Mots!$A:$A,0)):INDEX(Mots!$P:$P,MATCH($A959,Mots!$A:$A,0))),0)</f>
        <v/>
      </c>
      <c r="E959" s="30">
        <f>IF(COUNTIF(Classement!$A:$A,$A959)&gt;0,"ok","à faire")</f>
        <v/>
      </c>
      <c r="F959" s="30">
        <f>IF(COUNTIF(Tags!$A:$A,$A959)&gt;0,"ok","à faire")</f>
        <v/>
      </c>
      <c r="G959" s="30">
        <f>IF(COUNTIF(Phrases!$A:$A,$A959)&gt;0,"ok","à faire")</f>
        <v/>
      </c>
      <c r="H959" s="30">
        <f>IF(COUNTIFS(Phrases!$A:$A,$A959,Phrases!$I:$I,"&lt;&gt;")&gt;0,"ok","à faire")</f>
        <v/>
      </c>
      <c r="I959" s="30">
        <f>IF(COUNTIF(Synonymes!$A:$A,$A959)&gt;0,"ok","")</f>
        <v/>
      </c>
      <c r="J959" s="30">
        <f>COUNTIF(E959:H959,"à faire")</f>
        <v/>
      </c>
    </row>
    <row r="960">
      <c r="A960" s="30" t="inlineStr">
        <is>
          <t>vie</t>
        </is>
      </c>
      <c r="B960" s="30">
        <f>IFERROR(INDEX(Mots!$B:$B,MATCH($A960,Mots!$A:$A,0)),"introuvable")</f>
        <v/>
      </c>
      <c r="C960" s="30">
        <f>IFERROR(INDEX(Mots!$S:$S,MATCH($A960,Mots!$A:$A,0)),"")</f>
        <v/>
      </c>
      <c r="D960" s="30">
        <f>IFERROR(COUNTA(INDEX(Mots!$J:$J,MATCH($A960,Mots!$A:$A,0)):INDEX(Mots!$P:$P,MATCH($A960,Mots!$A:$A,0))),0)</f>
        <v/>
      </c>
      <c r="E960" s="30">
        <f>IF(COUNTIF(Classement!$A:$A,$A960)&gt;0,"ok","à faire")</f>
        <v/>
      </c>
      <c r="F960" s="30">
        <f>IF(COUNTIF(Tags!$A:$A,$A960)&gt;0,"ok","à faire")</f>
        <v/>
      </c>
      <c r="G960" s="30">
        <f>IF(COUNTIF(Phrases!$A:$A,$A960)&gt;0,"ok","à faire")</f>
        <v/>
      </c>
      <c r="H960" s="30">
        <f>IF(COUNTIFS(Phrases!$A:$A,$A960,Phrases!$I:$I,"&lt;&gt;")&gt;0,"ok","à faire")</f>
        <v/>
      </c>
      <c r="I960" s="30">
        <f>IF(COUNTIF(Synonymes!$A:$A,$A960)&gt;0,"ok","")</f>
        <v/>
      </c>
      <c r="J960" s="30">
        <f>COUNTIF(E960:H960,"à faire")</f>
        <v/>
      </c>
    </row>
    <row r="961">
      <c r="A961" s="30" t="inlineStr">
        <is>
          <t>vigne</t>
        </is>
      </c>
      <c r="B961" s="30">
        <f>IFERROR(INDEX(Mots!$B:$B,MATCH($A961,Mots!$A:$A,0)),"introuvable")</f>
        <v/>
      </c>
      <c r="C961" s="30">
        <f>IFERROR(INDEX(Mots!$S:$S,MATCH($A961,Mots!$A:$A,0)),"")</f>
        <v/>
      </c>
      <c r="D961" s="30">
        <f>IFERROR(COUNTA(INDEX(Mots!$J:$J,MATCH($A961,Mots!$A:$A,0)):INDEX(Mots!$P:$P,MATCH($A961,Mots!$A:$A,0))),0)</f>
        <v/>
      </c>
      <c r="E961" s="30">
        <f>IF(COUNTIF(Classement!$A:$A,$A961)&gt;0,"ok","à faire")</f>
        <v/>
      </c>
      <c r="F961" s="30">
        <f>IF(COUNTIF(Tags!$A:$A,$A961)&gt;0,"ok","à faire")</f>
        <v/>
      </c>
      <c r="G961" s="30">
        <f>IF(COUNTIF(Phrases!$A:$A,$A961)&gt;0,"ok","à faire")</f>
        <v/>
      </c>
      <c r="H961" s="30">
        <f>IF(COUNTIFS(Phrases!$A:$A,$A961,Phrases!$I:$I,"&lt;&gt;")&gt;0,"ok","à faire")</f>
        <v/>
      </c>
      <c r="I961" s="30">
        <f>IF(COUNTIF(Synonymes!$A:$A,$A961)&gt;0,"ok","")</f>
        <v/>
      </c>
      <c r="J961" s="30">
        <f>COUNTIF(E961:H961,"à faire")</f>
        <v/>
      </c>
    </row>
    <row r="962">
      <c r="A962" s="30" t="inlineStr">
        <is>
          <t>vis</t>
        </is>
      </c>
      <c r="B962" s="30">
        <f>IFERROR(INDEX(Mots!$B:$B,MATCH($A962,Mots!$A:$A,0)),"introuvable")</f>
        <v/>
      </c>
      <c r="C962" s="30">
        <f>IFERROR(INDEX(Mots!$S:$S,MATCH($A962,Mots!$A:$A,0)),"")</f>
        <v/>
      </c>
      <c r="D962" s="30">
        <f>IFERROR(COUNTA(INDEX(Mots!$J:$J,MATCH($A962,Mots!$A:$A,0)):INDEX(Mots!$P:$P,MATCH($A962,Mots!$A:$A,0))),0)</f>
        <v/>
      </c>
      <c r="E962" s="30">
        <f>IF(COUNTIF(Classement!$A:$A,$A962)&gt;0,"ok","à faire")</f>
        <v/>
      </c>
      <c r="F962" s="30">
        <f>IF(COUNTIF(Tags!$A:$A,$A962)&gt;0,"ok","à faire")</f>
        <v/>
      </c>
      <c r="G962" s="30">
        <f>IF(COUNTIF(Phrases!$A:$A,$A962)&gt;0,"ok","à faire")</f>
        <v/>
      </c>
      <c r="H962" s="30">
        <f>IF(COUNTIFS(Phrases!$A:$A,$A962,Phrases!$I:$I,"&lt;&gt;")&gt;0,"ok","à faire")</f>
        <v/>
      </c>
      <c r="I962" s="30">
        <f>IF(COUNTIF(Synonymes!$A:$A,$A962)&gt;0,"ok","")</f>
        <v/>
      </c>
      <c r="J962" s="30">
        <f>COUNTIF(E962:H962,"à faire")</f>
        <v/>
      </c>
    </row>
    <row r="963">
      <c r="A963" s="30" t="inlineStr">
        <is>
          <t>visite</t>
        </is>
      </c>
      <c r="B963" s="30">
        <f>IFERROR(INDEX(Mots!$B:$B,MATCH($A963,Mots!$A:$A,0)),"introuvable")</f>
        <v/>
      </c>
      <c r="C963" s="30">
        <f>IFERROR(INDEX(Mots!$S:$S,MATCH($A963,Mots!$A:$A,0)),"")</f>
        <v/>
      </c>
      <c r="D963" s="30">
        <f>IFERROR(COUNTA(INDEX(Mots!$J:$J,MATCH($A963,Mots!$A:$A,0)):INDEX(Mots!$P:$P,MATCH($A963,Mots!$A:$A,0))),0)</f>
        <v/>
      </c>
      <c r="E963" s="30">
        <f>IF(COUNTIF(Classement!$A:$A,$A963)&gt;0,"ok","à faire")</f>
        <v/>
      </c>
      <c r="F963" s="30">
        <f>IF(COUNTIF(Tags!$A:$A,$A963)&gt;0,"ok","à faire")</f>
        <v/>
      </c>
      <c r="G963" s="30">
        <f>IF(COUNTIF(Phrases!$A:$A,$A963)&gt;0,"ok","à faire")</f>
        <v/>
      </c>
      <c r="H963" s="30">
        <f>IF(COUNTIFS(Phrases!$A:$A,$A963,Phrases!$I:$I,"&lt;&gt;")&gt;0,"ok","à faire")</f>
        <v/>
      </c>
      <c r="I963" s="30">
        <f>IF(COUNTIF(Synonymes!$A:$A,$A963)&gt;0,"ok","")</f>
        <v/>
      </c>
      <c r="J963" s="30">
        <f>COUNTIF(E963:H963,"à faire")</f>
        <v/>
      </c>
    </row>
    <row r="964">
      <c r="A964" s="30" t="inlineStr">
        <is>
          <t>zone</t>
        </is>
      </c>
      <c r="B964" s="30">
        <f>IFERROR(INDEX(Mots!$B:$B,MATCH($A964,Mots!$A:$A,0)),"introuvable")</f>
        <v/>
      </c>
      <c r="C964" s="30">
        <f>IFERROR(INDEX(Mots!$S:$S,MATCH($A964,Mots!$A:$A,0)),"")</f>
        <v/>
      </c>
      <c r="D964" s="30">
        <f>IFERROR(COUNTA(INDEX(Mots!$J:$J,MATCH($A964,Mots!$A:$A,0)):INDEX(Mots!$P:$P,MATCH($A964,Mots!$A:$A,0))),0)</f>
        <v/>
      </c>
      <c r="E964" s="30">
        <f>IF(COUNTIF(Classement!$A:$A,$A964)&gt;0,"ok","à faire")</f>
        <v/>
      </c>
      <c r="F964" s="30">
        <f>IF(COUNTIF(Tags!$A:$A,$A964)&gt;0,"ok","à faire")</f>
        <v/>
      </c>
      <c r="G964" s="30">
        <f>IF(COUNTIF(Phrases!$A:$A,$A964)&gt;0,"ok","à faire")</f>
        <v/>
      </c>
      <c r="H964" s="30">
        <f>IF(COUNTIFS(Phrases!$A:$A,$A964,Phrases!$I:$I,"&lt;&gt;")&gt;0,"ok","à faire")</f>
        <v/>
      </c>
      <c r="I964" s="30">
        <f>IF(COUNTIF(Synonymes!$A:$A,$A964)&gt;0,"ok","")</f>
        <v/>
      </c>
      <c r="J964" s="30">
        <f>COUNTIF(E964:H964,"à faire")</f>
        <v/>
      </c>
    </row>
    <row r="965">
      <c r="A965" s="30" t="inlineStr">
        <is>
          <t>accident</t>
        </is>
      </c>
      <c r="B965" s="30">
        <f>IFERROR(INDEX(Mots!$B:$B,MATCH($A965,Mots!$A:$A,0)),"introuvable")</f>
        <v/>
      </c>
      <c r="C965" s="30">
        <f>IFERROR(INDEX(Mots!$S:$S,MATCH($A965,Mots!$A:$A,0)),"")</f>
        <v/>
      </c>
      <c r="D965" s="30">
        <f>IFERROR(COUNTA(INDEX(Mots!$J:$J,MATCH($A965,Mots!$A:$A,0)):INDEX(Mots!$P:$P,MATCH($A965,Mots!$A:$A,0))),0)</f>
        <v/>
      </c>
      <c r="E965" s="30">
        <f>IF(COUNTIF(Classement!$A:$A,$A965)&gt;0,"ok","à faire")</f>
        <v/>
      </c>
      <c r="F965" s="30">
        <f>IF(COUNTIF(Tags!$A:$A,$A965)&gt;0,"ok","à faire")</f>
        <v/>
      </c>
      <c r="G965" s="30">
        <f>IF(COUNTIF(Phrases!$A:$A,$A965)&gt;0,"ok","à faire")</f>
        <v/>
      </c>
      <c r="H965" s="30">
        <f>IF(COUNTIFS(Phrases!$A:$A,$A965,Phrases!$I:$I,"&lt;&gt;")&gt;0,"ok","à faire")</f>
        <v/>
      </c>
      <c r="I965" s="30">
        <f>IF(COUNTIF(Synonymes!$A:$A,$A965)&gt;0,"ok","")</f>
        <v/>
      </c>
      <c r="J965" s="30">
        <f>COUNTIF(E965:H965,"à faire")</f>
        <v/>
      </c>
    </row>
    <row r="966">
      <c r="A966" s="30" t="inlineStr">
        <is>
          <t>accord</t>
        </is>
      </c>
      <c r="B966" s="30">
        <f>IFERROR(INDEX(Mots!$B:$B,MATCH($A966,Mots!$A:$A,0)),"introuvable")</f>
        <v/>
      </c>
      <c r="C966" s="30">
        <f>IFERROR(INDEX(Mots!$S:$S,MATCH($A966,Mots!$A:$A,0)),"")</f>
        <v/>
      </c>
      <c r="D966" s="30">
        <f>IFERROR(COUNTA(INDEX(Mots!$J:$J,MATCH($A966,Mots!$A:$A,0)):INDEX(Mots!$P:$P,MATCH($A966,Mots!$A:$A,0))),0)</f>
        <v/>
      </c>
      <c r="E966" s="30">
        <f>IF(COUNTIF(Classement!$A:$A,$A966)&gt;0,"ok","à faire")</f>
        <v/>
      </c>
      <c r="F966" s="30">
        <f>IF(COUNTIF(Tags!$A:$A,$A966)&gt;0,"ok","à faire")</f>
        <v/>
      </c>
      <c r="G966" s="30">
        <f>IF(COUNTIF(Phrases!$A:$A,$A966)&gt;0,"ok","à faire")</f>
        <v/>
      </c>
      <c r="H966" s="30">
        <f>IF(COUNTIFS(Phrases!$A:$A,$A966,Phrases!$I:$I,"&lt;&gt;")&gt;0,"ok","à faire")</f>
        <v/>
      </c>
      <c r="I966" s="30">
        <f>IF(COUNTIF(Synonymes!$A:$A,$A966)&gt;0,"ok","")</f>
        <v/>
      </c>
      <c r="J966" s="30">
        <f>COUNTIF(E966:H966,"à faire")</f>
        <v/>
      </c>
    </row>
    <row r="967">
      <c r="A967" s="30" t="inlineStr">
        <is>
          <t>achat</t>
        </is>
      </c>
      <c r="B967" s="30">
        <f>IFERROR(INDEX(Mots!$B:$B,MATCH($A967,Mots!$A:$A,0)),"introuvable")</f>
        <v/>
      </c>
      <c r="C967" s="30">
        <f>IFERROR(INDEX(Mots!$S:$S,MATCH($A967,Mots!$A:$A,0)),"")</f>
        <v/>
      </c>
      <c r="D967" s="30">
        <f>IFERROR(COUNTA(INDEX(Mots!$J:$J,MATCH($A967,Mots!$A:$A,0)):INDEX(Mots!$P:$P,MATCH($A967,Mots!$A:$A,0))),0)</f>
        <v/>
      </c>
      <c r="E967" s="30">
        <f>IF(COUNTIF(Classement!$A:$A,$A967)&gt;0,"ok","à faire")</f>
        <v/>
      </c>
      <c r="F967" s="30">
        <f>IF(COUNTIF(Tags!$A:$A,$A967)&gt;0,"ok","à faire")</f>
        <v/>
      </c>
      <c r="G967" s="30">
        <f>IF(COUNTIF(Phrases!$A:$A,$A967)&gt;0,"ok","à faire")</f>
        <v/>
      </c>
      <c r="H967" s="30">
        <f>IF(COUNTIFS(Phrases!$A:$A,$A967,Phrases!$I:$I,"&lt;&gt;")&gt;0,"ok","à faire")</f>
        <v/>
      </c>
      <c r="I967" s="30">
        <f>IF(COUNTIF(Synonymes!$A:$A,$A967)&gt;0,"ok","")</f>
        <v/>
      </c>
      <c r="J967" s="30">
        <f>COUNTIF(E967:H967,"à faire")</f>
        <v/>
      </c>
    </row>
    <row r="968">
      <c r="A968" s="30" t="inlineStr">
        <is>
          <t>affaires</t>
        </is>
      </c>
      <c r="B968" s="30">
        <f>IFERROR(INDEX(Mots!$B:$B,MATCH($A968,Mots!$A:$A,0)),"introuvable")</f>
        <v/>
      </c>
      <c r="C968" s="30">
        <f>IFERROR(INDEX(Mots!$S:$S,MATCH($A968,Mots!$A:$A,0)),"")</f>
        <v/>
      </c>
      <c r="D968" s="30">
        <f>IFERROR(COUNTA(INDEX(Mots!$J:$J,MATCH($A968,Mots!$A:$A,0)):INDEX(Mots!$P:$P,MATCH($A968,Mots!$A:$A,0))),0)</f>
        <v/>
      </c>
      <c r="E968" s="30">
        <f>IF(COUNTIF(Classement!$A:$A,$A968)&gt;0,"ok","à faire")</f>
        <v/>
      </c>
      <c r="F968" s="30">
        <f>IF(COUNTIF(Tags!$A:$A,$A968)&gt;0,"ok","à faire")</f>
        <v/>
      </c>
      <c r="G968" s="30">
        <f>IF(COUNTIF(Phrases!$A:$A,$A968)&gt;0,"ok","à faire")</f>
        <v/>
      </c>
      <c r="H968" s="30">
        <f>IF(COUNTIFS(Phrases!$A:$A,$A968,Phrases!$I:$I,"&lt;&gt;")&gt;0,"ok","à faire")</f>
        <v/>
      </c>
      <c r="I968" s="30">
        <f>IF(COUNTIF(Synonymes!$A:$A,$A968)&gt;0,"ok","")</f>
        <v/>
      </c>
      <c r="J968" s="30">
        <f>COUNTIF(E968:H968,"à faire")</f>
        <v/>
      </c>
    </row>
    <row r="969">
      <c r="A969" s="30" t="inlineStr">
        <is>
          <t>age</t>
        </is>
      </c>
      <c r="B969" s="30">
        <f>IFERROR(INDEX(Mots!$B:$B,MATCH($A969,Mots!$A:$A,0)),"introuvable")</f>
        <v/>
      </c>
      <c r="C969" s="30">
        <f>IFERROR(INDEX(Mots!$S:$S,MATCH($A969,Mots!$A:$A,0)),"")</f>
        <v/>
      </c>
      <c r="D969" s="30">
        <f>IFERROR(COUNTA(INDEX(Mots!$J:$J,MATCH($A969,Mots!$A:$A,0)):INDEX(Mots!$P:$P,MATCH($A969,Mots!$A:$A,0))),0)</f>
        <v/>
      </c>
      <c r="E969" s="30">
        <f>IF(COUNTIF(Classement!$A:$A,$A969)&gt;0,"ok","à faire")</f>
        <v/>
      </c>
      <c r="F969" s="30">
        <f>IF(COUNTIF(Tags!$A:$A,$A969)&gt;0,"ok","à faire")</f>
        <v/>
      </c>
      <c r="G969" s="30">
        <f>IF(COUNTIF(Phrases!$A:$A,$A969)&gt;0,"ok","à faire")</f>
        <v/>
      </c>
      <c r="H969" s="30">
        <f>IF(COUNTIFS(Phrases!$A:$A,$A969,Phrases!$I:$I,"&lt;&gt;")&gt;0,"ok","à faire")</f>
        <v/>
      </c>
      <c r="I969" s="30">
        <f>IF(COUNTIF(Synonymes!$A:$A,$A969)&gt;0,"ok","")</f>
        <v/>
      </c>
      <c r="J969" s="30">
        <f>COUNTIF(E969:H969,"à faire")</f>
        <v/>
      </c>
    </row>
    <row r="970">
      <c r="A970" s="30" t="inlineStr">
        <is>
          <t>agitation</t>
        </is>
      </c>
      <c r="B970" s="30">
        <f>IFERROR(INDEX(Mots!$B:$B,MATCH($A970,Mots!$A:$A,0)),"introuvable")</f>
        <v/>
      </c>
      <c r="C970" s="30">
        <f>IFERROR(INDEX(Mots!$S:$S,MATCH($A970,Mots!$A:$A,0)),"")</f>
        <v/>
      </c>
      <c r="D970" s="30">
        <f>IFERROR(COUNTA(INDEX(Mots!$J:$J,MATCH($A970,Mots!$A:$A,0)):INDEX(Mots!$P:$P,MATCH($A970,Mots!$A:$A,0))),0)</f>
        <v/>
      </c>
      <c r="E970" s="30">
        <f>IF(COUNTIF(Classement!$A:$A,$A970)&gt;0,"ok","à faire")</f>
        <v/>
      </c>
      <c r="F970" s="30">
        <f>IF(COUNTIF(Tags!$A:$A,$A970)&gt;0,"ok","à faire")</f>
        <v/>
      </c>
      <c r="G970" s="30">
        <f>IF(COUNTIF(Phrases!$A:$A,$A970)&gt;0,"ok","à faire")</f>
        <v/>
      </c>
      <c r="H970" s="30">
        <f>IF(COUNTIFS(Phrases!$A:$A,$A970,Phrases!$I:$I,"&lt;&gt;")&gt;0,"ok","à faire")</f>
        <v/>
      </c>
      <c r="I970" s="30">
        <f>IF(COUNTIF(Synonymes!$A:$A,$A970)&gt;0,"ok","")</f>
        <v/>
      </c>
      <c r="J970" s="30">
        <f>COUNTIF(E970:H970,"à faire")</f>
        <v/>
      </c>
    </row>
    <row r="971">
      <c r="A971" s="30" t="inlineStr">
        <is>
          <t>aide</t>
        </is>
      </c>
      <c r="B971" s="30">
        <f>IFERROR(INDEX(Mots!$B:$B,MATCH($A971,Mots!$A:$A,0)),"introuvable")</f>
        <v/>
      </c>
      <c r="C971" s="30">
        <f>IFERROR(INDEX(Mots!$S:$S,MATCH($A971,Mots!$A:$A,0)),"")</f>
        <v/>
      </c>
      <c r="D971" s="30">
        <f>IFERROR(COUNTA(INDEX(Mots!$J:$J,MATCH($A971,Mots!$A:$A,0)):INDEX(Mots!$P:$P,MATCH($A971,Mots!$A:$A,0))),0)</f>
        <v/>
      </c>
      <c r="E971" s="30">
        <f>IF(COUNTIF(Classement!$A:$A,$A971)&gt;0,"ok","à faire")</f>
        <v/>
      </c>
      <c r="F971" s="30">
        <f>IF(COUNTIF(Tags!$A:$A,$A971)&gt;0,"ok","à faire")</f>
        <v/>
      </c>
      <c r="G971" s="30">
        <f>IF(COUNTIF(Phrases!$A:$A,$A971)&gt;0,"ok","à faire")</f>
        <v/>
      </c>
      <c r="H971" s="30">
        <f>IF(COUNTIFS(Phrases!$A:$A,$A971,Phrases!$I:$I,"&lt;&gt;")&gt;0,"ok","à faire")</f>
        <v/>
      </c>
      <c r="I971" s="30">
        <f>IF(COUNTIF(Synonymes!$A:$A,$A971)&gt;0,"ok","")</f>
        <v/>
      </c>
      <c r="J971" s="30">
        <f>COUNTIF(E971:H971,"à faire")</f>
        <v/>
      </c>
    </row>
    <row r="972">
      <c r="A972" s="30" t="inlineStr">
        <is>
          <t>aiguille</t>
        </is>
      </c>
      <c r="B972" s="30">
        <f>IFERROR(INDEX(Mots!$B:$B,MATCH($A972,Mots!$A:$A,0)),"introuvable")</f>
        <v/>
      </c>
      <c r="C972" s="30">
        <f>IFERROR(INDEX(Mots!$S:$S,MATCH($A972,Mots!$A:$A,0)),"")</f>
        <v/>
      </c>
      <c r="D972" s="30">
        <f>IFERROR(COUNTA(INDEX(Mots!$J:$J,MATCH($A972,Mots!$A:$A,0)):INDEX(Mots!$P:$P,MATCH($A972,Mots!$A:$A,0))),0)</f>
        <v/>
      </c>
      <c r="E972" s="30">
        <f>IF(COUNTIF(Classement!$A:$A,$A972)&gt;0,"ok","à faire")</f>
        <v/>
      </c>
      <c r="F972" s="30">
        <f>IF(COUNTIF(Tags!$A:$A,$A972)&gt;0,"ok","à faire")</f>
        <v/>
      </c>
      <c r="G972" s="30">
        <f>IF(COUNTIF(Phrases!$A:$A,$A972)&gt;0,"ok","à faire")</f>
        <v/>
      </c>
      <c r="H972" s="30">
        <f>IF(COUNTIFS(Phrases!$A:$A,$A972,Phrases!$I:$I,"&lt;&gt;")&gt;0,"ok","à faire")</f>
        <v/>
      </c>
      <c r="I972" s="30">
        <f>IF(COUNTIF(Synonymes!$A:$A,$A972)&gt;0,"ok","")</f>
        <v/>
      </c>
      <c r="J972" s="30">
        <f>COUNTIF(E972:H972,"à faire")</f>
        <v/>
      </c>
    </row>
    <row r="973">
      <c r="A973" s="30" t="inlineStr">
        <is>
          <t>air</t>
        </is>
      </c>
      <c r="B973" s="30">
        <f>IFERROR(INDEX(Mots!$B:$B,MATCH($A973,Mots!$A:$A,0)),"introuvable")</f>
        <v/>
      </c>
      <c r="C973" s="30">
        <f>IFERROR(INDEX(Mots!$S:$S,MATCH($A973,Mots!$A:$A,0)),"")</f>
        <v/>
      </c>
      <c r="D973" s="30">
        <f>IFERROR(COUNTA(INDEX(Mots!$J:$J,MATCH($A973,Mots!$A:$A,0)):INDEX(Mots!$P:$P,MATCH($A973,Mots!$A:$A,0))),0)</f>
        <v/>
      </c>
      <c r="E973" s="30">
        <f>IF(COUNTIF(Classement!$A:$A,$A973)&gt;0,"ok","à faire")</f>
        <v/>
      </c>
      <c r="F973" s="30">
        <f>IF(COUNTIF(Tags!$A:$A,$A973)&gt;0,"ok","à faire")</f>
        <v/>
      </c>
      <c r="G973" s="30">
        <f>IF(COUNTIF(Phrases!$A:$A,$A973)&gt;0,"ok","à faire")</f>
        <v/>
      </c>
      <c r="H973" s="30">
        <f>IF(COUNTIFS(Phrases!$A:$A,$A973,Phrases!$I:$I,"&lt;&gt;")&gt;0,"ok","à faire")</f>
        <v/>
      </c>
      <c r="I973" s="30">
        <f>IF(COUNTIF(Synonymes!$A:$A,$A973)&gt;0,"ok","")</f>
        <v/>
      </c>
      <c r="J973" s="30">
        <f>COUNTIF(E973:H973,"à faire")</f>
        <v/>
      </c>
    </row>
    <row r="974">
      <c r="A974" s="30" t="inlineStr">
        <is>
          <t>allergie</t>
        </is>
      </c>
      <c r="B974" s="30">
        <f>IFERROR(INDEX(Mots!$B:$B,MATCH($A974,Mots!$A:$A,0)),"introuvable")</f>
        <v/>
      </c>
      <c r="C974" s="30">
        <f>IFERROR(INDEX(Mots!$S:$S,MATCH($A974,Mots!$A:$A,0)),"")</f>
        <v/>
      </c>
      <c r="D974" s="30">
        <f>IFERROR(COUNTA(INDEX(Mots!$J:$J,MATCH($A974,Mots!$A:$A,0)):INDEX(Mots!$P:$P,MATCH($A974,Mots!$A:$A,0))),0)</f>
        <v/>
      </c>
      <c r="E974" s="30">
        <f>IF(COUNTIF(Classement!$A:$A,$A974)&gt;0,"ok","à faire")</f>
        <v/>
      </c>
      <c r="F974" s="30">
        <f>IF(COUNTIF(Tags!$A:$A,$A974)&gt;0,"ok","à faire")</f>
        <v/>
      </c>
      <c r="G974" s="30">
        <f>IF(COUNTIF(Phrases!$A:$A,$A974)&gt;0,"ok","à faire")</f>
        <v/>
      </c>
      <c r="H974" s="30">
        <f>IF(COUNTIFS(Phrases!$A:$A,$A974,Phrases!$I:$I,"&lt;&gt;")&gt;0,"ok","à faire")</f>
        <v/>
      </c>
      <c r="I974" s="30">
        <f>IF(COUNTIF(Synonymes!$A:$A,$A974)&gt;0,"ok","")</f>
        <v/>
      </c>
      <c r="J974" s="30">
        <f>COUNTIF(E974:H974,"à faire")</f>
        <v/>
      </c>
    </row>
    <row r="975">
      <c r="A975" s="30" t="inlineStr">
        <is>
          <t>allumette</t>
        </is>
      </c>
      <c r="B975" s="30">
        <f>IFERROR(INDEX(Mots!$B:$B,MATCH($A975,Mots!$A:$A,0)),"introuvable")</f>
        <v/>
      </c>
      <c r="C975" s="30">
        <f>IFERROR(INDEX(Mots!$S:$S,MATCH($A975,Mots!$A:$A,0)),"")</f>
        <v/>
      </c>
      <c r="D975" s="30">
        <f>IFERROR(COUNTA(INDEX(Mots!$J:$J,MATCH($A975,Mots!$A:$A,0)):INDEX(Mots!$P:$P,MATCH($A975,Mots!$A:$A,0))),0)</f>
        <v/>
      </c>
      <c r="E975" s="30">
        <f>IF(COUNTIF(Classement!$A:$A,$A975)&gt;0,"ok","à faire")</f>
        <v/>
      </c>
      <c r="F975" s="30">
        <f>IF(COUNTIF(Tags!$A:$A,$A975)&gt;0,"ok","à faire")</f>
        <v/>
      </c>
      <c r="G975" s="30">
        <f>IF(COUNTIF(Phrases!$A:$A,$A975)&gt;0,"ok","à faire")</f>
        <v/>
      </c>
      <c r="H975" s="30">
        <f>IF(COUNTIFS(Phrases!$A:$A,$A975,Phrases!$I:$I,"&lt;&gt;")&gt;0,"ok","à faire")</f>
        <v/>
      </c>
      <c r="I975" s="30">
        <f>IF(COUNTIF(Synonymes!$A:$A,$A975)&gt;0,"ok","")</f>
        <v/>
      </c>
      <c r="J975" s="30">
        <f>COUNTIF(E975:H975,"à faire")</f>
        <v/>
      </c>
    </row>
    <row r="976">
      <c r="A976" s="30" t="inlineStr">
        <is>
          <t>amitié</t>
        </is>
      </c>
      <c r="B976" s="30">
        <f>IFERROR(INDEX(Mots!$B:$B,MATCH($A976,Mots!$A:$A,0)),"introuvable")</f>
        <v/>
      </c>
      <c r="C976" s="30">
        <f>IFERROR(INDEX(Mots!$S:$S,MATCH($A976,Mots!$A:$A,0)),"")</f>
        <v/>
      </c>
      <c r="D976" s="30">
        <f>IFERROR(COUNTA(INDEX(Mots!$J:$J,MATCH($A976,Mots!$A:$A,0)):INDEX(Mots!$P:$P,MATCH($A976,Mots!$A:$A,0))),0)</f>
        <v/>
      </c>
      <c r="E976" s="30">
        <f>IF(COUNTIF(Classement!$A:$A,$A976)&gt;0,"ok","à faire")</f>
        <v/>
      </c>
      <c r="F976" s="30">
        <f>IF(COUNTIF(Tags!$A:$A,$A976)&gt;0,"ok","à faire")</f>
        <v/>
      </c>
      <c r="G976" s="30">
        <f>IF(COUNTIF(Phrases!$A:$A,$A976)&gt;0,"ok","à faire")</f>
        <v/>
      </c>
      <c r="H976" s="30">
        <f>IF(COUNTIFS(Phrases!$A:$A,$A976,Phrases!$I:$I,"&lt;&gt;")&gt;0,"ok","à faire")</f>
        <v/>
      </c>
      <c r="I976" s="30">
        <f>IF(COUNTIF(Synonymes!$A:$A,$A976)&gt;0,"ok","")</f>
        <v/>
      </c>
      <c r="J976" s="30">
        <f>COUNTIF(E976:H976,"à faire")</f>
        <v/>
      </c>
    </row>
    <row r="977">
      <c r="A977" s="30" t="inlineStr">
        <is>
          <t>v_lancer</t>
        </is>
      </c>
      <c r="B977" s="30">
        <f>IFERROR(INDEX(Mots!$B:$B,MATCH($A977,Mots!$A:$A,0)),"introuvable")</f>
        <v/>
      </c>
      <c r="C977" s="30">
        <f>IFERROR(INDEX(Mots!$S:$S,MATCH($A977,Mots!$A:$A,0)),"")</f>
        <v/>
      </c>
      <c r="D977" s="30">
        <f>IFERROR(COUNTA(INDEX(Mots!$J:$J,MATCH($A977,Mots!$A:$A,0)):INDEX(Mots!$P:$P,MATCH($A977,Mots!$A:$A,0))),0)</f>
        <v/>
      </c>
      <c r="E977" s="30">
        <f>IF(COUNTIF(Classement!$A:$A,$A977)&gt;0,"ok","à faire")</f>
        <v/>
      </c>
      <c r="F977" s="30">
        <f>IF(COUNTIF(Tags!$A:$A,$A977)&gt;0,"ok","à faire")</f>
        <v/>
      </c>
      <c r="G977" s="30">
        <f>IF(COUNTIF(Phrases!$A:$A,$A977)&gt;0,"ok","à faire")</f>
        <v/>
      </c>
      <c r="H977" s="30">
        <f>IF(COUNTIFS(Phrases!$A:$A,$A977,Phrases!$I:$I,"&lt;&gt;")&gt;0,"ok","à faire")</f>
        <v/>
      </c>
      <c r="I977" s="30">
        <f>IF(COUNTIF(Synonymes!$A:$A,$A977)&gt;0,"ok","")</f>
        <v/>
      </c>
      <c r="J977" s="30">
        <f>COUNTIF(E977:H977,"à faire")</f>
        <v/>
      </c>
    </row>
    <row r="978">
      <c r="A978" s="30" t="inlineStr">
        <is>
          <t>anse</t>
        </is>
      </c>
      <c r="B978" s="30">
        <f>IFERROR(INDEX(Mots!$B:$B,MATCH($A978,Mots!$A:$A,0)),"introuvable")</f>
        <v/>
      </c>
      <c r="C978" s="30">
        <f>IFERROR(INDEX(Mots!$S:$S,MATCH($A978,Mots!$A:$A,0)),"")</f>
        <v/>
      </c>
      <c r="D978" s="30">
        <f>IFERROR(COUNTA(INDEX(Mots!$J:$J,MATCH($A978,Mots!$A:$A,0)):INDEX(Mots!$P:$P,MATCH($A978,Mots!$A:$A,0))),0)</f>
        <v/>
      </c>
      <c r="E978" s="30">
        <f>IF(COUNTIF(Classement!$A:$A,$A978)&gt;0,"ok","à faire")</f>
        <v/>
      </c>
      <c r="F978" s="30">
        <f>IF(COUNTIF(Tags!$A:$A,$A978)&gt;0,"ok","à faire")</f>
        <v/>
      </c>
      <c r="G978" s="30">
        <f>IF(COUNTIF(Phrases!$A:$A,$A978)&gt;0,"ok","à faire")</f>
        <v/>
      </c>
      <c r="H978" s="30">
        <f>IF(COUNTIFS(Phrases!$A:$A,$A978,Phrases!$I:$I,"&lt;&gt;")&gt;0,"ok","à faire")</f>
        <v/>
      </c>
      <c r="I978" s="30">
        <f>IF(COUNTIF(Synonymes!$A:$A,$A978)&gt;0,"ok","")</f>
        <v/>
      </c>
      <c r="J978" s="30">
        <f>COUNTIF(E978:H978,"à faire")</f>
        <v/>
      </c>
    </row>
    <row r="979">
      <c r="A979" s="30" t="inlineStr">
        <is>
          <t>appareil</t>
        </is>
      </c>
      <c r="B979" s="30">
        <f>IFERROR(INDEX(Mots!$B:$B,MATCH($A979,Mots!$A:$A,0)),"introuvable")</f>
        <v/>
      </c>
      <c r="C979" s="30">
        <f>IFERROR(INDEX(Mots!$S:$S,MATCH($A979,Mots!$A:$A,0)),"")</f>
        <v/>
      </c>
      <c r="D979" s="30">
        <f>IFERROR(COUNTA(INDEX(Mots!$J:$J,MATCH($A979,Mots!$A:$A,0)):INDEX(Mots!$P:$P,MATCH($A979,Mots!$A:$A,0))),0)</f>
        <v/>
      </c>
      <c r="E979" s="30">
        <f>IF(COUNTIF(Classement!$A:$A,$A979)&gt;0,"ok","à faire")</f>
        <v/>
      </c>
      <c r="F979" s="30">
        <f>IF(COUNTIF(Tags!$A:$A,$A979)&gt;0,"ok","à faire")</f>
        <v/>
      </c>
      <c r="G979" s="30">
        <f>IF(COUNTIF(Phrases!$A:$A,$A979)&gt;0,"ok","à faire")</f>
        <v/>
      </c>
      <c r="H979" s="30">
        <f>IF(COUNTIFS(Phrases!$A:$A,$A979,Phrases!$I:$I,"&lt;&gt;")&gt;0,"ok","à faire")</f>
        <v/>
      </c>
      <c r="I979" s="30">
        <f>IF(COUNTIF(Synonymes!$A:$A,$A979)&gt;0,"ok","")</f>
        <v/>
      </c>
      <c r="J979" s="30">
        <f>COUNTIF(E979:H979,"à faire")</f>
        <v/>
      </c>
    </row>
    <row r="980">
      <c r="A980" s="30" t="inlineStr">
        <is>
          <t>appartement</t>
        </is>
      </c>
      <c r="B980" s="30">
        <f>IFERROR(INDEX(Mots!$B:$B,MATCH($A980,Mots!$A:$A,0)),"introuvable")</f>
        <v/>
      </c>
      <c r="C980" s="30">
        <f>IFERROR(INDEX(Mots!$S:$S,MATCH($A980,Mots!$A:$A,0)),"")</f>
        <v/>
      </c>
      <c r="D980" s="30">
        <f>IFERROR(COUNTA(INDEX(Mots!$J:$J,MATCH($A980,Mots!$A:$A,0)):INDEX(Mots!$P:$P,MATCH($A980,Mots!$A:$A,0))),0)</f>
        <v/>
      </c>
      <c r="E980" s="30">
        <f>IF(COUNTIF(Classement!$A:$A,$A980)&gt;0,"ok","à faire")</f>
        <v/>
      </c>
      <c r="F980" s="30">
        <f>IF(COUNTIF(Tags!$A:$A,$A980)&gt;0,"ok","à faire")</f>
        <v/>
      </c>
      <c r="G980" s="30">
        <f>IF(COUNTIF(Phrases!$A:$A,$A980)&gt;0,"ok","à faire")</f>
        <v/>
      </c>
      <c r="H980" s="30">
        <f>IF(COUNTIFS(Phrases!$A:$A,$A980,Phrases!$I:$I,"&lt;&gt;")&gt;0,"ok","à faire")</f>
        <v/>
      </c>
      <c r="I980" s="30">
        <f>IF(COUNTIF(Synonymes!$A:$A,$A980)&gt;0,"ok","")</f>
        <v/>
      </c>
      <c r="J980" s="30">
        <f>COUNTIF(E980:H980,"à faire")</f>
        <v/>
      </c>
    </row>
    <row r="981">
      <c r="A981" s="30" t="inlineStr">
        <is>
          <t>arc_en_ciel</t>
        </is>
      </c>
      <c r="B981" s="30">
        <f>IFERROR(INDEX(Mots!$B:$B,MATCH($A981,Mots!$A:$A,0)),"introuvable")</f>
        <v/>
      </c>
      <c r="C981" s="30">
        <f>IFERROR(INDEX(Mots!$S:$S,MATCH($A981,Mots!$A:$A,0)),"")</f>
        <v/>
      </c>
      <c r="D981" s="30">
        <f>IFERROR(COUNTA(INDEX(Mots!$J:$J,MATCH($A981,Mots!$A:$A,0)):INDEX(Mots!$P:$P,MATCH($A981,Mots!$A:$A,0))),0)</f>
        <v/>
      </c>
      <c r="E981" s="30">
        <f>IF(COUNTIF(Classement!$A:$A,$A981)&gt;0,"ok","à faire")</f>
        <v/>
      </c>
      <c r="F981" s="30">
        <f>IF(COUNTIF(Tags!$A:$A,$A981)&gt;0,"ok","à faire")</f>
        <v/>
      </c>
      <c r="G981" s="30">
        <f>IF(COUNTIF(Phrases!$A:$A,$A981)&gt;0,"ok","à faire")</f>
        <v/>
      </c>
      <c r="H981" s="30">
        <f>IF(COUNTIFS(Phrases!$A:$A,$A981,Phrases!$I:$I,"&lt;&gt;")&gt;0,"ok","à faire")</f>
        <v/>
      </c>
      <c r="I981" s="30">
        <f>IF(COUNTIF(Synonymes!$A:$A,$A981)&gt;0,"ok","")</f>
        <v/>
      </c>
      <c r="J981" s="30">
        <f>COUNTIF(E981:H981,"à faire")</f>
        <v/>
      </c>
    </row>
    <row r="982">
      <c r="A982" s="30" t="inlineStr">
        <is>
          <t>attention</t>
        </is>
      </c>
      <c r="B982" s="30">
        <f>IFERROR(INDEX(Mots!$B:$B,MATCH($A982,Mots!$A:$A,0)),"introuvable")</f>
        <v/>
      </c>
      <c r="C982" s="30">
        <f>IFERROR(INDEX(Mots!$S:$S,MATCH($A982,Mots!$A:$A,0)),"")</f>
        <v/>
      </c>
      <c r="D982" s="30">
        <f>IFERROR(COUNTA(INDEX(Mots!$J:$J,MATCH($A982,Mots!$A:$A,0)):INDEX(Mots!$P:$P,MATCH($A982,Mots!$A:$A,0))),0)</f>
        <v/>
      </c>
      <c r="E982" s="30">
        <f>IF(COUNTIF(Classement!$A:$A,$A982)&gt;0,"ok","à faire")</f>
        <v/>
      </c>
      <c r="F982" s="30">
        <f>IF(COUNTIF(Tags!$A:$A,$A982)&gt;0,"ok","à faire")</f>
        <v/>
      </c>
      <c r="G982" s="30">
        <f>IF(COUNTIF(Phrases!$A:$A,$A982)&gt;0,"ok","à faire")</f>
        <v/>
      </c>
      <c r="H982" s="30">
        <f>IF(COUNTIFS(Phrases!$A:$A,$A982,Phrases!$I:$I,"&lt;&gt;")&gt;0,"ok","à faire")</f>
        <v/>
      </c>
      <c r="I982" s="30">
        <f>IF(COUNTIF(Synonymes!$A:$A,$A982)&gt;0,"ok","")</f>
        <v/>
      </c>
      <c r="J982" s="30">
        <f>COUNTIF(E982:H982,"à faire")</f>
        <v/>
      </c>
    </row>
    <row r="983">
      <c r="A983" s="30" t="inlineStr">
        <is>
          <t>autoroute</t>
        </is>
      </c>
      <c r="B983" s="30">
        <f>IFERROR(INDEX(Mots!$B:$B,MATCH($A983,Mots!$A:$A,0)),"introuvable")</f>
        <v/>
      </c>
      <c r="C983" s="30">
        <f>IFERROR(INDEX(Mots!$S:$S,MATCH($A983,Mots!$A:$A,0)),"")</f>
        <v/>
      </c>
      <c r="D983" s="30">
        <f>IFERROR(COUNTA(INDEX(Mots!$J:$J,MATCH($A983,Mots!$A:$A,0)):INDEX(Mots!$P:$P,MATCH($A983,Mots!$A:$A,0))),0)</f>
        <v/>
      </c>
      <c r="E983" s="30">
        <f>IF(COUNTIF(Classement!$A:$A,$A983)&gt;0,"ok","à faire")</f>
        <v/>
      </c>
      <c r="F983" s="30">
        <f>IF(COUNTIF(Tags!$A:$A,$A983)&gt;0,"ok","à faire")</f>
        <v/>
      </c>
      <c r="G983" s="30">
        <f>IF(COUNTIF(Phrases!$A:$A,$A983)&gt;0,"ok","à faire")</f>
        <v/>
      </c>
      <c r="H983" s="30">
        <f>IF(COUNTIFS(Phrases!$A:$A,$A983,Phrases!$I:$I,"&lt;&gt;")&gt;0,"ok","à faire")</f>
        <v/>
      </c>
      <c r="I983" s="30">
        <f>IF(COUNTIF(Synonymes!$A:$A,$A983)&gt;0,"ok","")</f>
        <v/>
      </c>
      <c r="J983" s="30">
        <f>COUNTIF(E983:H983,"à faire")</f>
        <v/>
      </c>
    </row>
    <row r="984">
      <c r="A984" s="30" t="inlineStr">
        <is>
          <t>aventure</t>
        </is>
      </c>
      <c r="B984" s="30">
        <f>IFERROR(INDEX(Mots!$B:$B,MATCH($A984,Mots!$A:$A,0)),"introuvable")</f>
        <v/>
      </c>
      <c r="C984" s="30">
        <f>IFERROR(INDEX(Mots!$S:$S,MATCH($A984,Mots!$A:$A,0)),"")</f>
        <v/>
      </c>
      <c r="D984" s="30">
        <f>IFERROR(COUNTA(INDEX(Mots!$J:$J,MATCH($A984,Mots!$A:$A,0)):INDEX(Mots!$P:$P,MATCH($A984,Mots!$A:$A,0))),0)</f>
        <v/>
      </c>
      <c r="E984" s="30">
        <f>IF(COUNTIF(Classement!$A:$A,$A984)&gt;0,"ok","à faire")</f>
        <v/>
      </c>
      <c r="F984" s="30">
        <f>IF(COUNTIF(Tags!$A:$A,$A984)&gt;0,"ok","à faire")</f>
        <v/>
      </c>
      <c r="G984" s="30">
        <f>IF(COUNTIF(Phrases!$A:$A,$A984)&gt;0,"ok","à faire")</f>
        <v/>
      </c>
      <c r="H984" s="30">
        <f>IF(COUNTIFS(Phrases!$A:$A,$A984,Phrases!$I:$I,"&lt;&gt;")&gt;0,"ok","à faire")</f>
        <v/>
      </c>
      <c r="I984" s="30">
        <f>IF(COUNTIF(Synonymes!$A:$A,$A984)&gt;0,"ok","")</f>
        <v/>
      </c>
      <c r="J984" s="30">
        <f>COUNTIF(E984:H984,"à faire")</f>
        <v/>
      </c>
    </row>
    <row r="985">
      <c r="A985" s="30" t="inlineStr">
        <is>
          <t>v_laver</t>
        </is>
      </c>
      <c r="B985" s="30">
        <f>IFERROR(INDEX(Mots!$B:$B,MATCH($A985,Mots!$A:$A,0)),"introuvable")</f>
        <v/>
      </c>
      <c r="C985" s="30">
        <f>IFERROR(INDEX(Mots!$S:$S,MATCH($A985,Mots!$A:$A,0)),"")</f>
        <v/>
      </c>
      <c r="D985" s="30">
        <f>IFERROR(COUNTA(INDEX(Mots!$J:$J,MATCH($A985,Mots!$A:$A,0)):INDEX(Mots!$P:$P,MATCH($A985,Mots!$A:$A,0))),0)</f>
        <v/>
      </c>
      <c r="E985" s="30">
        <f>IF(COUNTIF(Classement!$A:$A,$A985)&gt;0,"ok","à faire")</f>
        <v/>
      </c>
      <c r="F985" s="30">
        <f>IF(COUNTIF(Tags!$A:$A,$A985)&gt;0,"ok","à faire")</f>
        <v/>
      </c>
      <c r="G985" s="30">
        <f>IF(COUNTIF(Phrases!$A:$A,$A985)&gt;0,"ok","à faire")</f>
        <v/>
      </c>
      <c r="H985" s="30">
        <f>IF(COUNTIFS(Phrases!$A:$A,$A985,Phrases!$I:$I,"&lt;&gt;")&gt;0,"ok","à faire")</f>
        <v/>
      </c>
      <c r="I985" s="30">
        <f>IF(COUNTIF(Synonymes!$A:$A,$A985)&gt;0,"ok","")</f>
        <v/>
      </c>
      <c r="J985" s="30">
        <f>COUNTIF(E985:H985,"à faire")</f>
        <v/>
      </c>
    </row>
    <row r="986">
      <c r="A986" s="30" t="inlineStr">
        <is>
          <t>avis</t>
        </is>
      </c>
      <c r="B986" s="30">
        <f>IFERROR(INDEX(Mots!$B:$B,MATCH($A986,Mots!$A:$A,0)),"introuvable")</f>
        <v/>
      </c>
      <c r="C986" s="30">
        <f>IFERROR(INDEX(Mots!$S:$S,MATCH($A986,Mots!$A:$A,0)),"")</f>
        <v/>
      </c>
      <c r="D986" s="30">
        <f>IFERROR(COUNTA(INDEX(Mots!$J:$J,MATCH($A986,Mots!$A:$A,0)):INDEX(Mots!$P:$P,MATCH($A986,Mots!$A:$A,0))),0)</f>
        <v/>
      </c>
      <c r="E986" s="30">
        <f>IF(COUNTIF(Classement!$A:$A,$A986)&gt;0,"ok","à faire")</f>
        <v/>
      </c>
      <c r="F986" s="30">
        <f>IF(COUNTIF(Tags!$A:$A,$A986)&gt;0,"ok","à faire")</f>
        <v/>
      </c>
      <c r="G986" s="30">
        <f>IF(COUNTIF(Phrases!$A:$A,$A986)&gt;0,"ok","à faire")</f>
        <v/>
      </c>
      <c r="H986" s="30">
        <f>IF(COUNTIFS(Phrases!$A:$A,$A986,Phrases!$I:$I,"&lt;&gt;")&gt;0,"ok","à faire")</f>
        <v/>
      </c>
      <c r="I986" s="30">
        <f>IF(COUNTIF(Synonymes!$A:$A,$A986)&gt;0,"ok","")</f>
        <v/>
      </c>
      <c r="J986" s="30">
        <f>COUNTIF(E986:H986,"à faire")</f>
        <v/>
      </c>
    </row>
    <row r="987">
      <c r="A987" s="30" t="inlineStr">
        <is>
          <t>bagage</t>
        </is>
      </c>
      <c r="B987" s="30">
        <f>IFERROR(INDEX(Mots!$B:$B,MATCH($A987,Mots!$A:$A,0)),"introuvable")</f>
        <v/>
      </c>
      <c r="C987" s="30">
        <f>IFERROR(INDEX(Mots!$S:$S,MATCH($A987,Mots!$A:$A,0)),"")</f>
        <v/>
      </c>
      <c r="D987" s="30">
        <f>IFERROR(COUNTA(INDEX(Mots!$J:$J,MATCH($A987,Mots!$A:$A,0)):INDEX(Mots!$P:$P,MATCH($A987,Mots!$A:$A,0))),0)</f>
        <v/>
      </c>
      <c r="E987" s="30">
        <f>IF(COUNTIF(Classement!$A:$A,$A987)&gt;0,"ok","à faire")</f>
        <v/>
      </c>
      <c r="F987" s="30">
        <f>IF(COUNTIF(Tags!$A:$A,$A987)&gt;0,"ok","à faire")</f>
        <v/>
      </c>
      <c r="G987" s="30">
        <f>IF(COUNTIF(Phrases!$A:$A,$A987)&gt;0,"ok","à faire")</f>
        <v/>
      </c>
      <c r="H987" s="30">
        <f>IF(COUNTIFS(Phrases!$A:$A,$A987,Phrases!$I:$I,"&lt;&gt;")&gt;0,"ok","à faire")</f>
        <v/>
      </c>
      <c r="I987" s="30">
        <f>IF(COUNTIF(Synonymes!$A:$A,$A987)&gt;0,"ok","")</f>
        <v/>
      </c>
      <c r="J987" s="30">
        <f>COUNTIF(E987:H987,"à faire")</f>
        <v/>
      </c>
    </row>
    <row r="988">
      <c r="A988" s="30" t="inlineStr">
        <is>
          <t>bain</t>
        </is>
      </c>
      <c r="B988" s="30">
        <f>IFERROR(INDEX(Mots!$B:$B,MATCH($A988,Mots!$A:$A,0)),"introuvable")</f>
        <v/>
      </c>
      <c r="C988" s="30">
        <f>IFERROR(INDEX(Mots!$S:$S,MATCH($A988,Mots!$A:$A,0)),"")</f>
        <v/>
      </c>
      <c r="D988" s="30">
        <f>IFERROR(COUNTA(INDEX(Mots!$J:$J,MATCH($A988,Mots!$A:$A,0)):INDEX(Mots!$P:$P,MATCH($A988,Mots!$A:$A,0))),0)</f>
        <v/>
      </c>
      <c r="E988" s="30">
        <f>IF(COUNTIF(Classement!$A:$A,$A988)&gt;0,"ok","à faire")</f>
        <v/>
      </c>
      <c r="F988" s="30">
        <f>IF(COUNTIF(Tags!$A:$A,$A988)&gt;0,"ok","à faire")</f>
        <v/>
      </c>
      <c r="G988" s="30">
        <f>IF(COUNTIF(Phrases!$A:$A,$A988)&gt;0,"ok","à faire")</f>
        <v/>
      </c>
      <c r="H988" s="30">
        <f>IF(COUNTIFS(Phrases!$A:$A,$A988,Phrases!$I:$I,"&lt;&gt;")&gt;0,"ok","à faire")</f>
        <v/>
      </c>
      <c r="I988" s="30">
        <f>IF(COUNTIF(Synonymes!$A:$A,$A988)&gt;0,"ok","")</f>
        <v/>
      </c>
      <c r="J988" s="30">
        <f>COUNTIF(E988:H988,"à faire")</f>
        <v/>
      </c>
    </row>
    <row r="989">
      <c r="A989" s="30" t="inlineStr">
        <is>
          <t>balai</t>
        </is>
      </c>
      <c r="B989" s="30">
        <f>IFERROR(INDEX(Mots!$B:$B,MATCH($A989,Mots!$A:$A,0)),"introuvable")</f>
        <v/>
      </c>
      <c r="C989" s="30">
        <f>IFERROR(INDEX(Mots!$S:$S,MATCH($A989,Mots!$A:$A,0)),"")</f>
        <v/>
      </c>
      <c r="D989" s="30">
        <f>IFERROR(COUNTA(INDEX(Mots!$J:$J,MATCH($A989,Mots!$A:$A,0)):INDEX(Mots!$P:$P,MATCH($A989,Mots!$A:$A,0))),0)</f>
        <v/>
      </c>
      <c r="E989" s="30">
        <f>IF(COUNTIF(Classement!$A:$A,$A989)&gt;0,"ok","à faire")</f>
        <v/>
      </c>
      <c r="F989" s="30">
        <f>IF(COUNTIF(Tags!$A:$A,$A989)&gt;0,"ok","à faire")</f>
        <v/>
      </c>
      <c r="G989" s="30">
        <f>IF(COUNTIF(Phrases!$A:$A,$A989)&gt;0,"ok","à faire")</f>
        <v/>
      </c>
      <c r="H989" s="30">
        <f>IF(COUNTIFS(Phrases!$A:$A,$A989,Phrases!$I:$I,"&lt;&gt;")&gt;0,"ok","à faire")</f>
        <v/>
      </c>
      <c r="I989" s="30">
        <f>IF(COUNTIF(Synonymes!$A:$A,$A989)&gt;0,"ok","")</f>
        <v/>
      </c>
      <c r="J989" s="30">
        <f>COUNTIF(E989:H989,"à faire")</f>
        <v/>
      </c>
    </row>
    <row r="990">
      <c r="A990" s="30" t="inlineStr">
        <is>
          <t>balcon</t>
        </is>
      </c>
      <c r="B990" s="30">
        <f>IFERROR(INDEX(Mots!$B:$B,MATCH($A990,Mots!$A:$A,0)),"introuvable")</f>
        <v/>
      </c>
      <c r="C990" s="30">
        <f>IFERROR(INDEX(Mots!$S:$S,MATCH($A990,Mots!$A:$A,0)),"")</f>
        <v/>
      </c>
      <c r="D990" s="30">
        <f>IFERROR(COUNTA(INDEX(Mots!$J:$J,MATCH($A990,Mots!$A:$A,0)):INDEX(Mots!$P:$P,MATCH($A990,Mots!$A:$A,0))),0)</f>
        <v/>
      </c>
      <c r="E990" s="30">
        <f>IF(COUNTIF(Classement!$A:$A,$A990)&gt;0,"ok","à faire")</f>
        <v/>
      </c>
      <c r="F990" s="30">
        <f>IF(COUNTIF(Tags!$A:$A,$A990)&gt;0,"ok","à faire")</f>
        <v/>
      </c>
      <c r="G990" s="30">
        <f>IF(COUNTIF(Phrases!$A:$A,$A990)&gt;0,"ok","à faire")</f>
        <v/>
      </c>
      <c r="H990" s="30">
        <f>IF(COUNTIFS(Phrases!$A:$A,$A990,Phrases!$I:$I,"&lt;&gt;")&gt;0,"ok","à faire")</f>
        <v/>
      </c>
      <c r="I990" s="30">
        <f>IF(COUNTIF(Synonymes!$A:$A,$A990)&gt;0,"ok","")</f>
        <v/>
      </c>
      <c r="J990" s="30">
        <f>COUNTIF(E990:H990,"à faire")</f>
        <v/>
      </c>
    </row>
    <row r="991">
      <c r="A991" s="30" t="inlineStr">
        <is>
          <t>ballon</t>
        </is>
      </c>
      <c r="B991" s="30">
        <f>IFERROR(INDEX(Mots!$B:$B,MATCH($A991,Mots!$A:$A,0)),"introuvable")</f>
        <v/>
      </c>
      <c r="C991" s="30">
        <f>IFERROR(INDEX(Mots!$S:$S,MATCH($A991,Mots!$A:$A,0)),"")</f>
        <v/>
      </c>
      <c r="D991" s="30">
        <f>IFERROR(COUNTA(INDEX(Mots!$J:$J,MATCH($A991,Mots!$A:$A,0)):INDEX(Mots!$P:$P,MATCH($A991,Mots!$A:$A,0))),0)</f>
        <v/>
      </c>
      <c r="E991" s="30">
        <f>IF(COUNTIF(Classement!$A:$A,$A991)&gt;0,"ok","à faire")</f>
        <v/>
      </c>
      <c r="F991" s="30">
        <f>IF(COUNTIF(Tags!$A:$A,$A991)&gt;0,"ok","à faire")</f>
        <v/>
      </c>
      <c r="G991" s="30">
        <f>IF(COUNTIF(Phrases!$A:$A,$A991)&gt;0,"ok","à faire")</f>
        <v/>
      </c>
      <c r="H991" s="30">
        <f>IF(COUNTIFS(Phrases!$A:$A,$A991,Phrases!$I:$I,"&lt;&gt;")&gt;0,"ok","à faire")</f>
        <v/>
      </c>
      <c r="I991" s="30">
        <f>IF(COUNTIF(Synonymes!$A:$A,$A991)&gt;0,"ok","")</f>
        <v/>
      </c>
      <c r="J991" s="30">
        <f>COUNTIF(E991:H991,"à faire")</f>
        <v/>
      </c>
    </row>
    <row r="992">
      <c r="A992" s="30" t="inlineStr">
        <is>
          <t>bandage</t>
        </is>
      </c>
      <c r="B992" s="30">
        <f>IFERROR(INDEX(Mots!$B:$B,MATCH($A992,Mots!$A:$A,0)),"introuvable")</f>
        <v/>
      </c>
      <c r="C992" s="30">
        <f>IFERROR(INDEX(Mots!$S:$S,MATCH($A992,Mots!$A:$A,0)),"")</f>
        <v/>
      </c>
      <c r="D992" s="30">
        <f>IFERROR(COUNTA(INDEX(Mots!$J:$J,MATCH($A992,Mots!$A:$A,0)):INDEX(Mots!$P:$P,MATCH($A992,Mots!$A:$A,0))),0)</f>
        <v/>
      </c>
      <c r="E992" s="30">
        <f>IF(COUNTIF(Classement!$A:$A,$A992)&gt;0,"ok","à faire")</f>
        <v/>
      </c>
      <c r="F992" s="30">
        <f>IF(COUNTIF(Tags!$A:$A,$A992)&gt;0,"ok","à faire")</f>
        <v/>
      </c>
      <c r="G992" s="30">
        <f>IF(COUNTIF(Phrases!$A:$A,$A992)&gt;0,"ok","à faire")</f>
        <v/>
      </c>
      <c r="H992" s="30">
        <f>IF(COUNTIFS(Phrases!$A:$A,$A992,Phrases!$I:$I,"&lt;&gt;")&gt;0,"ok","à faire")</f>
        <v/>
      </c>
      <c r="I992" s="30">
        <f>IF(COUNTIF(Synonymes!$A:$A,$A992)&gt;0,"ok","")</f>
        <v/>
      </c>
      <c r="J992" s="30">
        <f>COUNTIF(E992:H992,"à faire")</f>
        <v/>
      </c>
    </row>
    <row r="993">
      <c r="A993" s="30" t="inlineStr">
        <is>
          <t>batiment</t>
        </is>
      </c>
      <c r="B993" s="30">
        <f>IFERROR(INDEX(Mots!$B:$B,MATCH($A993,Mots!$A:$A,0)),"introuvable")</f>
        <v/>
      </c>
      <c r="C993" s="30">
        <f>IFERROR(INDEX(Mots!$S:$S,MATCH($A993,Mots!$A:$A,0)),"")</f>
        <v/>
      </c>
      <c r="D993" s="30">
        <f>IFERROR(COUNTA(INDEX(Mots!$J:$J,MATCH($A993,Mots!$A:$A,0)):INDEX(Mots!$P:$P,MATCH($A993,Mots!$A:$A,0))),0)</f>
        <v/>
      </c>
      <c r="E993" s="30">
        <f>IF(COUNTIF(Classement!$A:$A,$A993)&gt;0,"ok","à faire")</f>
        <v/>
      </c>
      <c r="F993" s="30">
        <f>IF(COUNTIF(Tags!$A:$A,$A993)&gt;0,"ok","à faire")</f>
        <v/>
      </c>
      <c r="G993" s="30">
        <f>IF(COUNTIF(Phrases!$A:$A,$A993)&gt;0,"ok","à faire")</f>
        <v/>
      </c>
      <c r="H993" s="30">
        <f>IF(COUNTIFS(Phrases!$A:$A,$A993,Phrases!$I:$I,"&lt;&gt;")&gt;0,"ok","à faire")</f>
        <v/>
      </c>
      <c r="I993" s="30">
        <f>IF(COUNTIF(Synonymes!$A:$A,$A993)&gt;0,"ok","")</f>
        <v/>
      </c>
      <c r="J993" s="30">
        <f>COUNTIF(E993:H993,"à faire")</f>
        <v/>
      </c>
    </row>
    <row r="994">
      <c r="A994" s="30" t="inlineStr">
        <is>
          <t>besoin</t>
        </is>
      </c>
      <c r="B994" s="30">
        <f>IFERROR(INDEX(Mots!$B:$B,MATCH($A994,Mots!$A:$A,0)),"introuvable")</f>
        <v/>
      </c>
      <c r="C994" s="30">
        <f>IFERROR(INDEX(Mots!$S:$S,MATCH($A994,Mots!$A:$A,0)),"")</f>
        <v/>
      </c>
      <c r="D994" s="30">
        <f>IFERROR(COUNTA(INDEX(Mots!$J:$J,MATCH($A994,Mots!$A:$A,0)):INDEX(Mots!$P:$P,MATCH($A994,Mots!$A:$A,0))),0)</f>
        <v/>
      </c>
      <c r="E994" s="30">
        <f>IF(COUNTIF(Classement!$A:$A,$A994)&gt;0,"ok","à faire")</f>
        <v/>
      </c>
      <c r="F994" s="30">
        <f>IF(COUNTIF(Tags!$A:$A,$A994)&gt;0,"ok","à faire")</f>
        <v/>
      </c>
      <c r="G994" s="30">
        <f>IF(COUNTIF(Phrases!$A:$A,$A994)&gt;0,"ok","à faire")</f>
        <v/>
      </c>
      <c r="H994" s="30">
        <f>IF(COUNTIFS(Phrases!$A:$A,$A994,Phrases!$I:$I,"&lt;&gt;")&gt;0,"ok","à faire")</f>
        <v/>
      </c>
      <c r="I994" s="30">
        <f>IF(COUNTIF(Synonymes!$A:$A,$A994)&gt;0,"ok","")</f>
        <v/>
      </c>
      <c r="J994" s="30">
        <f>COUNTIF(E994:H994,"à faire")</f>
        <v/>
      </c>
    </row>
    <row r="995">
      <c r="A995" s="30" t="inlineStr">
        <is>
          <t>beurre</t>
        </is>
      </c>
      <c r="B995" s="30">
        <f>IFERROR(INDEX(Mots!$B:$B,MATCH($A995,Mots!$A:$A,0)),"introuvable")</f>
        <v/>
      </c>
      <c r="C995" s="30">
        <f>IFERROR(INDEX(Mots!$S:$S,MATCH($A995,Mots!$A:$A,0)),"")</f>
        <v/>
      </c>
      <c r="D995" s="30">
        <f>IFERROR(COUNTA(INDEX(Mots!$J:$J,MATCH($A995,Mots!$A:$A,0)):INDEX(Mots!$P:$P,MATCH($A995,Mots!$A:$A,0))),0)</f>
        <v/>
      </c>
      <c r="E995" s="30">
        <f>IF(COUNTIF(Classement!$A:$A,$A995)&gt;0,"ok","à faire")</f>
        <v/>
      </c>
      <c r="F995" s="30">
        <f>IF(COUNTIF(Tags!$A:$A,$A995)&gt;0,"ok","à faire")</f>
        <v/>
      </c>
      <c r="G995" s="30">
        <f>IF(COUNTIF(Phrases!$A:$A,$A995)&gt;0,"ok","à faire")</f>
        <v/>
      </c>
      <c r="H995" s="30">
        <f>IF(COUNTIFS(Phrases!$A:$A,$A995,Phrases!$I:$I,"&lt;&gt;")&gt;0,"ok","à faire")</f>
        <v/>
      </c>
      <c r="I995" s="30">
        <f>IF(COUNTIF(Synonymes!$A:$A,$A995)&gt;0,"ok","")</f>
        <v/>
      </c>
      <c r="J995" s="30">
        <f>COUNTIF(E995:H995,"à faire")</f>
        <v/>
      </c>
    </row>
    <row r="996">
      <c r="A996" s="30" t="inlineStr">
        <is>
          <t>billet</t>
        </is>
      </c>
      <c r="B996" s="30">
        <f>IFERROR(INDEX(Mots!$B:$B,MATCH($A996,Mots!$A:$A,0)),"introuvable")</f>
        <v/>
      </c>
      <c r="C996" s="30">
        <f>IFERROR(INDEX(Mots!$S:$S,MATCH($A996,Mots!$A:$A,0)),"")</f>
        <v/>
      </c>
      <c r="D996" s="30">
        <f>IFERROR(COUNTA(INDEX(Mots!$J:$J,MATCH($A996,Mots!$A:$A,0)):INDEX(Mots!$P:$P,MATCH($A996,Mots!$A:$A,0))),0)</f>
        <v/>
      </c>
      <c r="E996" s="30">
        <f>IF(COUNTIF(Classement!$A:$A,$A996)&gt;0,"ok","à faire")</f>
        <v/>
      </c>
      <c r="F996" s="30">
        <f>IF(COUNTIF(Tags!$A:$A,$A996)&gt;0,"ok","à faire")</f>
        <v/>
      </c>
      <c r="G996" s="30">
        <f>IF(COUNTIF(Phrases!$A:$A,$A996)&gt;0,"ok","à faire")</f>
        <v/>
      </c>
      <c r="H996" s="30">
        <f>IF(COUNTIFS(Phrases!$A:$A,$A996,Phrases!$I:$I,"&lt;&gt;")&gt;0,"ok","à faire")</f>
        <v/>
      </c>
      <c r="I996" s="30">
        <f>IF(COUNTIF(Synonymes!$A:$A,$A996)&gt;0,"ok","")</f>
        <v/>
      </c>
      <c r="J996" s="30">
        <f>COUNTIF(E996:H996,"à faire")</f>
        <v/>
      </c>
    </row>
    <row r="997">
      <c r="A997" s="30" t="inlineStr">
        <is>
          <t>ble</t>
        </is>
      </c>
      <c r="B997" s="30">
        <f>IFERROR(INDEX(Mots!$B:$B,MATCH($A997,Mots!$A:$A,0)),"introuvable")</f>
        <v/>
      </c>
      <c r="C997" s="30">
        <f>IFERROR(INDEX(Mots!$S:$S,MATCH($A997,Mots!$A:$A,0)),"")</f>
        <v/>
      </c>
      <c r="D997" s="30">
        <f>IFERROR(COUNTA(INDEX(Mots!$J:$J,MATCH($A997,Mots!$A:$A,0)):INDEX(Mots!$P:$P,MATCH($A997,Mots!$A:$A,0))),0)</f>
        <v/>
      </c>
      <c r="E997" s="30">
        <f>IF(COUNTIF(Classement!$A:$A,$A997)&gt;0,"ok","à faire")</f>
        <v/>
      </c>
      <c r="F997" s="30">
        <f>IF(COUNTIF(Tags!$A:$A,$A997)&gt;0,"ok","à faire")</f>
        <v/>
      </c>
      <c r="G997" s="30">
        <f>IF(COUNTIF(Phrases!$A:$A,$A997)&gt;0,"ok","à faire")</f>
        <v/>
      </c>
      <c r="H997" s="30">
        <f>IF(COUNTIFS(Phrases!$A:$A,$A997,Phrases!$I:$I,"&lt;&gt;")&gt;0,"ok","à faire")</f>
        <v/>
      </c>
      <c r="I997" s="30">
        <f>IF(COUNTIF(Synonymes!$A:$A,$A997)&gt;0,"ok","")</f>
        <v/>
      </c>
      <c r="J997" s="30">
        <f>COUNTIF(E997:H997,"à faire")</f>
        <v/>
      </c>
    </row>
    <row r="998">
      <c r="A998" s="30" t="inlineStr">
        <is>
          <t>bocal</t>
        </is>
      </c>
      <c r="B998" s="30">
        <f>IFERROR(INDEX(Mots!$B:$B,MATCH($A998,Mots!$A:$A,0)),"introuvable")</f>
        <v/>
      </c>
      <c r="C998" s="30">
        <f>IFERROR(INDEX(Mots!$S:$S,MATCH($A998,Mots!$A:$A,0)),"")</f>
        <v/>
      </c>
      <c r="D998" s="30">
        <f>IFERROR(COUNTA(INDEX(Mots!$J:$J,MATCH($A998,Mots!$A:$A,0)):INDEX(Mots!$P:$P,MATCH($A998,Mots!$A:$A,0))),0)</f>
        <v/>
      </c>
      <c r="E998" s="30">
        <f>IF(COUNTIF(Classement!$A:$A,$A998)&gt;0,"ok","à faire")</f>
        <v/>
      </c>
      <c r="F998" s="30">
        <f>IF(COUNTIF(Tags!$A:$A,$A998)&gt;0,"ok","à faire")</f>
        <v/>
      </c>
      <c r="G998" s="30">
        <f>IF(COUNTIF(Phrases!$A:$A,$A998)&gt;0,"ok","à faire")</f>
        <v/>
      </c>
      <c r="H998" s="30">
        <f>IF(COUNTIFS(Phrases!$A:$A,$A998,Phrases!$I:$I,"&lt;&gt;")&gt;0,"ok","à faire")</f>
        <v/>
      </c>
      <c r="I998" s="30">
        <f>IF(COUNTIF(Synonymes!$A:$A,$A998)&gt;0,"ok","")</f>
        <v/>
      </c>
      <c r="J998" s="30">
        <f>COUNTIF(E998:H998,"à faire")</f>
        <v/>
      </c>
    </row>
    <row r="999">
      <c r="A999" s="30" t="inlineStr">
        <is>
          <t>bois</t>
        </is>
      </c>
      <c r="B999" s="30">
        <f>IFERROR(INDEX(Mots!$B:$B,MATCH($A999,Mots!$A:$A,0)),"introuvable")</f>
        <v/>
      </c>
      <c r="C999" s="30">
        <f>IFERROR(INDEX(Mots!$S:$S,MATCH($A999,Mots!$A:$A,0)),"")</f>
        <v/>
      </c>
      <c r="D999" s="30">
        <f>IFERROR(COUNTA(INDEX(Mots!$J:$J,MATCH($A999,Mots!$A:$A,0)):INDEX(Mots!$P:$P,MATCH($A999,Mots!$A:$A,0))),0)</f>
        <v/>
      </c>
      <c r="E999" s="30">
        <f>IF(COUNTIF(Classement!$A:$A,$A999)&gt;0,"ok","à faire")</f>
        <v/>
      </c>
      <c r="F999" s="30">
        <f>IF(COUNTIF(Tags!$A:$A,$A999)&gt;0,"ok","à faire")</f>
        <v/>
      </c>
      <c r="G999" s="30">
        <f>IF(COUNTIF(Phrases!$A:$A,$A999)&gt;0,"ok","à faire")</f>
        <v/>
      </c>
      <c r="H999" s="30">
        <f>IF(COUNTIFS(Phrases!$A:$A,$A999,Phrases!$I:$I,"&lt;&gt;")&gt;0,"ok","à faire")</f>
        <v/>
      </c>
      <c r="I999" s="30">
        <f>IF(COUNTIF(Synonymes!$A:$A,$A999)&gt;0,"ok","")</f>
        <v/>
      </c>
      <c r="J999" s="30">
        <f>COUNTIF(E999:H999,"à faire")</f>
        <v/>
      </c>
    </row>
    <row r="1000">
      <c r="A1000" s="30" t="inlineStr">
        <is>
          <t>bonbon</t>
        </is>
      </c>
      <c r="B1000" s="30">
        <f>IFERROR(INDEX(Mots!$B:$B,MATCH($A1000,Mots!$A:$A,0)),"introuvable")</f>
        <v/>
      </c>
      <c r="C1000" s="30">
        <f>IFERROR(INDEX(Mots!$S:$S,MATCH($A1000,Mots!$A:$A,0)),"")</f>
        <v/>
      </c>
      <c r="D1000" s="30">
        <f>IFERROR(COUNTA(INDEX(Mots!$J:$J,MATCH($A1000,Mots!$A:$A,0)):INDEX(Mots!$P:$P,MATCH($A1000,Mots!$A:$A,0))),0)</f>
        <v/>
      </c>
      <c r="E1000" s="30">
        <f>IF(COUNTIF(Classement!$A:$A,$A1000)&gt;0,"ok","à faire")</f>
        <v/>
      </c>
      <c r="F1000" s="30">
        <f>IF(COUNTIF(Tags!$A:$A,$A1000)&gt;0,"ok","à faire")</f>
        <v/>
      </c>
      <c r="G1000" s="30">
        <f>IF(COUNTIF(Phrases!$A:$A,$A1000)&gt;0,"ok","à faire")</f>
        <v/>
      </c>
      <c r="H1000" s="30">
        <f>IF(COUNTIFS(Phrases!$A:$A,$A1000,Phrases!$I:$I,"&lt;&gt;")&gt;0,"ok","à faire")</f>
        <v/>
      </c>
      <c r="I1000" s="30">
        <f>IF(COUNTIF(Synonymes!$A:$A,$A1000)&gt;0,"ok","")</f>
        <v/>
      </c>
      <c r="J1000" s="30">
        <f>COUNTIF(E1000:H1000,"à faire")</f>
        <v/>
      </c>
    </row>
    <row r="1001">
      <c r="A1001" s="30" t="inlineStr">
        <is>
          <t>bord</t>
        </is>
      </c>
      <c r="B1001" s="30">
        <f>IFERROR(INDEX(Mots!$B:$B,MATCH($A1001,Mots!$A:$A,0)),"introuvable")</f>
        <v/>
      </c>
      <c r="C1001" s="30">
        <f>IFERROR(INDEX(Mots!$S:$S,MATCH($A1001,Mots!$A:$A,0)),"")</f>
        <v/>
      </c>
      <c r="D1001" s="30">
        <f>IFERROR(COUNTA(INDEX(Mots!$J:$J,MATCH($A1001,Mots!$A:$A,0)):INDEX(Mots!$P:$P,MATCH($A1001,Mots!$A:$A,0))),0)</f>
        <v/>
      </c>
      <c r="E1001" s="30">
        <f>IF(COUNTIF(Classement!$A:$A,$A1001)&gt;0,"ok","à faire")</f>
        <v/>
      </c>
      <c r="F1001" s="30">
        <f>IF(COUNTIF(Tags!$A:$A,$A1001)&gt;0,"ok","à faire")</f>
        <v/>
      </c>
      <c r="G1001" s="30">
        <f>IF(COUNTIF(Phrases!$A:$A,$A1001)&gt;0,"ok","à faire")</f>
        <v/>
      </c>
      <c r="H1001" s="30">
        <f>IF(COUNTIFS(Phrases!$A:$A,$A1001,Phrases!$I:$I,"&lt;&gt;")&gt;0,"ok","à faire")</f>
        <v/>
      </c>
      <c r="I1001" s="30">
        <f>IF(COUNTIF(Synonymes!$A:$A,$A1001)&gt;0,"ok","")</f>
        <v/>
      </c>
      <c r="J1001" s="30">
        <f>COUNTIF(E1001:H1001,"à faire")</f>
        <v/>
      </c>
    </row>
    <row r="1002">
      <c r="A1002" s="30" t="inlineStr">
        <is>
          <t>bourgeon</t>
        </is>
      </c>
      <c r="B1002" s="30">
        <f>IFERROR(INDEX(Mots!$B:$B,MATCH($A1002,Mots!$A:$A,0)),"introuvable")</f>
        <v/>
      </c>
      <c r="C1002" s="30">
        <f>IFERROR(INDEX(Mots!$S:$S,MATCH($A1002,Mots!$A:$A,0)),"")</f>
        <v/>
      </c>
      <c r="D1002" s="30">
        <f>IFERROR(COUNTA(INDEX(Mots!$J:$J,MATCH($A1002,Mots!$A:$A,0)):INDEX(Mots!$P:$P,MATCH($A1002,Mots!$A:$A,0))),0)</f>
        <v/>
      </c>
      <c r="E1002" s="30">
        <f>IF(COUNTIF(Classement!$A:$A,$A1002)&gt;0,"ok","à faire")</f>
        <v/>
      </c>
      <c r="F1002" s="30">
        <f>IF(COUNTIF(Tags!$A:$A,$A1002)&gt;0,"ok","à faire")</f>
        <v/>
      </c>
      <c r="G1002" s="30">
        <f>IF(COUNTIF(Phrases!$A:$A,$A1002)&gt;0,"ok","à faire")</f>
        <v/>
      </c>
      <c r="H1002" s="30">
        <f>IF(COUNTIFS(Phrases!$A:$A,$A1002,Phrases!$I:$I,"&lt;&gt;")&gt;0,"ok","à faire")</f>
        <v/>
      </c>
      <c r="I1002" s="30">
        <f>IF(COUNTIF(Synonymes!$A:$A,$A1002)&gt;0,"ok","")</f>
        <v/>
      </c>
      <c r="J1002" s="30">
        <f>COUNTIF(E1002:H1002,"à faire")</f>
        <v/>
      </c>
    </row>
    <row r="1003">
      <c r="A1003" s="30" t="inlineStr">
        <is>
          <t>bout</t>
        </is>
      </c>
      <c r="B1003" s="30">
        <f>IFERROR(INDEX(Mots!$B:$B,MATCH($A1003,Mots!$A:$A,0)),"introuvable")</f>
        <v/>
      </c>
      <c r="C1003" s="30">
        <f>IFERROR(INDEX(Mots!$S:$S,MATCH($A1003,Mots!$A:$A,0)),"")</f>
        <v/>
      </c>
      <c r="D1003" s="30">
        <f>IFERROR(COUNTA(INDEX(Mots!$J:$J,MATCH($A1003,Mots!$A:$A,0)):INDEX(Mots!$P:$P,MATCH($A1003,Mots!$A:$A,0))),0)</f>
        <v/>
      </c>
      <c r="E1003" s="30">
        <f>IF(COUNTIF(Classement!$A:$A,$A1003)&gt;0,"ok","à faire")</f>
        <v/>
      </c>
      <c r="F1003" s="30">
        <f>IF(COUNTIF(Tags!$A:$A,$A1003)&gt;0,"ok","à faire")</f>
        <v/>
      </c>
      <c r="G1003" s="30">
        <f>IF(COUNTIF(Phrases!$A:$A,$A1003)&gt;0,"ok","à faire")</f>
        <v/>
      </c>
      <c r="H1003" s="30">
        <f>IF(COUNTIFS(Phrases!$A:$A,$A1003,Phrases!$I:$I,"&lt;&gt;")&gt;0,"ok","à faire")</f>
        <v/>
      </c>
      <c r="I1003" s="30">
        <f>IF(COUNTIF(Synonymes!$A:$A,$A1003)&gt;0,"ok","")</f>
        <v/>
      </c>
      <c r="J1003" s="30">
        <f>COUNTIF(E1003:H1003,"à faire")</f>
        <v/>
      </c>
    </row>
    <row r="1004">
      <c r="A1004" s="30" t="inlineStr">
        <is>
          <t>bouton</t>
        </is>
      </c>
      <c r="B1004" s="30">
        <f>IFERROR(INDEX(Mots!$B:$B,MATCH($A1004,Mots!$A:$A,0)),"introuvable")</f>
        <v/>
      </c>
      <c r="C1004" s="30">
        <f>IFERROR(INDEX(Mots!$S:$S,MATCH($A1004,Mots!$A:$A,0)),"")</f>
        <v/>
      </c>
      <c r="D1004" s="30">
        <f>IFERROR(COUNTA(INDEX(Mots!$J:$J,MATCH($A1004,Mots!$A:$A,0)):INDEX(Mots!$P:$P,MATCH($A1004,Mots!$A:$A,0))),0)</f>
        <v/>
      </c>
      <c r="E1004" s="30">
        <f>IF(COUNTIF(Classement!$A:$A,$A1004)&gt;0,"ok","à faire")</f>
        <v/>
      </c>
      <c r="F1004" s="30">
        <f>IF(COUNTIF(Tags!$A:$A,$A1004)&gt;0,"ok","à faire")</f>
        <v/>
      </c>
      <c r="G1004" s="30">
        <f>IF(COUNTIF(Phrases!$A:$A,$A1004)&gt;0,"ok","à faire")</f>
        <v/>
      </c>
      <c r="H1004" s="30">
        <f>IF(COUNTIFS(Phrases!$A:$A,$A1004,Phrases!$I:$I,"&lt;&gt;")&gt;0,"ok","à faire")</f>
        <v/>
      </c>
      <c r="I1004" s="30">
        <f>IF(COUNTIF(Synonymes!$A:$A,$A1004)&gt;0,"ok","")</f>
        <v/>
      </c>
      <c r="J1004" s="30">
        <f>COUNTIF(E1004:H1004,"à faire")</f>
        <v/>
      </c>
    </row>
    <row r="1005">
      <c r="A1005" s="30" t="inlineStr">
        <is>
          <t>bricolage</t>
        </is>
      </c>
      <c r="B1005" s="30">
        <f>IFERROR(INDEX(Mots!$B:$B,MATCH($A1005,Mots!$A:$A,0)),"introuvable")</f>
        <v/>
      </c>
      <c r="C1005" s="30">
        <f>IFERROR(INDEX(Mots!$S:$S,MATCH($A1005,Mots!$A:$A,0)),"")</f>
        <v/>
      </c>
      <c r="D1005" s="30">
        <f>IFERROR(COUNTA(INDEX(Mots!$J:$J,MATCH($A1005,Mots!$A:$A,0)):INDEX(Mots!$P:$P,MATCH($A1005,Mots!$A:$A,0))),0)</f>
        <v/>
      </c>
      <c r="E1005" s="30">
        <f>IF(COUNTIF(Classement!$A:$A,$A1005)&gt;0,"ok","à faire")</f>
        <v/>
      </c>
      <c r="F1005" s="30">
        <f>IF(COUNTIF(Tags!$A:$A,$A1005)&gt;0,"ok","à faire")</f>
        <v/>
      </c>
      <c r="G1005" s="30">
        <f>IF(COUNTIF(Phrases!$A:$A,$A1005)&gt;0,"ok","à faire")</f>
        <v/>
      </c>
      <c r="H1005" s="30">
        <f>IF(COUNTIFS(Phrases!$A:$A,$A1005,Phrases!$I:$I,"&lt;&gt;")&gt;0,"ok","à faire")</f>
        <v/>
      </c>
      <c r="I1005" s="30">
        <f>IF(COUNTIF(Synonymes!$A:$A,$A1005)&gt;0,"ok","")</f>
        <v/>
      </c>
      <c r="J1005" s="30">
        <f>COUNTIF(E1005:H1005,"à faire")</f>
        <v/>
      </c>
    </row>
    <row r="1006">
      <c r="A1006" s="30" t="inlineStr">
        <is>
          <t>brin</t>
        </is>
      </c>
      <c r="B1006" s="30">
        <f>IFERROR(INDEX(Mots!$B:$B,MATCH($A1006,Mots!$A:$A,0)),"introuvable")</f>
        <v/>
      </c>
      <c r="C1006" s="30">
        <f>IFERROR(INDEX(Mots!$S:$S,MATCH($A1006,Mots!$A:$A,0)),"")</f>
        <v/>
      </c>
      <c r="D1006" s="30">
        <f>IFERROR(COUNTA(INDEX(Mots!$J:$J,MATCH($A1006,Mots!$A:$A,0)):INDEX(Mots!$P:$P,MATCH($A1006,Mots!$A:$A,0))),0)</f>
        <v/>
      </c>
      <c r="E1006" s="30">
        <f>IF(COUNTIF(Classement!$A:$A,$A1006)&gt;0,"ok","à faire")</f>
        <v/>
      </c>
      <c r="F1006" s="30">
        <f>IF(COUNTIF(Tags!$A:$A,$A1006)&gt;0,"ok","à faire")</f>
        <v/>
      </c>
      <c r="G1006" s="30">
        <f>IF(COUNTIF(Phrases!$A:$A,$A1006)&gt;0,"ok","à faire")</f>
        <v/>
      </c>
      <c r="H1006" s="30">
        <f>IF(COUNTIFS(Phrases!$A:$A,$A1006,Phrases!$I:$I,"&lt;&gt;")&gt;0,"ok","à faire")</f>
        <v/>
      </c>
      <c r="I1006" s="30">
        <f>IF(COUNTIF(Synonymes!$A:$A,$A1006)&gt;0,"ok","")</f>
        <v/>
      </c>
      <c r="J1006" s="30">
        <f>COUNTIF(E1006:H1006,"à faire")</f>
        <v/>
      </c>
    </row>
    <row r="1007">
      <c r="A1007" s="30" t="inlineStr">
        <is>
          <t>brouillard</t>
        </is>
      </c>
      <c r="B1007" s="30">
        <f>IFERROR(INDEX(Mots!$B:$B,MATCH($A1007,Mots!$A:$A,0)),"introuvable")</f>
        <v/>
      </c>
      <c r="C1007" s="30">
        <f>IFERROR(INDEX(Mots!$S:$S,MATCH($A1007,Mots!$A:$A,0)),"")</f>
        <v/>
      </c>
      <c r="D1007" s="30">
        <f>IFERROR(COUNTA(INDEX(Mots!$J:$J,MATCH($A1007,Mots!$A:$A,0)):INDEX(Mots!$P:$P,MATCH($A1007,Mots!$A:$A,0))),0)</f>
        <v/>
      </c>
      <c r="E1007" s="30">
        <f>IF(COUNTIF(Classement!$A:$A,$A1007)&gt;0,"ok","à faire")</f>
        <v/>
      </c>
      <c r="F1007" s="30">
        <f>IF(COUNTIF(Tags!$A:$A,$A1007)&gt;0,"ok","à faire")</f>
        <v/>
      </c>
      <c r="G1007" s="30">
        <f>IF(COUNTIF(Phrases!$A:$A,$A1007)&gt;0,"ok","à faire")</f>
        <v/>
      </c>
      <c r="H1007" s="30">
        <f>IF(COUNTIFS(Phrases!$A:$A,$A1007,Phrases!$I:$I,"&lt;&gt;")&gt;0,"ok","à faire")</f>
        <v/>
      </c>
      <c r="I1007" s="30">
        <f>IF(COUNTIF(Synonymes!$A:$A,$A1007)&gt;0,"ok","")</f>
        <v/>
      </c>
      <c r="J1007" s="30">
        <f>COUNTIF(E1007:H1007,"à faire")</f>
        <v/>
      </c>
    </row>
    <row r="1008">
      <c r="A1008" s="30" t="inlineStr">
        <is>
          <t>bruit</t>
        </is>
      </c>
      <c r="B1008" s="30">
        <f>IFERROR(INDEX(Mots!$B:$B,MATCH($A1008,Mots!$A:$A,0)),"introuvable")</f>
        <v/>
      </c>
      <c r="C1008" s="30">
        <f>IFERROR(INDEX(Mots!$S:$S,MATCH($A1008,Mots!$A:$A,0)),"")</f>
        <v/>
      </c>
      <c r="D1008" s="30">
        <f>IFERROR(COUNTA(INDEX(Mots!$J:$J,MATCH($A1008,Mots!$A:$A,0)):INDEX(Mots!$P:$P,MATCH($A1008,Mots!$A:$A,0))),0)</f>
        <v/>
      </c>
      <c r="E1008" s="30">
        <f>IF(COUNTIF(Classement!$A:$A,$A1008)&gt;0,"ok","à faire")</f>
        <v/>
      </c>
      <c r="F1008" s="30">
        <f>IF(COUNTIF(Tags!$A:$A,$A1008)&gt;0,"ok","à faire")</f>
        <v/>
      </c>
      <c r="G1008" s="30">
        <f>IF(COUNTIF(Phrases!$A:$A,$A1008)&gt;0,"ok","à faire")</f>
        <v/>
      </c>
      <c r="H1008" s="30">
        <f>IF(COUNTIFS(Phrases!$A:$A,$A1008,Phrases!$I:$I,"&lt;&gt;")&gt;0,"ok","à faire")</f>
        <v/>
      </c>
      <c r="I1008" s="30">
        <f>IF(COUNTIF(Synonymes!$A:$A,$A1008)&gt;0,"ok","")</f>
        <v/>
      </c>
      <c r="J1008" s="30">
        <f>COUNTIF(E1008:H1008,"à faire")</f>
        <v/>
      </c>
    </row>
    <row r="1009">
      <c r="A1009" s="30" t="inlineStr">
        <is>
          <t>buisson</t>
        </is>
      </c>
      <c r="B1009" s="30">
        <f>IFERROR(INDEX(Mots!$B:$B,MATCH($A1009,Mots!$A:$A,0)),"introuvable")</f>
        <v/>
      </c>
      <c r="C1009" s="30">
        <f>IFERROR(INDEX(Mots!$S:$S,MATCH($A1009,Mots!$A:$A,0)),"")</f>
        <v/>
      </c>
      <c r="D1009" s="30">
        <f>IFERROR(COUNTA(INDEX(Mots!$J:$J,MATCH($A1009,Mots!$A:$A,0)):INDEX(Mots!$P:$P,MATCH($A1009,Mots!$A:$A,0))),0)</f>
        <v/>
      </c>
      <c r="E1009" s="30">
        <f>IF(COUNTIF(Classement!$A:$A,$A1009)&gt;0,"ok","à faire")</f>
        <v/>
      </c>
      <c r="F1009" s="30">
        <f>IF(COUNTIF(Tags!$A:$A,$A1009)&gt;0,"ok","à faire")</f>
        <v/>
      </c>
      <c r="G1009" s="30">
        <f>IF(COUNTIF(Phrases!$A:$A,$A1009)&gt;0,"ok","à faire")</f>
        <v/>
      </c>
      <c r="H1009" s="30">
        <f>IF(COUNTIFS(Phrases!$A:$A,$A1009,Phrases!$I:$I,"&lt;&gt;")&gt;0,"ok","à faire")</f>
        <v/>
      </c>
      <c r="I1009" s="30">
        <f>IF(COUNTIF(Synonymes!$A:$A,$A1009)&gt;0,"ok","")</f>
        <v/>
      </c>
      <c r="J1009" s="30">
        <f>COUNTIF(E1009:H1009,"à faire")</f>
        <v/>
      </c>
    </row>
    <row r="1010">
      <c r="A1010" s="30" t="inlineStr">
        <is>
          <t>but_foot</t>
        </is>
      </c>
      <c r="B1010" s="30">
        <f>IFERROR(INDEX(Mots!$B:$B,MATCH($A1010,Mots!$A:$A,0)),"introuvable")</f>
        <v/>
      </c>
      <c r="C1010" s="30">
        <f>IFERROR(INDEX(Mots!$S:$S,MATCH($A1010,Mots!$A:$A,0)),"")</f>
        <v/>
      </c>
      <c r="D1010" s="30">
        <f>IFERROR(COUNTA(INDEX(Mots!$J:$J,MATCH($A1010,Mots!$A:$A,0)):INDEX(Mots!$P:$P,MATCH($A1010,Mots!$A:$A,0))),0)</f>
        <v/>
      </c>
      <c r="E1010" s="30">
        <f>IF(COUNTIF(Classement!$A:$A,$A1010)&gt;0,"ok","à faire")</f>
        <v/>
      </c>
      <c r="F1010" s="30">
        <f>IF(COUNTIF(Tags!$A:$A,$A1010)&gt;0,"ok","à faire")</f>
        <v/>
      </c>
      <c r="G1010" s="30">
        <f>IF(COUNTIF(Phrases!$A:$A,$A1010)&gt;0,"ok","à faire")</f>
        <v/>
      </c>
      <c r="H1010" s="30">
        <f>IF(COUNTIFS(Phrases!$A:$A,$A1010,Phrases!$I:$I,"&lt;&gt;")&gt;0,"ok","à faire")</f>
        <v/>
      </c>
      <c r="I1010" s="30">
        <f>IF(COUNTIF(Synonymes!$A:$A,$A1010)&gt;0,"ok","")</f>
        <v/>
      </c>
      <c r="J1010" s="30">
        <f>COUNTIF(E1010:H1010,"à faire")</f>
        <v/>
      </c>
    </row>
    <row r="1011">
      <c r="A1011" s="30" t="inlineStr">
        <is>
          <t>cadeau</t>
        </is>
      </c>
      <c r="B1011" s="30">
        <f>IFERROR(INDEX(Mots!$B:$B,MATCH($A1011,Mots!$A:$A,0)),"introuvable")</f>
        <v/>
      </c>
      <c r="C1011" s="30">
        <f>IFERROR(INDEX(Mots!$S:$S,MATCH($A1011,Mots!$A:$A,0)),"")</f>
        <v/>
      </c>
      <c r="D1011" s="30">
        <f>IFERROR(COUNTA(INDEX(Mots!$J:$J,MATCH($A1011,Mots!$A:$A,0)):INDEX(Mots!$P:$P,MATCH($A1011,Mots!$A:$A,0))),0)</f>
        <v/>
      </c>
      <c r="E1011" s="30">
        <f>IF(COUNTIF(Classement!$A:$A,$A1011)&gt;0,"ok","à faire")</f>
        <v/>
      </c>
      <c r="F1011" s="30">
        <f>IF(COUNTIF(Tags!$A:$A,$A1011)&gt;0,"ok","à faire")</f>
        <v/>
      </c>
      <c r="G1011" s="30">
        <f>IF(COUNTIF(Phrases!$A:$A,$A1011)&gt;0,"ok","à faire")</f>
        <v/>
      </c>
      <c r="H1011" s="30">
        <f>IF(COUNTIFS(Phrases!$A:$A,$A1011,Phrases!$I:$I,"&lt;&gt;")&gt;0,"ok","à faire")</f>
        <v/>
      </c>
      <c r="I1011" s="30">
        <f>IF(COUNTIF(Synonymes!$A:$A,$A1011)&gt;0,"ok","")</f>
        <v/>
      </c>
      <c r="J1011" s="30">
        <f>COUNTIF(E1011:H1011,"à faire")</f>
        <v/>
      </c>
    </row>
    <row r="1012">
      <c r="A1012" s="30" t="inlineStr">
        <is>
          <t>cahier</t>
        </is>
      </c>
      <c r="B1012" s="30">
        <f>IFERROR(INDEX(Mots!$B:$B,MATCH($A1012,Mots!$A:$A,0)),"introuvable")</f>
        <v/>
      </c>
      <c r="C1012" s="30">
        <f>IFERROR(INDEX(Mots!$S:$S,MATCH($A1012,Mots!$A:$A,0)),"")</f>
        <v/>
      </c>
      <c r="D1012" s="30">
        <f>IFERROR(COUNTA(INDEX(Mots!$J:$J,MATCH($A1012,Mots!$A:$A,0)):INDEX(Mots!$P:$P,MATCH($A1012,Mots!$A:$A,0))),0)</f>
        <v/>
      </c>
      <c r="E1012" s="30">
        <f>IF(COUNTIF(Classement!$A:$A,$A1012)&gt;0,"ok","à faire")</f>
        <v/>
      </c>
      <c r="F1012" s="30">
        <f>IF(COUNTIF(Tags!$A:$A,$A1012)&gt;0,"ok","à faire")</f>
        <v/>
      </c>
      <c r="G1012" s="30">
        <f>IF(COUNTIF(Phrases!$A:$A,$A1012)&gt;0,"ok","à faire")</f>
        <v/>
      </c>
      <c r="H1012" s="30">
        <f>IF(COUNTIFS(Phrases!$A:$A,$A1012,Phrases!$I:$I,"&lt;&gt;")&gt;0,"ok","à faire")</f>
        <v/>
      </c>
      <c r="I1012" s="30">
        <f>IF(COUNTIF(Synonymes!$A:$A,$A1012)&gt;0,"ok","")</f>
        <v/>
      </c>
      <c r="J1012" s="30">
        <f>COUNTIF(E1012:H1012,"à faire")</f>
        <v/>
      </c>
    </row>
    <row r="1013">
      <c r="A1013" s="30" t="inlineStr">
        <is>
          <t>calcul</t>
        </is>
      </c>
      <c r="B1013" s="30">
        <f>IFERROR(INDEX(Mots!$B:$B,MATCH($A1013,Mots!$A:$A,0)),"introuvable")</f>
        <v/>
      </c>
      <c r="C1013" s="30">
        <f>IFERROR(INDEX(Mots!$S:$S,MATCH($A1013,Mots!$A:$A,0)),"")</f>
        <v/>
      </c>
      <c r="D1013" s="30">
        <f>IFERROR(COUNTA(INDEX(Mots!$J:$J,MATCH($A1013,Mots!$A:$A,0)):INDEX(Mots!$P:$P,MATCH($A1013,Mots!$A:$A,0))),0)</f>
        <v/>
      </c>
      <c r="E1013" s="30">
        <f>IF(COUNTIF(Classement!$A:$A,$A1013)&gt;0,"ok","à faire")</f>
        <v/>
      </c>
      <c r="F1013" s="30">
        <f>IF(COUNTIF(Tags!$A:$A,$A1013)&gt;0,"ok","à faire")</f>
        <v/>
      </c>
      <c r="G1013" s="30">
        <f>IF(COUNTIF(Phrases!$A:$A,$A1013)&gt;0,"ok","à faire")</f>
        <v/>
      </c>
      <c r="H1013" s="30">
        <f>IF(COUNTIFS(Phrases!$A:$A,$A1013,Phrases!$I:$I,"&lt;&gt;")&gt;0,"ok","à faire")</f>
        <v/>
      </c>
      <c r="I1013" s="30">
        <f>IF(COUNTIF(Synonymes!$A:$A,$A1013)&gt;0,"ok","")</f>
        <v/>
      </c>
      <c r="J1013" s="30">
        <f>COUNTIF(E1013:H1013,"à faire")</f>
        <v/>
      </c>
    </row>
    <row r="1014">
      <c r="A1014" s="30" t="inlineStr">
        <is>
          <t>calme</t>
        </is>
      </c>
      <c r="B1014" s="30">
        <f>IFERROR(INDEX(Mots!$B:$B,MATCH($A1014,Mots!$A:$A,0)),"introuvable")</f>
        <v/>
      </c>
      <c r="C1014" s="30">
        <f>IFERROR(INDEX(Mots!$S:$S,MATCH($A1014,Mots!$A:$A,0)),"")</f>
        <v/>
      </c>
      <c r="D1014" s="30">
        <f>IFERROR(COUNTA(INDEX(Mots!$J:$J,MATCH($A1014,Mots!$A:$A,0)):INDEX(Mots!$P:$P,MATCH($A1014,Mots!$A:$A,0))),0)</f>
        <v/>
      </c>
      <c r="E1014" s="30">
        <f>IF(COUNTIF(Classement!$A:$A,$A1014)&gt;0,"ok","à faire")</f>
        <v/>
      </c>
      <c r="F1014" s="30">
        <f>IF(COUNTIF(Tags!$A:$A,$A1014)&gt;0,"ok","à faire")</f>
        <v/>
      </c>
      <c r="G1014" s="30">
        <f>IF(COUNTIF(Phrases!$A:$A,$A1014)&gt;0,"ok","à faire")</f>
        <v/>
      </c>
      <c r="H1014" s="30">
        <f>IF(COUNTIFS(Phrases!$A:$A,$A1014,Phrases!$I:$I,"&lt;&gt;")&gt;0,"ok","à faire")</f>
        <v/>
      </c>
      <c r="I1014" s="30">
        <f>IF(COUNTIF(Synonymes!$A:$A,$A1014)&gt;0,"ok","")</f>
        <v/>
      </c>
      <c r="J1014" s="30">
        <f>COUNTIF(E1014:H1014,"à faire")</f>
        <v/>
      </c>
    </row>
    <row r="1015">
      <c r="A1015" s="30" t="inlineStr">
        <is>
          <t>camping</t>
        </is>
      </c>
      <c r="B1015" s="30">
        <f>IFERROR(INDEX(Mots!$B:$B,MATCH($A1015,Mots!$A:$A,0)),"introuvable")</f>
        <v/>
      </c>
      <c r="C1015" s="30">
        <f>IFERROR(INDEX(Mots!$S:$S,MATCH($A1015,Mots!$A:$A,0)),"")</f>
        <v/>
      </c>
      <c r="D1015" s="30">
        <f>IFERROR(COUNTA(INDEX(Mots!$J:$J,MATCH($A1015,Mots!$A:$A,0)):INDEX(Mots!$P:$P,MATCH($A1015,Mots!$A:$A,0))),0)</f>
        <v/>
      </c>
      <c r="E1015" s="30">
        <f>IF(COUNTIF(Classement!$A:$A,$A1015)&gt;0,"ok","à faire")</f>
        <v/>
      </c>
      <c r="F1015" s="30">
        <f>IF(COUNTIF(Tags!$A:$A,$A1015)&gt;0,"ok","à faire")</f>
        <v/>
      </c>
      <c r="G1015" s="30">
        <f>IF(COUNTIF(Phrases!$A:$A,$A1015)&gt;0,"ok","à faire")</f>
        <v/>
      </c>
      <c r="H1015" s="30">
        <f>IF(COUNTIFS(Phrases!$A:$A,$A1015,Phrases!$I:$I,"&lt;&gt;")&gt;0,"ok","à faire")</f>
        <v/>
      </c>
      <c r="I1015" s="30">
        <f>IF(COUNTIF(Synonymes!$A:$A,$A1015)&gt;0,"ok","")</f>
        <v/>
      </c>
      <c r="J1015" s="30">
        <f>COUNTIF(E1015:H1015,"à faire")</f>
        <v/>
      </c>
    </row>
    <row r="1016">
      <c r="A1016" s="30" t="inlineStr">
        <is>
          <t>caoutchouc</t>
        </is>
      </c>
      <c r="B1016" s="30">
        <f>IFERROR(INDEX(Mots!$B:$B,MATCH($A1016,Mots!$A:$A,0)),"introuvable")</f>
        <v/>
      </c>
      <c r="C1016" s="30">
        <f>IFERROR(INDEX(Mots!$S:$S,MATCH($A1016,Mots!$A:$A,0)),"")</f>
        <v/>
      </c>
      <c r="D1016" s="30">
        <f>IFERROR(COUNTA(INDEX(Mots!$J:$J,MATCH($A1016,Mots!$A:$A,0)):INDEX(Mots!$P:$P,MATCH($A1016,Mots!$A:$A,0))),0)</f>
        <v/>
      </c>
      <c r="E1016" s="30">
        <f>IF(COUNTIF(Classement!$A:$A,$A1016)&gt;0,"ok","à faire")</f>
        <v/>
      </c>
      <c r="F1016" s="30">
        <f>IF(COUNTIF(Tags!$A:$A,$A1016)&gt;0,"ok","à faire")</f>
        <v/>
      </c>
      <c r="G1016" s="30">
        <f>IF(COUNTIF(Phrases!$A:$A,$A1016)&gt;0,"ok","à faire")</f>
        <v/>
      </c>
      <c r="H1016" s="30">
        <f>IF(COUNTIFS(Phrases!$A:$A,$A1016,Phrases!$I:$I,"&lt;&gt;")&gt;0,"ok","à faire")</f>
        <v/>
      </c>
      <c r="I1016" s="30">
        <f>IF(COUNTIF(Synonymes!$A:$A,$A1016)&gt;0,"ok","")</f>
        <v/>
      </c>
      <c r="J1016" s="30">
        <f>COUNTIF(E1016:H1016,"à faire")</f>
        <v/>
      </c>
    </row>
    <row r="1017">
      <c r="A1017" s="30" t="inlineStr">
        <is>
          <t>carnet</t>
        </is>
      </c>
      <c r="B1017" s="30">
        <f>IFERROR(INDEX(Mots!$B:$B,MATCH($A1017,Mots!$A:$A,0)),"introuvable")</f>
        <v/>
      </c>
      <c r="C1017" s="30">
        <f>IFERROR(INDEX(Mots!$S:$S,MATCH($A1017,Mots!$A:$A,0)),"")</f>
        <v/>
      </c>
      <c r="D1017" s="30">
        <f>IFERROR(COUNTA(INDEX(Mots!$J:$J,MATCH($A1017,Mots!$A:$A,0)):INDEX(Mots!$P:$P,MATCH($A1017,Mots!$A:$A,0))),0)</f>
        <v/>
      </c>
      <c r="E1017" s="30">
        <f>IF(COUNTIF(Classement!$A:$A,$A1017)&gt;0,"ok","à faire")</f>
        <v/>
      </c>
      <c r="F1017" s="30">
        <f>IF(COUNTIF(Tags!$A:$A,$A1017)&gt;0,"ok","à faire")</f>
        <v/>
      </c>
      <c r="G1017" s="30">
        <f>IF(COUNTIF(Phrases!$A:$A,$A1017)&gt;0,"ok","à faire")</f>
        <v/>
      </c>
      <c r="H1017" s="30">
        <f>IF(COUNTIFS(Phrases!$A:$A,$A1017,Phrases!$I:$I,"&lt;&gt;")&gt;0,"ok","à faire")</f>
        <v/>
      </c>
      <c r="I1017" s="30">
        <f>IF(COUNTIF(Synonymes!$A:$A,$A1017)&gt;0,"ok","")</f>
        <v/>
      </c>
      <c r="J1017" s="30">
        <f>COUNTIF(E1017:H1017,"à faire")</f>
        <v/>
      </c>
    </row>
    <row r="1018">
      <c r="A1018" s="30" t="inlineStr">
        <is>
          <t>cas</t>
        </is>
      </c>
      <c r="B1018" s="30">
        <f>IFERROR(INDEX(Mots!$B:$B,MATCH($A1018,Mots!$A:$A,0)),"introuvable")</f>
        <v/>
      </c>
      <c r="C1018" s="30">
        <f>IFERROR(INDEX(Mots!$S:$S,MATCH($A1018,Mots!$A:$A,0)),"")</f>
        <v/>
      </c>
      <c r="D1018" s="30">
        <f>IFERROR(COUNTA(INDEX(Mots!$J:$J,MATCH($A1018,Mots!$A:$A,0)):INDEX(Mots!$P:$P,MATCH($A1018,Mots!$A:$A,0))),0)</f>
        <v/>
      </c>
      <c r="E1018" s="30">
        <f>IF(COUNTIF(Classement!$A:$A,$A1018)&gt;0,"ok","à faire")</f>
        <v/>
      </c>
      <c r="F1018" s="30">
        <f>IF(COUNTIF(Tags!$A:$A,$A1018)&gt;0,"ok","à faire")</f>
        <v/>
      </c>
      <c r="G1018" s="30">
        <f>IF(COUNTIF(Phrases!$A:$A,$A1018)&gt;0,"ok","à faire")</f>
        <v/>
      </c>
      <c r="H1018" s="30">
        <f>IF(COUNTIFS(Phrases!$A:$A,$A1018,Phrases!$I:$I,"&lt;&gt;")&gt;0,"ok","à faire")</f>
        <v/>
      </c>
      <c r="I1018" s="30">
        <f>IF(COUNTIF(Synonymes!$A:$A,$A1018)&gt;0,"ok","")</f>
        <v/>
      </c>
      <c r="J1018" s="30">
        <f>COUNTIF(E1018:H1018,"à faire")</f>
        <v/>
      </c>
    </row>
    <row r="1019">
      <c r="A1019" s="30" t="inlineStr">
        <is>
          <t>centre</t>
        </is>
      </c>
      <c r="B1019" s="30">
        <f>IFERROR(INDEX(Mots!$B:$B,MATCH($A1019,Mots!$A:$A,0)),"introuvable")</f>
        <v/>
      </c>
      <c r="C1019" s="30">
        <f>IFERROR(INDEX(Mots!$S:$S,MATCH($A1019,Mots!$A:$A,0)),"")</f>
        <v/>
      </c>
      <c r="D1019" s="30">
        <f>IFERROR(COUNTA(INDEX(Mots!$J:$J,MATCH($A1019,Mots!$A:$A,0)):INDEX(Mots!$P:$P,MATCH($A1019,Mots!$A:$A,0))),0)</f>
        <v/>
      </c>
      <c r="E1019" s="30">
        <f>IF(COUNTIF(Classement!$A:$A,$A1019)&gt;0,"ok","à faire")</f>
        <v/>
      </c>
      <c r="F1019" s="30">
        <f>IF(COUNTIF(Tags!$A:$A,$A1019)&gt;0,"ok","à faire")</f>
        <v/>
      </c>
      <c r="G1019" s="30">
        <f>IF(COUNTIF(Phrases!$A:$A,$A1019)&gt;0,"ok","à faire")</f>
        <v/>
      </c>
      <c r="H1019" s="30">
        <f>IF(COUNTIFS(Phrases!$A:$A,$A1019,Phrases!$I:$I,"&lt;&gt;")&gt;0,"ok","à faire")</f>
        <v/>
      </c>
      <c r="I1019" s="30">
        <f>IF(COUNTIF(Synonymes!$A:$A,$A1019)&gt;0,"ok","")</f>
        <v/>
      </c>
      <c r="J1019" s="30">
        <f>COUNTIF(E1019:H1019,"à faire")</f>
        <v/>
      </c>
    </row>
    <row r="1020">
      <c r="A1020" s="30" t="inlineStr">
        <is>
          <t>chagrin</t>
        </is>
      </c>
      <c r="B1020" s="30">
        <f>IFERROR(INDEX(Mots!$B:$B,MATCH($A1020,Mots!$A:$A,0)),"introuvable")</f>
        <v/>
      </c>
      <c r="C1020" s="30">
        <f>IFERROR(INDEX(Mots!$S:$S,MATCH($A1020,Mots!$A:$A,0)),"")</f>
        <v/>
      </c>
      <c r="D1020" s="30">
        <f>IFERROR(COUNTA(INDEX(Mots!$J:$J,MATCH($A1020,Mots!$A:$A,0)):INDEX(Mots!$P:$P,MATCH($A1020,Mots!$A:$A,0))),0)</f>
        <v/>
      </c>
      <c r="E1020" s="30">
        <f>IF(COUNTIF(Classement!$A:$A,$A1020)&gt;0,"ok","à faire")</f>
        <v/>
      </c>
      <c r="F1020" s="30">
        <f>IF(COUNTIF(Tags!$A:$A,$A1020)&gt;0,"ok","à faire")</f>
        <v/>
      </c>
      <c r="G1020" s="30">
        <f>IF(COUNTIF(Phrases!$A:$A,$A1020)&gt;0,"ok","à faire")</f>
        <v/>
      </c>
      <c r="H1020" s="30">
        <f>IF(COUNTIFS(Phrases!$A:$A,$A1020,Phrases!$I:$I,"&lt;&gt;")&gt;0,"ok","à faire")</f>
        <v/>
      </c>
      <c r="I1020" s="30">
        <f>IF(COUNTIF(Synonymes!$A:$A,$A1020)&gt;0,"ok","")</f>
        <v/>
      </c>
      <c r="J1020" s="30">
        <f>COUNTIF(E1020:H1020,"à faire")</f>
        <v/>
      </c>
    </row>
    <row r="1021">
      <c r="A1021" s="30" t="inlineStr">
        <is>
          <t>champ</t>
        </is>
      </c>
      <c r="B1021" s="30">
        <f>IFERROR(INDEX(Mots!$B:$B,MATCH($A1021,Mots!$A:$A,0)),"introuvable")</f>
        <v/>
      </c>
      <c r="C1021" s="30">
        <f>IFERROR(INDEX(Mots!$S:$S,MATCH($A1021,Mots!$A:$A,0)),"")</f>
        <v/>
      </c>
      <c r="D1021" s="30">
        <f>IFERROR(COUNTA(INDEX(Mots!$J:$J,MATCH($A1021,Mots!$A:$A,0)):INDEX(Mots!$P:$P,MATCH($A1021,Mots!$A:$A,0))),0)</f>
        <v/>
      </c>
      <c r="E1021" s="30">
        <f>IF(COUNTIF(Classement!$A:$A,$A1021)&gt;0,"ok","à faire")</f>
        <v/>
      </c>
      <c r="F1021" s="30">
        <f>IF(COUNTIF(Tags!$A:$A,$A1021)&gt;0,"ok","à faire")</f>
        <v/>
      </c>
      <c r="G1021" s="30">
        <f>IF(COUNTIF(Phrases!$A:$A,$A1021)&gt;0,"ok","à faire")</f>
        <v/>
      </c>
      <c r="H1021" s="30">
        <f>IF(COUNTIFS(Phrases!$A:$A,$A1021,Phrases!$I:$I,"&lt;&gt;")&gt;0,"ok","à faire")</f>
        <v/>
      </c>
      <c r="I1021" s="30">
        <f>IF(COUNTIF(Synonymes!$A:$A,$A1021)&gt;0,"ok","")</f>
        <v/>
      </c>
      <c r="J1021" s="30">
        <f>COUNTIF(E1021:H1021,"à faire")</f>
        <v/>
      </c>
    </row>
    <row r="1022">
      <c r="A1022" s="30" t="inlineStr">
        <is>
          <t>champignon</t>
        </is>
      </c>
      <c r="B1022" s="30">
        <f>IFERROR(INDEX(Mots!$B:$B,MATCH($A1022,Mots!$A:$A,0)),"introuvable")</f>
        <v/>
      </c>
      <c r="C1022" s="30">
        <f>IFERROR(INDEX(Mots!$S:$S,MATCH($A1022,Mots!$A:$A,0)),"")</f>
        <v/>
      </c>
      <c r="D1022" s="30">
        <f>IFERROR(COUNTA(INDEX(Mots!$J:$J,MATCH($A1022,Mots!$A:$A,0)):INDEX(Mots!$P:$P,MATCH($A1022,Mots!$A:$A,0))),0)</f>
        <v/>
      </c>
      <c r="E1022" s="30">
        <f>IF(COUNTIF(Classement!$A:$A,$A1022)&gt;0,"ok","à faire")</f>
        <v/>
      </c>
      <c r="F1022" s="30">
        <f>IF(COUNTIF(Tags!$A:$A,$A1022)&gt;0,"ok","à faire")</f>
        <v/>
      </c>
      <c r="G1022" s="30">
        <f>IF(COUNTIF(Phrases!$A:$A,$A1022)&gt;0,"ok","à faire")</f>
        <v/>
      </c>
      <c r="H1022" s="30">
        <f>IF(COUNTIFS(Phrases!$A:$A,$A1022,Phrases!$I:$I,"&lt;&gt;")&gt;0,"ok","à faire")</f>
        <v/>
      </c>
      <c r="I1022" s="30">
        <f>IF(COUNTIF(Synonymes!$A:$A,$A1022)&gt;0,"ok","")</f>
        <v/>
      </c>
      <c r="J1022" s="30">
        <f>COUNTIF(E1022:H1022,"à faire")</f>
        <v/>
      </c>
    </row>
    <row r="1023">
      <c r="A1023" s="30" t="inlineStr">
        <is>
          <t>champion</t>
        </is>
      </c>
      <c r="B1023" s="30">
        <f>IFERROR(INDEX(Mots!$B:$B,MATCH($A1023,Mots!$A:$A,0)),"introuvable")</f>
        <v/>
      </c>
      <c r="C1023" s="30">
        <f>IFERROR(INDEX(Mots!$S:$S,MATCH($A1023,Mots!$A:$A,0)),"")</f>
        <v/>
      </c>
      <c r="D1023" s="30">
        <f>IFERROR(COUNTA(INDEX(Mots!$J:$J,MATCH($A1023,Mots!$A:$A,0)):INDEX(Mots!$P:$P,MATCH($A1023,Mots!$A:$A,0))),0)</f>
        <v/>
      </c>
      <c r="E1023" s="30">
        <f>IF(COUNTIF(Classement!$A:$A,$A1023)&gt;0,"ok","à faire")</f>
        <v/>
      </c>
      <c r="F1023" s="30">
        <f>IF(COUNTIF(Tags!$A:$A,$A1023)&gt;0,"ok","à faire")</f>
        <v/>
      </c>
      <c r="G1023" s="30">
        <f>IF(COUNTIF(Phrases!$A:$A,$A1023)&gt;0,"ok","à faire")</f>
        <v/>
      </c>
      <c r="H1023" s="30">
        <f>IF(COUNTIFS(Phrases!$A:$A,$A1023,Phrases!$I:$I,"&lt;&gt;")&gt;0,"ok","à faire")</f>
        <v/>
      </c>
      <c r="I1023" s="30">
        <f>IF(COUNTIF(Synonymes!$A:$A,$A1023)&gt;0,"ok","")</f>
        <v/>
      </c>
      <c r="J1023" s="30">
        <f>COUNTIF(E1023:H1023,"à faire")</f>
        <v/>
      </c>
    </row>
    <row r="1024">
      <c r="A1024" s="30" t="inlineStr">
        <is>
          <t>chapeau</t>
        </is>
      </c>
      <c r="B1024" s="30">
        <f>IFERROR(INDEX(Mots!$B:$B,MATCH($A1024,Mots!$A:$A,0)),"introuvable")</f>
        <v/>
      </c>
      <c r="C1024" s="30">
        <f>IFERROR(INDEX(Mots!$S:$S,MATCH($A1024,Mots!$A:$A,0)),"")</f>
        <v/>
      </c>
      <c r="D1024" s="30">
        <f>IFERROR(COUNTA(INDEX(Mots!$J:$J,MATCH($A1024,Mots!$A:$A,0)):INDEX(Mots!$P:$P,MATCH($A1024,Mots!$A:$A,0))),0)</f>
        <v/>
      </c>
      <c r="E1024" s="30">
        <f>IF(COUNTIF(Classement!$A:$A,$A1024)&gt;0,"ok","à faire")</f>
        <v/>
      </c>
      <c r="F1024" s="30">
        <f>IF(COUNTIF(Tags!$A:$A,$A1024)&gt;0,"ok","à faire")</f>
        <v/>
      </c>
      <c r="G1024" s="30">
        <f>IF(COUNTIF(Phrases!$A:$A,$A1024)&gt;0,"ok","à faire")</f>
        <v/>
      </c>
      <c r="H1024" s="30">
        <f>IF(COUNTIFS(Phrases!$A:$A,$A1024,Phrases!$I:$I,"&lt;&gt;")&gt;0,"ok","à faire")</f>
        <v/>
      </c>
      <c r="I1024" s="30">
        <f>IF(COUNTIF(Synonymes!$A:$A,$A1024)&gt;0,"ok","")</f>
        <v/>
      </c>
      <c r="J1024" s="30">
        <f>COUNTIF(E1024:H1024,"à faire")</f>
        <v/>
      </c>
    </row>
    <row r="1025">
      <c r="A1025" s="30" t="inlineStr">
        <is>
          <t>chemin</t>
        </is>
      </c>
      <c r="B1025" s="30">
        <f>IFERROR(INDEX(Mots!$B:$B,MATCH($A1025,Mots!$A:$A,0)),"introuvable")</f>
        <v/>
      </c>
      <c r="C1025" s="30">
        <f>IFERROR(INDEX(Mots!$S:$S,MATCH($A1025,Mots!$A:$A,0)),"")</f>
        <v/>
      </c>
      <c r="D1025" s="30">
        <f>IFERROR(COUNTA(INDEX(Mots!$J:$J,MATCH($A1025,Mots!$A:$A,0)):INDEX(Mots!$P:$P,MATCH($A1025,Mots!$A:$A,0))),0)</f>
        <v/>
      </c>
      <c r="E1025" s="30">
        <f>IF(COUNTIF(Classement!$A:$A,$A1025)&gt;0,"ok","à faire")</f>
        <v/>
      </c>
      <c r="F1025" s="30">
        <f>IF(COUNTIF(Tags!$A:$A,$A1025)&gt;0,"ok","à faire")</f>
        <v/>
      </c>
      <c r="G1025" s="30">
        <f>IF(COUNTIF(Phrases!$A:$A,$A1025)&gt;0,"ok","à faire")</f>
        <v/>
      </c>
      <c r="H1025" s="30">
        <f>IF(COUNTIFS(Phrases!$A:$A,$A1025,Phrases!$I:$I,"&lt;&gt;")&gt;0,"ok","à faire")</f>
        <v/>
      </c>
      <c r="I1025" s="30">
        <f>IF(COUNTIF(Synonymes!$A:$A,$A1025)&gt;0,"ok","")</f>
        <v/>
      </c>
      <c r="J1025" s="30">
        <f>COUNTIF(E1025:H1025,"à faire")</f>
        <v/>
      </c>
    </row>
    <row r="1026">
      <c r="A1026" s="30" t="inlineStr">
        <is>
          <t>choc</t>
        </is>
      </c>
      <c r="B1026" s="30">
        <f>IFERROR(INDEX(Mots!$B:$B,MATCH($A1026,Mots!$A:$A,0)),"introuvable")</f>
        <v/>
      </c>
      <c r="C1026" s="30">
        <f>IFERROR(INDEX(Mots!$S:$S,MATCH($A1026,Mots!$A:$A,0)),"")</f>
        <v/>
      </c>
      <c r="D1026" s="30">
        <f>IFERROR(COUNTA(INDEX(Mots!$J:$J,MATCH($A1026,Mots!$A:$A,0)):INDEX(Mots!$P:$P,MATCH($A1026,Mots!$A:$A,0))),0)</f>
        <v/>
      </c>
      <c r="E1026" s="30">
        <f>IF(COUNTIF(Classement!$A:$A,$A1026)&gt;0,"ok","à faire")</f>
        <v/>
      </c>
      <c r="F1026" s="30">
        <f>IF(COUNTIF(Tags!$A:$A,$A1026)&gt;0,"ok","à faire")</f>
        <v/>
      </c>
      <c r="G1026" s="30">
        <f>IF(COUNTIF(Phrases!$A:$A,$A1026)&gt;0,"ok","à faire")</f>
        <v/>
      </c>
      <c r="H1026" s="30">
        <f>IF(COUNTIFS(Phrases!$A:$A,$A1026,Phrases!$I:$I,"&lt;&gt;")&gt;0,"ok","à faire")</f>
        <v/>
      </c>
      <c r="I1026" s="30">
        <f>IF(COUNTIF(Synonymes!$A:$A,$A1026)&gt;0,"ok","")</f>
        <v/>
      </c>
      <c r="J1026" s="30">
        <f>COUNTIF(E1026:H1026,"à faire")</f>
        <v/>
      </c>
    </row>
    <row r="1027">
      <c r="A1027" s="30" t="inlineStr">
        <is>
          <t>chocolat</t>
        </is>
      </c>
      <c r="B1027" s="30">
        <f>IFERROR(INDEX(Mots!$B:$B,MATCH($A1027,Mots!$A:$A,0)),"introuvable")</f>
        <v/>
      </c>
      <c r="C1027" s="30">
        <f>IFERROR(INDEX(Mots!$S:$S,MATCH($A1027,Mots!$A:$A,0)),"")</f>
        <v/>
      </c>
      <c r="D1027" s="30">
        <f>IFERROR(COUNTA(INDEX(Mots!$J:$J,MATCH($A1027,Mots!$A:$A,0)):INDEX(Mots!$P:$P,MATCH($A1027,Mots!$A:$A,0))),0)</f>
        <v/>
      </c>
      <c r="E1027" s="30">
        <f>IF(COUNTIF(Classement!$A:$A,$A1027)&gt;0,"ok","à faire")</f>
        <v/>
      </c>
      <c r="F1027" s="30">
        <f>IF(COUNTIF(Tags!$A:$A,$A1027)&gt;0,"ok","à faire")</f>
        <v/>
      </c>
      <c r="G1027" s="30">
        <f>IF(COUNTIF(Phrases!$A:$A,$A1027)&gt;0,"ok","à faire")</f>
        <v/>
      </c>
      <c r="H1027" s="30">
        <f>IF(COUNTIFS(Phrases!$A:$A,$A1027,Phrases!$I:$I,"&lt;&gt;")&gt;0,"ok","à faire")</f>
        <v/>
      </c>
      <c r="I1027" s="30">
        <f>IF(COUNTIF(Synonymes!$A:$A,$A1027)&gt;0,"ok","")</f>
        <v/>
      </c>
      <c r="J1027" s="30">
        <f>COUNTIF(E1027:H1027,"à faire")</f>
        <v/>
      </c>
    </row>
    <row r="1028">
      <c r="A1028" s="30" t="inlineStr">
        <is>
          <t>cintre</t>
        </is>
      </c>
      <c r="B1028" s="30">
        <f>IFERROR(INDEX(Mots!$B:$B,MATCH($A1028,Mots!$A:$A,0)),"introuvable")</f>
        <v/>
      </c>
      <c r="C1028" s="30">
        <f>IFERROR(INDEX(Mots!$S:$S,MATCH($A1028,Mots!$A:$A,0)),"")</f>
        <v/>
      </c>
      <c r="D1028" s="30">
        <f>IFERROR(COUNTA(INDEX(Mots!$J:$J,MATCH($A1028,Mots!$A:$A,0)):INDEX(Mots!$P:$P,MATCH($A1028,Mots!$A:$A,0))),0)</f>
        <v/>
      </c>
      <c r="E1028" s="30">
        <f>IF(COUNTIF(Classement!$A:$A,$A1028)&gt;0,"ok","à faire")</f>
        <v/>
      </c>
      <c r="F1028" s="30">
        <f>IF(COUNTIF(Tags!$A:$A,$A1028)&gt;0,"ok","à faire")</f>
        <v/>
      </c>
      <c r="G1028" s="30">
        <f>IF(COUNTIF(Phrases!$A:$A,$A1028)&gt;0,"ok","à faire")</f>
        <v/>
      </c>
      <c r="H1028" s="30">
        <f>IF(COUNTIFS(Phrases!$A:$A,$A1028,Phrases!$I:$I,"&lt;&gt;")&gt;0,"ok","à faire")</f>
        <v/>
      </c>
      <c r="I1028" s="30">
        <f>IF(COUNTIF(Synonymes!$A:$A,$A1028)&gt;0,"ok","")</f>
        <v/>
      </c>
      <c r="J1028" s="30">
        <f>COUNTIF(E1028:H1028,"à faire")</f>
        <v/>
      </c>
    </row>
    <row r="1029">
      <c r="A1029" s="30" t="inlineStr">
        <is>
          <t>citron</t>
        </is>
      </c>
      <c r="B1029" s="30">
        <f>IFERROR(INDEX(Mots!$B:$B,MATCH($A1029,Mots!$A:$A,0)),"introuvable")</f>
        <v/>
      </c>
      <c r="C1029" s="30">
        <f>IFERROR(INDEX(Mots!$S:$S,MATCH($A1029,Mots!$A:$A,0)),"")</f>
        <v/>
      </c>
      <c r="D1029" s="30">
        <f>IFERROR(COUNTA(INDEX(Mots!$J:$J,MATCH($A1029,Mots!$A:$A,0)):INDEX(Mots!$P:$P,MATCH($A1029,Mots!$A:$A,0))),0)</f>
        <v/>
      </c>
      <c r="E1029" s="30">
        <f>IF(COUNTIF(Classement!$A:$A,$A1029)&gt;0,"ok","à faire")</f>
        <v/>
      </c>
      <c r="F1029" s="30">
        <f>IF(COUNTIF(Tags!$A:$A,$A1029)&gt;0,"ok","à faire")</f>
        <v/>
      </c>
      <c r="G1029" s="30">
        <f>IF(COUNTIF(Phrases!$A:$A,$A1029)&gt;0,"ok","à faire")</f>
        <v/>
      </c>
      <c r="H1029" s="30">
        <f>IF(COUNTIFS(Phrases!$A:$A,$A1029,Phrases!$I:$I,"&lt;&gt;")&gt;0,"ok","à faire")</f>
        <v/>
      </c>
      <c r="I1029" s="30">
        <f>IF(COUNTIF(Synonymes!$A:$A,$A1029)&gt;0,"ok","")</f>
        <v/>
      </c>
      <c r="J1029" s="30">
        <f>COUNTIF(E1029:H1029,"à faire")</f>
        <v/>
      </c>
    </row>
    <row r="1030">
      <c r="A1030" s="30" t="inlineStr">
        <is>
          <t>clou</t>
        </is>
      </c>
      <c r="B1030" s="30">
        <f>IFERROR(INDEX(Mots!$B:$B,MATCH($A1030,Mots!$A:$A,0)),"introuvable")</f>
        <v/>
      </c>
      <c r="C1030" s="30">
        <f>IFERROR(INDEX(Mots!$S:$S,MATCH($A1030,Mots!$A:$A,0)),"")</f>
        <v/>
      </c>
      <c r="D1030" s="30">
        <f>IFERROR(COUNTA(INDEX(Mots!$J:$J,MATCH($A1030,Mots!$A:$A,0)):INDEX(Mots!$P:$P,MATCH($A1030,Mots!$A:$A,0))),0)</f>
        <v/>
      </c>
      <c r="E1030" s="30">
        <f>IF(COUNTIF(Classement!$A:$A,$A1030)&gt;0,"ok","à faire")</f>
        <v/>
      </c>
      <c r="F1030" s="30">
        <f>IF(COUNTIF(Tags!$A:$A,$A1030)&gt;0,"ok","à faire")</f>
        <v/>
      </c>
      <c r="G1030" s="30">
        <f>IF(COUNTIF(Phrases!$A:$A,$A1030)&gt;0,"ok","à faire")</f>
        <v/>
      </c>
      <c r="H1030" s="30">
        <f>IF(COUNTIFS(Phrases!$A:$A,$A1030,Phrases!$I:$I,"&lt;&gt;")&gt;0,"ok","à faire")</f>
        <v/>
      </c>
      <c r="I1030" s="30">
        <f>IF(COUNTIF(Synonymes!$A:$A,$A1030)&gt;0,"ok","")</f>
        <v/>
      </c>
      <c r="J1030" s="30">
        <f>COUNTIF(E1030:H1030,"à faire")</f>
        <v/>
      </c>
    </row>
    <row r="1031">
      <c r="A1031" s="30" t="inlineStr">
        <is>
          <t>combat</t>
        </is>
      </c>
      <c r="B1031" s="30">
        <f>IFERROR(INDEX(Mots!$B:$B,MATCH($A1031,Mots!$A:$A,0)),"introuvable")</f>
        <v/>
      </c>
      <c r="C1031" s="30">
        <f>IFERROR(INDEX(Mots!$S:$S,MATCH($A1031,Mots!$A:$A,0)),"")</f>
        <v/>
      </c>
      <c r="D1031" s="30">
        <f>IFERROR(COUNTA(INDEX(Mots!$J:$J,MATCH($A1031,Mots!$A:$A,0)):INDEX(Mots!$P:$P,MATCH($A1031,Mots!$A:$A,0))),0)</f>
        <v/>
      </c>
      <c r="E1031" s="30">
        <f>IF(COUNTIF(Classement!$A:$A,$A1031)&gt;0,"ok","à faire")</f>
        <v/>
      </c>
      <c r="F1031" s="30">
        <f>IF(COUNTIF(Tags!$A:$A,$A1031)&gt;0,"ok","à faire")</f>
        <v/>
      </c>
      <c r="G1031" s="30">
        <f>IF(COUNTIF(Phrases!$A:$A,$A1031)&gt;0,"ok","à faire")</f>
        <v/>
      </c>
      <c r="H1031" s="30">
        <f>IF(COUNTIFS(Phrases!$A:$A,$A1031,Phrases!$I:$I,"&lt;&gt;")&gt;0,"ok","à faire")</f>
        <v/>
      </c>
      <c r="I1031" s="30">
        <f>IF(COUNTIF(Synonymes!$A:$A,$A1031)&gt;0,"ok","")</f>
        <v/>
      </c>
      <c r="J1031" s="30">
        <f>COUNTIF(E1031:H1031,"à faire")</f>
        <v/>
      </c>
    </row>
    <row r="1032">
      <c r="A1032" s="30" t="inlineStr">
        <is>
          <t>commerce</t>
        </is>
      </c>
      <c r="B1032" s="30">
        <f>IFERROR(INDEX(Mots!$B:$B,MATCH($A1032,Mots!$A:$A,0)),"introuvable")</f>
        <v/>
      </c>
      <c r="C1032" s="30">
        <f>IFERROR(INDEX(Mots!$S:$S,MATCH($A1032,Mots!$A:$A,0)),"")</f>
        <v/>
      </c>
      <c r="D1032" s="30">
        <f>IFERROR(COUNTA(INDEX(Mots!$J:$J,MATCH($A1032,Mots!$A:$A,0)):INDEX(Mots!$P:$P,MATCH($A1032,Mots!$A:$A,0))),0)</f>
        <v/>
      </c>
      <c r="E1032" s="30">
        <f>IF(COUNTIF(Classement!$A:$A,$A1032)&gt;0,"ok","à faire")</f>
        <v/>
      </c>
      <c r="F1032" s="30">
        <f>IF(COUNTIF(Tags!$A:$A,$A1032)&gt;0,"ok","à faire")</f>
        <v/>
      </c>
      <c r="G1032" s="30">
        <f>IF(COUNTIF(Phrases!$A:$A,$A1032)&gt;0,"ok","à faire")</f>
        <v/>
      </c>
      <c r="H1032" s="30">
        <f>IF(COUNTIFS(Phrases!$A:$A,$A1032,Phrases!$I:$I,"&lt;&gt;")&gt;0,"ok","à faire")</f>
        <v/>
      </c>
      <c r="I1032" s="30">
        <f>IF(COUNTIF(Synonymes!$A:$A,$A1032)&gt;0,"ok","")</f>
        <v/>
      </c>
      <c r="J1032" s="30">
        <f>COUNTIF(E1032:H1032,"à faire")</f>
        <v/>
      </c>
    </row>
    <row r="1033">
      <c r="A1033" s="30" t="inlineStr">
        <is>
          <t>complice</t>
        </is>
      </c>
      <c r="B1033" s="30">
        <f>IFERROR(INDEX(Mots!$B:$B,MATCH($A1033,Mots!$A:$A,0)),"introuvable")</f>
        <v/>
      </c>
      <c r="C1033" s="30">
        <f>IFERROR(INDEX(Mots!$S:$S,MATCH($A1033,Mots!$A:$A,0)),"")</f>
        <v/>
      </c>
      <c r="D1033" s="30">
        <f>IFERROR(COUNTA(INDEX(Mots!$J:$J,MATCH($A1033,Mots!$A:$A,0)):INDEX(Mots!$P:$P,MATCH($A1033,Mots!$A:$A,0))),0)</f>
        <v/>
      </c>
      <c r="E1033" s="30">
        <f>IF(COUNTIF(Classement!$A:$A,$A1033)&gt;0,"ok","à faire")</f>
        <v/>
      </c>
      <c r="F1033" s="30">
        <f>IF(COUNTIF(Tags!$A:$A,$A1033)&gt;0,"ok","à faire")</f>
        <v/>
      </c>
      <c r="G1033" s="30">
        <f>IF(COUNTIF(Phrases!$A:$A,$A1033)&gt;0,"ok","à faire")</f>
        <v/>
      </c>
      <c r="H1033" s="30">
        <f>IF(COUNTIFS(Phrases!$A:$A,$A1033,Phrases!$I:$I,"&lt;&gt;")&gt;0,"ok","à faire")</f>
        <v/>
      </c>
      <c r="I1033" s="30">
        <f>IF(COUNTIF(Synonymes!$A:$A,$A1033)&gt;0,"ok","")</f>
        <v/>
      </c>
      <c r="J1033" s="30">
        <f>COUNTIF(E1033:H1033,"à faire")</f>
        <v/>
      </c>
    </row>
    <row r="1034">
      <c r="A1034" s="30" t="inlineStr">
        <is>
          <t>comprime</t>
        </is>
      </c>
      <c r="B1034" s="30">
        <f>IFERROR(INDEX(Mots!$B:$B,MATCH($A1034,Mots!$A:$A,0)),"introuvable")</f>
        <v/>
      </c>
      <c r="C1034" s="30">
        <f>IFERROR(INDEX(Mots!$S:$S,MATCH($A1034,Mots!$A:$A,0)),"")</f>
        <v/>
      </c>
      <c r="D1034" s="30">
        <f>IFERROR(COUNTA(INDEX(Mots!$J:$J,MATCH($A1034,Mots!$A:$A,0)):INDEX(Mots!$P:$P,MATCH($A1034,Mots!$A:$A,0))),0)</f>
        <v/>
      </c>
      <c r="E1034" s="30">
        <f>IF(COUNTIF(Classement!$A:$A,$A1034)&gt;0,"ok","à faire")</f>
        <v/>
      </c>
      <c r="F1034" s="30">
        <f>IF(COUNTIF(Tags!$A:$A,$A1034)&gt;0,"ok","à faire")</f>
        <v/>
      </c>
      <c r="G1034" s="30">
        <f>IF(COUNTIF(Phrases!$A:$A,$A1034)&gt;0,"ok","à faire")</f>
        <v/>
      </c>
      <c r="H1034" s="30">
        <f>IF(COUNTIFS(Phrases!$A:$A,$A1034,Phrases!$I:$I,"&lt;&gt;")&gt;0,"ok","à faire")</f>
        <v/>
      </c>
      <c r="I1034" s="30">
        <f>IF(COUNTIF(Synonymes!$A:$A,$A1034)&gt;0,"ok","")</f>
        <v/>
      </c>
      <c r="J1034" s="30">
        <f>COUNTIF(E1034:H1034,"à faire")</f>
        <v/>
      </c>
    </row>
    <row r="1035">
      <c r="A1035" s="30" t="inlineStr">
        <is>
          <t>concours</t>
        </is>
      </c>
      <c r="B1035" s="30">
        <f>IFERROR(INDEX(Mots!$B:$B,MATCH($A1035,Mots!$A:$A,0)),"introuvable")</f>
        <v/>
      </c>
      <c r="C1035" s="30">
        <f>IFERROR(INDEX(Mots!$S:$S,MATCH($A1035,Mots!$A:$A,0)),"")</f>
        <v/>
      </c>
      <c r="D1035" s="30">
        <f>IFERROR(COUNTA(INDEX(Mots!$J:$J,MATCH($A1035,Mots!$A:$A,0)):INDEX(Mots!$P:$P,MATCH($A1035,Mots!$A:$A,0))),0)</f>
        <v/>
      </c>
      <c r="E1035" s="30">
        <f>IF(COUNTIF(Classement!$A:$A,$A1035)&gt;0,"ok","à faire")</f>
        <v/>
      </c>
      <c r="F1035" s="30">
        <f>IF(COUNTIF(Tags!$A:$A,$A1035)&gt;0,"ok","à faire")</f>
        <v/>
      </c>
      <c r="G1035" s="30">
        <f>IF(COUNTIF(Phrases!$A:$A,$A1035)&gt;0,"ok","à faire")</f>
        <v/>
      </c>
      <c r="H1035" s="30">
        <f>IF(COUNTIFS(Phrases!$A:$A,$A1035,Phrases!$I:$I,"&lt;&gt;")&gt;0,"ok","à faire")</f>
        <v/>
      </c>
      <c r="I1035" s="30">
        <f>IF(COUNTIF(Synonymes!$A:$A,$A1035)&gt;0,"ok","")</f>
        <v/>
      </c>
      <c r="J1035" s="30">
        <f>COUNTIF(E1035:H1035,"à faire")</f>
        <v/>
      </c>
    </row>
    <row r="1036">
      <c r="A1036" s="30" t="inlineStr">
        <is>
          <t>cone</t>
        </is>
      </c>
      <c r="B1036" s="30">
        <f>IFERROR(INDEX(Mots!$B:$B,MATCH($A1036,Mots!$A:$A,0)),"introuvable")</f>
        <v/>
      </c>
      <c r="C1036" s="30">
        <f>IFERROR(INDEX(Mots!$S:$S,MATCH($A1036,Mots!$A:$A,0)),"")</f>
        <v/>
      </c>
      <c r="D1036" s="30">
        <f>IFERROR(COUNTA(INDEX(Mots!$J:$J,MATCH($A1036,Mots!$A:$A,0)):INDEX(Mots!$P:$P,MATCH($A1036,Mots!$A:$A,0))),0)</f>
        <v/>
      </c>
      <c r="E1036" s="30">
        <f>IF(COUNTIF(Classement!$A:$A,$A1036)&gt;0,"ok","à faire")</f>
        <v/>
      </c>
      <c r="F1036" s="30">
        <f>IF(COUNTIF(Tags!$A:$A,$A1036)&gt;0,"ok","à faire")</f>
        <v/>
      </c>
      <c r="G1036" s="30">
        <f>IF(COUNTIF(Phrases!$A:$A,$A1036)&gt;0,"ok","à faire")</f>
        <v/>
      </c>
      <c r="H1036" s="30">
        <f>IF(COUNTIFS(Phrases!$A:$A,$A1036,Phrases!$I:$I,"&lt;&gt;")&gt;0,"ok","à faire")</f>
        <v/>
      </c>
      <c r="I1036" s="30">
        <f>IF(COUNTIF(Synonymes!$A:$A,$A1036)&gt;0,"ok","")</f>
        <v/>
      </c>
      <c r="J1036" s="30">
        <f>COUNTIF(E1036:H1036,"à faire")</f>
        <v/>
      </c>
    </row>
    <row r="1037">
      <c r="A1037" s="30" t="inlineStr">
        <is>
          <t>copain</t>
        </is>
      </c>
      <c r="B1037" s="30">
        <f>IFERROR(INDEX(Mots!$B:$B,MATCH($A1037,Mots!$A:$A,0)),"introuvable")</f>
        <v/>
      </c>
      <c r="C1037" s="30">
        <f>IFERROR(INDEX(Mots!$S:$S,MATCH($A1037,Mots!$A:$A,0)),"")</f>
        <v/>
      </c>
      <c r="D1037" s="30">
        <f>IFERROR(COUNTA(INDEX(Mots!$J:$J,MATCH($A1037,Mots!$A:$A,0)):INDEX(Mots!$P:$P,MATCH($A1037,Mots!$A:$A,0))),0)</f>
        <v/>
      </c>
      <c r="E1037" s="30">
        <f>IF(COUNTIF(Classement!$A:$A,$A1037)&gt;0,"ok","à faire")</f>
        <v/>
      </c>
      <c r="F1037" s="30">
        <f>IF(COUNTIF(Tags!$A:$A,$A1037)&gt;0,"ok","à faire")</f>
        <v/>
      </c>
      <c r="G1037" s="30">
        <f>IF(COUNTIF(Phrases!$A:$A,$A1037)&gt;0,"ok","à faire")</f>
        <v/>
      </c>
      <c r="H1037" s="30">
        <f>IF(COUNTIFS(Phrases!$A:$A,$A1037,Phrases!$I:$I,"&lt;&gt;")&gt;0,"ok","à faire")</f>
        <v/>
      </c>
      <c r="I1037" s="30">
        <f>IF(COUNTIF(Synonymes!$A:$A,$A1037)&gt;0,"ok","")</f>
        <v/>
      </c>
      <c r="J1037" s="30">
        <f>COUNTIF(E1037:H1037,"à faire")</f>
        <v/>
      </c>
    </row>
    <row r="1038">
      <c r="A1038" s="30" t="inlineStr">
        <is>
          <t>cote</t>
        </is>
      </c>
      <c r="B1038" s="30">
        <f>IFERROR(INDEX(Mots!$B:$B,MATCH($A1038,Mots!$A:$A,0)),"introuvable")</f>
        <v/>
      </c>
      <c r="C1038" s="30">
        <f>IFERROR(INDEX(Mots!$S:$S,MATCH($A1038,Mots!$A:$A,0)),"")</f>
        <v/>
      </c>
      <c r="D1038" s="30">
        <f>IFERROR(COUNTA(INDEX(Mots!$J:$J,MATCH($A1038,Mots!$A:$A,0)):INDEX(Mots!$P:$P,MATCH($A1038,Mots!$A:$A,0))),0)</f>
        <v/>
      </c>
      <c r="E1038" s="30">
        <f>IF(COUNTIF(Classement!$A:$A,$A1038)&gt;0,"ok","à faire")</f>
        <v/>
      </c>
      <c r="F1038" s="30">
        <f>IF(COUNTIF(Tags!$A:$A,$A1038)&gt;0,"ok","à faire")</f>
        <v/>
      </c>
      <c r="G1038" s="30">
        <f>IF(COUNTIF(Phrases!$A:$A,$A1038)&gt;0,"ok","à faire")</f>
        <v/>
      </c>
      <c r="H1038" s="30">
        <f>IF(COUNTIFS(Phrases!$A:$A,$A1038,Phrases!$I:$I,"&lt;&gt;")&gt;0,"ok","à faire")</f>
        <v/>
      </c>
      <c r="I1038" s="30">
        <f>IF(COUNTIF(Synonymes!$A:$A,$A1038)&gt;0,"ok","")</f>
        <v/>
      </c>
      <c r="J1038" s="30">
        <f>COUNTIF(E1038:H1038,"à faire")</f>
        <v/>
      </c>
    </row>
    <row r="1039">
      <c r="A1039" s="30" t="inlineStr">
        <is>
          <t>coup</t>
        </is>
      </c>
      <c r="B1039" s="30">
        <f>IFERROR(INDEX(Mots!$B:$B,MATCH($A1039,Mots!$A:$A,0)),"introuvable")</f>
        <v/>
      </c>
      <c r="C1039" s="30">
        <f>IFERROR(INDEX(Mots!$S:$S,MATCH($A1039,Mots!$A:$A,0)),"")</f>
        <v/>
      </c>
      <c r="D1039" s="30">
        <f>IFERROR(COUNTA(INDEX(Mots!$J:$J,MATCH($A1039,Mots!$A:$A,0)):INDEX(Mots!$P:$P,MATCH($A1039,Mots!$A:$A,0))),0)</f>
        <v/>
      </c>
      <c r="E1039" s="30">
        <f>IF(COUNTIF(Classement!$A:$A,$A1039)&gt;0,"ok","à faire")</f>
        <v/>
      </c>
      <c r="F1039" s="30">
        <f>IF(COUNTIF(Tags!$A:$A,$A1039)&gt;0,"ok","à faire")</f>
        <v/>
      </c>
      <c r="G1039" s="30">
        <f>IF(COUNTIF(Phrases!$A:$A,$A1039)&gt;0,"ok","à faire")</f>
        <v/>
      </c>
      <c r="H1039" s="30">
        <f>IF(COUNTIFS(Phrases!$A:$A,$A1039,Phrases!$I:$I,"&lt;&gt;")&gt;0,"ok","à faire")</f>
        <v/>
      </c>
      <c r="I1039" s="30">
        <f>IF(COUNTIF(Synonymes!$A:$A,$A1039)&gt;0,"ok","")</f>
        <v/>
      </c>
      <c r="J1039" s="30">
        <f>COUNTIF(E1039:H1039,"à faire")</f>
        <v/>
      </c>
    </row>
    <row r="1040">
      <c r="A1040" s="30" t="inlineStr">
        <is>
          <t>courrier</t>
        </is>
      </c>
      <c r="B1040" s="30">
        <f>IFERROR(INDEX(Mots!$B:$B,MATCH($A1040,Mots!$A:$A,0)),"introuvable")</f>
        <v/>
      </c>
      <c r="C1040" s="30">
        <f>IFERROR(INDEX(Mots!$S:$S,MATCH($A1040,Mots!$A:$A,0)),"")</f>
        <v/>
      </c>
      <c r="D1040" s="30">
        <f>IFERROR(COUNTA(INDEX(Mots!$J:$J,MATCH($A1040,Mots!$A:$A,0)):INDEX(Mots!$P:$P,MATCH($A1040,Mots!$A:$A,0))),0)</f>
        <v/>
      </c>
      <c r="E1040" s="30">
        <f>IF(COUNTIF(Classement!$A:$A,$A1040)&gt;0,"ok","à faire")</f>
        <v/>
      </c>
      <c r="F1040" s="30">
        <f>IF(COUNTIF(Tags!$A:$A,$A1040)&gt;0,"ok","à faire")</f>
        <v/>
      </c>
      <c r="G1040" s="30">
        <f>IF(COUNTIF(Phrases!$A:$A,$A1040)&gt;0,"ok","à faire")</f>
        <v/>
      </c>
      <c r="H1040" s="30">
        <f>IF(COUNTIFS(Phrases!$A:$A,$A1040,Phrases!$I:$I,"&lt;&gt;")&gt;0,"ok","à faire")</f>
        <v/>
      </c>
      <c r="I1040" s="30">
        <f>IF(COUNTIF(Synonymes!$A:$A,$A1040)&gt;0,"ok","")</f>
        <v/>
      </c>
      <c r="J1040" s="30">
        <f>COUNTIF(E1040:H1040,"à faire")</f>
        <v/>
      </c>
    </row>
    <row r="1041">
      <c r="A1041" s="30" t="inlineStr">
        <is>
          <t>cousin</t>
        </is>
      </c>
      <c r="B1041" s="30">
        <f>IFERROR(INDEX(Mots!$B:$B,MATCH($A1041,Mots!$A:$A,0)),"introuvable")</f>
        <v/>
      </c>
      <c r="C1041" s="30">
        <f>IFERROR(INDEX(Mots!$S:$S,MATCH($A1041,Mots!$A:$A,0)),"")</f>
        <v/>
      </c>
      <c r="D1041" s="30">
        <f>IFERROR(COUNTA(INDEX(Mots!$J:$J,MATCH($A1041,Mots!$A:$A,0)):INDEX(Mots!$P:$P,MATCH($A1041,Mots!$A:$A,0))),0)</f>
        <v/>
      </c>
      <c r="E1041" s="30">
        <f>IF(COUNTIF(Classement!$A:$A,$A1041)&gt;0,"ok","à faire")</f>
        <v/>
      </c>
      <c r="F1041" s="30">
        <f>IF(COUNTIF(Tags!$A:$A,$A1041)&gt;0,"ok","à faire")</f>
        <v/>
      </c>
      <c r="G1041" s="30">
        <f>IF(COUNTIF(Phrases!$A:$A,$A1041)&gt;0,"ok","à faire")</f>
        <v/>
      </c>
      <c r="H1041" s="30">
        <f>IF(COUNTIFS(Phrases!$A:$A,$A1041,Phrases!$I:$I,"&lt;&gt;")&gt;0,"ok","à faire")</f>
        <v/>
      </c>
      <c r="I1041" s="30">
        <f>IF(COUNTIF(Synonymes!$A:$A,$A1041)&gt;0,"ok","")</f>
        <v/>
      </c>
      <c r="J1041" s="30">
        <f>COUNTIF(E1041:H1041,"à faire")</f>
        <v/>
      </c>
    </row>
    <row r="1042">
      <c r="A1042" s="30" t="inlineStr">
        <is>
          <t>coussin</t>
        </is>
      </c>
      <c r="B1042" s="30">
        <f>IFERROR(INDEX(Mots!$B:$B,MATCH($A1042,Mots!$A:$A,0)),"introuvable")</f>
        <v/>
      </c>
      <c r="C1042" s="30">
        <f>IFERROR(INDEX(Mots!$S:$S,MATCH($A1042,Mots!$A:$A,0)),"")</f>
        <v/>
      </c>
      <c r="D1042" s="30">
        <f>IFERROR(COUNTA(INDEX(Mots!$J:$J,MATCH($A1042,Mots!$A:$A,0)):INDEX(Mots!$P:$P,MATCH($A1042,Mots!$A:$A,0))),0)</f>
        <v/>
      </c>
      <c r="E1042" s="30">
        <f>IF(COUNTIF(Classement!$A:$A,$A1042)&gt;0,"ok","à faire")</f>
        <v/>
      </c>
      <c r="F1042" s="30">
        <f>IF(COUNTIF(Tags!$A:$A,$A1042)&gt;0,"ok","à faire")</f>
        <v/>
      </c>
      <c r="G1042" s="30">
        <f>IF(COUNTIF(Phrases!$A:$A,$A1042)&gt;0,"ok","à faire")</f>
        <v/>
      </c>
      <c r="H1042" s="30">
        <f>IF(COUNTIFS(Phrases!$A:$A,$A1042,Phrases!$I:$I,"&lt;&gt;")&gt;0,"ok","à faire")</f>
        <v/>
      </c>
      <c r="I1042" s="30">
        <f>IF(COUNTIF(Synonymes!$A:$A,$A1042)&gt;0,"ok","")</f>
        <v/>
      </c>
      <c r="J1042" s="30">
        <f>COUNTIF(E1042:H1042,"à faire")</f>
        <v/>
      </c>
    </row>
    <row r="1043">
      <c r="A1043" s="30" t="inlineStr">
        <is>
          <t>couvercle</t>
        </is>
      </c>
      <c r="B1043" s="30">
        <f>IFERROR(INDEX(Mots!$B:$B,MATCH($A1043,Mots!$A:$A,0)),"introuvable")</f>
        <v/>
      </c>
      <c r="C1043" s="30">
        <f>IFERROR(INDEX(Mots!$S:$S,MATCH($A1043,Mots!$A:$A,0)),"")</f>
        <v/>
      </c>
      <c r="D1043" s="30">
        <f>IFERROR(COUNTA(INDEX(Mots!$J:$J,MATCH($A1043,Mots!$A:$A,0)):INDEX(Mots!$P:$P,MATCH($A1043,Mots!$A:$A,0))),0)</f>
        <v/>
      </c>
      <c r="E1043" s="30">
        <f>IF(COUNTIF(Classement!$A:$A,$A1043)&gt;0,"ok","à faire")</f>
        <v/>
      </c>
      <c r="F1043" s="30">
        <f>IF(COUNTIF(Tags!$A:$A,$A1043)&gt;0,"ok","à faire")</f>
        <v/>
      </c>
      <c r="G1043" s="30">
        <f>IF(COUNTIF(Phrases!$A:$A,$A1043)&gt;0,"ok","à faire")</f>
        <v/>
      </c>
      <c r="H1043" s="30">
        <f>IF(COUNTIFS(Phrases!$A:$A,$A1043,Phrases!$I:$I,"&lt;&gt;")&gt;0,"ok","à faire")</f>
        <v/>
      </c>
      <c r="I1043" s="30">
        <f>IF(COUNTIF(Synonymes!$A:$A,$A1043)&gt;0,"ok","")</f>
        <v/>
      </c>
      <c r="J1043" s="30">
        <f>COUNTIF(E1043:H1043,"à faire")</f>
        <v/>
      </c>
    </row>
    <row r="1044">
      <c r="A1044" s="30" t="inlineStr">
        <is>
          <t>crayon</t>
        </is>
      </c>
      <c r="B1044" s="30">
        <f>IFERROR(INDEX(Mots!$B:$B,MATCH($A1044,Mots!$A:$A,0)),"introuvable")</f>
        <v/>
      </c>
      <c r="C1044" s="30">
        <f>IFERROR(INDEX(Mots!$S:$S,MATCH($A1044,Mots!$A:$A,0)),"")</f>
        <v/>
      </c>
      <c r="D1044" s="30">
        <f>IFERROR(COUNTA(INDEX(Mots!$J:$J,MATCH($A1044,Mots!$A:$A,0)):INDEX(Mots!$P:$P,MATCH($A1044,Mots!$A:$A,0))),0)</f>
        <v/>
      </c>
      <c r="E1044" s="30">
        <f>IF(COUNTIF(Classement!$A:$A,$A1044)&gt;0,"ok","à faire")</f>
        <v/>
      </c>
      <c r="F1044" s="30">
        <f>IF(COUNTIF(Tags!$A:$A,$A1044)&gt;0,"ok","à faire")</f>
        <v/>
      </c>
      <c r="G1044" s="30">
        <f>IF(COUNTIF(Phrases!$A:$A,$A1044)&gt;0,"ok","à faire")</f>
        <v/>
      </c>
      <c r="H1044" s="30">
        <f>IF(COUNTIFS(Phrases!$A:$A,$A1044,Phrases!$I:$I,"&lt;&gt;")&gt;0,"ok","à faire")</f>
        <v/>
      </c>
      <c r="I1044" s="30">
        <f>IF(COUNTIF(Synonymes!$A:$A,$A1044)&gt;0,"ok","")</f>
        <v/>
      </c>
      <c r="J1044" s="30">
        <f>COUNTIF(E1044:H1044,"à faire")</f>
        <v/>
      </c>
    </row>
    <row r="1045">
      <c r="A1045" s="30" t="inlineStr">
        <is>
          <t>cube</t>
        </is>
      </c>
      <c r="B1045" s="30">
        <f>IFERROR(INDEX(Mots!$B:$B,MATCH($A1045,Mots!$A:$A,0)),"introuvable")</f>
        <v/>
      </c>
      <c r="C1045" s="30">
        <f>IFERROR(INDEX(Mots!$S:$S,MATCH($A1045,Mots!$A:$A,0)),"")</f>
        <v/>
      </c>
      <c r="D1045" s="30">
        <f>IFERROR(COUNTA(INDEX(Mots!$J:$J,MATCH($A1045,Mots!$A:$A,0)):INDEX(Mots!$P:$P,MATCH($A1045,Mots!$A:$A,0))),0)</f>
        <v/>
      </c>
      <c r="E1045" s="30">
        <f>IF(COUNTIF(Classement!$A:$A,$A1045)&gt;0,"ok","à faire")</f>
        <v/>
      </c>
      <c r="F1045" s="30">
        <f>IF(COUNTIF(Tags!$A:$A,$A1045)&gt;0,"ok","à faire")</f>
        <v/>
      </c>
      <c r="G1045" s="30">
        <f>IF(COUNTIF(Phrases!$A:$A,$A1045)&gt;0,"ok","à faire")</f>
        <v/>
      </c>
      <c r="H1045" s="30">
        <f>IF(COUNTIFS(Phrases!$A:$A,$A1045,Phrases!$I:$I,"&lt;&gt;")&gt;0,"ok","à faire")</f>
        <v/>
      </c>
      <c r="I1045" s="30">
        <f>IF(COUNTIF(Synonymes!$A:$A,$A1045)&gt;0,"ok","")</f>
        <v/>
      </c>
      <c r="J1045" s="30">
        <f>COUNTIF(E1045:H1045,"à faire")</f>
        <v/>
      </c>
    </row>
    <row r="1046">
      <c r="A1046" s="30" t="inlineStr">
        <is>
          <t>danger</t>
        </is>
      </c>
      <c r="B1046" s="30">
        <f>IFERROR(INDEX(Mots!$B:$B,MATCH($A1046,Mots!$A:$A,0)),"introuvable")</f>
        <v/>
      </c>
      <c r="C1046" s="30">
        <f>IFERROR(INDEX(Mots!$S:$S,MATCH($A1046,Mots!$A:$A,0)),"")</f>
        <v/>
      </c>
      <c r="D1046" s="30">
        <f>IFERROR(COUNTA(INDEX(Mots!$J:$J,MATCH($A1046,Mots!$A:$A,0)):INDEX(Mots!$P:$P,MATCH($A1046,Mots!$A:$A,0))),0)</f>
        <v/>
      </c>
      <c r="E1046" s="30">
        <f>IF(COUNTIF(Classement!$A:$A,$A1046)&gt;0,"ok","à faire")</f>
        <v/>
      </c>
      <c r="F1046" s="30">
        <f>IF(COUNTIF(Tags!$A:$A,$A1046)&gt;0,"ok","à faire")</f>
        <v/>
      </c>
      <c r="G1046" s="30">
        <f>IF(COUNTIF(Phrases!$A:$A,$A1046)&gt;0,"ok","à faire")</f>
        <v/>
      </c>
      <c r="H1046" s="30">
        <f>IF(COUNTIFS(Phrases!$A:$A,$A1046,Phrases!$I:$I,"&lt;&gt;")&gt;0,"ok","à faire")</f>
        <v/>
      </c>
      <c r="I1046" s="30">
        <f>IF(COUNTIF(Synonymes!$A:$A,$A1046)&gt;0,"ok","")</f>
        <v/>
      </c>
      <c r="J1046" s="30">
        <f>COUNTIF(E1046:H1046,"à faire")</f>
        <v/>
      </c>
    </row>
    <row r="1047">
      <c r="A1047" s="30" t="inlineStr">
        <is>
          <t>de</t>
        </is>
      </c>
      <c r="B1047" s="30">
        <f>IFERROR(INDEX(Mots!$B:$B,MATCH($A1047,Mots!$A:$A,0)),"introuvable")</f>
        <v/>
      </c>
      <c r="C1047" s="30">
        <f>IFERROR(INDEX(Mots!$S:$S,MATCH($A1047,Mots!$A:$A,0)),"")</f>
        <v/>
      </c>
      <c r="D1047" s="30">
        <f>IFERROR(COUNTA(INDEX(Mots!$J:$J,MATCH($A1047,Mots!$A:$A,0)):INDEX(Mots!$P:$P,MATCH($A1047,Mots!$A:$A,0))),0)</f>
        <v/>
      </c>
      <c r="E1047" s="30">
        <f>IF(COUNTIF(Classement!$A:$A,$A1047)&gt;0,"ok","à faire")</f>
        <v/>
      </c>
      <c r="F1047" s="30">
        <f>IF(COUNTIF(Tags!$A:$A,$A1047)&gt;0,"ok","à faire")</f>
        <v/>
      </c>
      <c r="G1047" s="30">
        <f>IF(COUNTIF(Phrases!$A:$A,$A1047)&gt;0,"ok","à faire")</f>
        <v/>
      </c>
      <c r="H1047" s="30">
        <f>IF(COUNTIFS(Phrases!$A:$A,$A1047,Phrases!$I:$I,"&lt;&gt;")&gt;0,"ok","à faire")</f>
        <v/>
      </c>
      <c r="I1047" s="30">
        <f>IF(COUNTIF(Synonymes!$A:$A,$A1047)&gt;0,"ok","")</f>
        <v/>
      </c>
      <c r="J1047" s="30">
        <f>COUNTIF(E1047:H1047,"à faire")</f>
        <v/>
      </c>
    </row>
    <row r="1048">
      <c r="A1048" s="30" t="inlineStr">
        <is>
          <t>dechet</t>
        </is>
      </c>
      <c r="B1048" s="30">
        <f>IFERROR(INDEX(Mots!$B:$B,MATCH($A1048,Mots!$A:$A,0)),"introuvable")</f>
        <v/>
      </c>
      <c r="C1048" s="30">
        <f>IFERROR(INDEX(Mots!$S:$S,MATCH($A1048,Mots!$A:$A,0)),"")</f>
        <v/>
      </c>
      <c r="D1048" s="30">
        <f>IFERROR(COUNTA(INDEX(Mots!$J:$J,MATCH($A1048,Mots!$A:$A,0)):INDEX(Mots!$P:$P,MATCH($A1048,Mots!$A:$A,0))),0)</f>
        <v/>
      </c>
      <c r="E1048" s="30">
        <f>IF(COUNTIF(Classement!$A:$A,$A1048)&gt;0,"ok","à faire")</f>
        <v/>
      </c>
      <c r="F1048" s="30">
        <f>IF(COUNTIF(Tags!$A:$A,$A1048)&gt;0,"ok","à faire")</f>
        <v/>
      </c>
      <c r="G1048" s="30">
        <f>IF(COUNTIF(Phrases!$A:$A,$A1048)&gt;0,"ok","à faire")</f>
        <v/>
      </c>
      <c r="H1048" s="30">
        <f>IF(COUNTIFS(Phrases!$A:$A,$A1048,Phrases!$I:$I,"&lt;&gt;")&gt;0,"ok","à faire")</f>
        <v/>
      </c>
      <c r="I1048" s="30">
        <f>IF(COUNTIF(Synonymes!$A:$A,$A1048)&gt;0,"ok","")</f>
        <v/>
      </c>
      <c r="J1048" s="30">
        <f>COUNTIF(E1048:H1048,"à faire")</f>
        <v/>
      </c>
    </row>
    <row r="1049">
      <c r="A1049" s="30" t="inlineStr">
        <is>
          <t>degat</t>
        </is>
      </c>
      <c r="B1049" s="30">
        <f>IFERROR(INDEX(Mots!$B:$B,MATCH($A1049,Mots!$A:$A,0)),"introuvable")</f>
        <v/>
      </c>
      <c r="C1049" s="30">
        <f>IFERROR(INDEX(Mots!$S:$S,MATCH($A1049,Mots!$A:$A,0)),"")</f>
        <v/>
      </c>
      <c r="D1049" s="30">
        <f>IFERROR(COUNTA(INDEX(Mots!$J:$J,MATCH($A1049,Mots!$A:$A,0)):INDEX(Mots!$P:$P,MATCH($A1049,Mots!$A:$A,0))),0)</f>
        <v/>
      </c>
      <c r="E1049" s="30">
        <f>IF(COUNTIF(Classement!$A:$A,$A1049)&gt;0,"ok","à faire")</f>
        <v/>
      </c>
      <c r="F1049" s="30">
        <f>IF(COUNTIF(Tags!$A:$A,$A1049)&gt;0,"ok","à faire")</f>
        <v/>
      </c>
      <c r="G1049" s="30">
        <f>IF(COUNTIF(Phrases!$A:$A,$A1049)&gt;0,"ok","à faire")</f>
        <v/>
      </c>
      <c r="H1049" s="30">
        <f>IF(COUNTIFS(Phrases!$A:$A,$A1049,Phrases!$I:$I,"&lt;&gt;")&gt;0,"ok","à faire")</f>
        <v/>
      </c>
      <c r="I1049" s="30">
        <f>IF(COUNTIF(Synonymes!$A:$A,$A1049)&gt;0,"ok","")</f>
        <v/>
      </c>
      <c r="J1049" s="30">
        <f>COUNTIF(E1049:H1049,"à faire")</f>
        <v/>
      </c>
    </row>
    <row r="1050">
      <c r="A1050" s="30" t="inlineStr">
        <is>
          <t>degre</t>
        </is>
      </c>
      <c r="B1050" s="30">
        <f>IFERROR(INDEX(Mots!$B:$B,MATCH($A1050,Mots!$A:$A,0)),"introuvable")</f>
        <v/>
      </c>
      <c r="C1050" s="30">
        <f>IFERROR(INDEX(Mots!$S:$S,MATCH($A1050,Mots!$A:$A,0)),"")</f>
        <v/>
      </c>
      <c r="D1050" s="30">
        <f>IFERROR(COUNTA(INDEX(Mots!$J:$J,MATCH($A1050,Mots!$A:$A,0)):INDEX(Mots!$P:$P,MATCH($A1050,Mots!$A:$A,0))),0)</f>
        <v/>
      </c>
      <c r="E1050" s="30">
        <f>IF(COUNTIF(Classement!$A:$A,$A1050)&gt;0,"ok","à faire")</f>
        <v/>
      </c>
      <c r="F1050" s="30">
        <f>IF(COUNTIF(Tags!$A:$A,$A1050)&gt;0,"ok","à faire")</f>
        <v/>
      </c>
      <c r="G1050" s="30">
        <f>IF(COUNTIF(Phrases!$A:$A,$A1050)&gt;0,"ok","à faire")</f>
        <v/>
      </c>
      <c r="H1050" s="30">
        <f>IF(COUNTIFS(Phrases!$A:$A,$A1050,Phrases!$I:$I,"&lt;&gt;")&gt;0,"ok","à faire")</f>
        <v/>
      </c>
      <c r="I1050" s="30">
        <f>IF(COUNTIF(Synonymes!$A:$A,$A1050)&gt;0,"ok","")</f>
        <v/>
      </c>
      <c r="J1050" s="30">
        <f>COUNTIF(E1050:H1050,"à faire")</f>
        <v/>
      </c>
    </row>
    <row r="1051">
      <c r="A1051" s="30" t="inlineStr">
        <is>
          <t>dejeuner</t>
        </is>
      </c>
      <c r="B1051" s="30">
        <f>IFERROR(INDEX(Mots!$B:$B,MATCH($A1051,Mots!$A:$A,0)),"introuvable")</f>
        <v/>
      </c>
      <c r="C1051" s="30">
        <f>IFERROR(INDEX(Mots!$S:$S,MATCH($A1051,Mots!$A:$A,0)),"")</f>
        <v/>
      </c>
      <c r="D1051" s="30">
        <f>IFERROR(COUNTA(INDEX(Mots!$J:$J,MATCH($A1051,Mots!$A:$A,0)):INDEX(Mots!$P:$P,MATCH($A1051,Mots!$A:$A,0))),0)</f>
        <v/>
      </c>
      <c r="E1051" s="30">
        <f>IF(COUNTIF(Classement!$A:$A,$A1051)&gt;0,"ok","à faire")</f>
        <v/>
      </c>
      <c r="F1051" s="30">
        <f>IF(COUNTIF(Tags!$A:$A,$A1051)&gt;0,"ok","à faire")</f>
        <v/>
      </c>
      <c r="G1051" s="30">
        <f>IF(COUNTIF(Phrases!$A:$A,$A1051)&gt;0,"ok","à faire")</f>
        <v/>
      </c>
      <c r="H1051" s="30">
        <f>IF(COUNTIFS(Phrases!$A:$A,$A1051,Phrases!$I:$I,"&lt;&gt;")&gt;0,"ok","à faire")</f>
        <v/>
      </c>
      <c r="I1051" s="30">
        <f>IF(COUNTIF(Synonymes!$A:$A,$A1051)&gt;0,"ok","")</f>
        <v/>
      </c>
      <c r="J1051" s="30">
        <f>COUNTIF(E1051:H1051,"à faire")</f>
        <v/>
      </c>
    </row>
    <row r="1052">
      <c r="A1052" s="30" t="inlineStr">
        <is>
          <t>desir</t>
        </is>
      </c>
      <c r="B1052" s="30">
        <f>IFERROR(INDEX(Mots!$B:$B,MATCH($A1052,Mots!$A:$A,0)),"introuvable")</f>
        <v/>
      </c>
      <c r="C1052" s="30">
        <f>IFERROR(INDEX(Mots!$S:$S,MATCH($A1052,Mots!$A:$A,0)),"")</f>
        <v/>
      </c>
      <c r="D1052" s="30">
        <f>IFERROR(COUNTA(INDEX(Mots!$J:$J,MATCH($A1052,Mots!$A:$A,0)):INDEX(Mots!$P:$P,MATCH($A1052,Mots!$A:$A,0))),0)</f>
        <v/>
      </c>
      <c r="E1052" s="30">
        <f>IF(COUNTIF(Classement!$A:$A,$A1052)&gt;0,"ok","à faire")</f>
        <v/>
      </c>
      <c r="F1052" s="30">
        <f>IF(COUNTIF(Tags!$A:$A,$A1052)&gt;0,"ok","à faire")</f>
        <v/>
      </c>
      <c r="G1052" s="30">
        <f>IF(COUNTIF(Phrases!$A:$A,$A1052)&gt;0,"ok","à faire")</f>
        <v/>
      </c>
      <c r="H1052" s="30">
        <f>IF(COUNTIFS(Phrases!$A:$A,$A1052,Phrases!$I:$I,"&lt;&gt;")&gt;0,"ok","à faire")</f>
        <v/>
      </c>
      <c r="I1052" s="30">
        <f>IF(COUNTIF(Synonymes!$A:$A,$A1052)&gt;0,"ok","")</f>
        <v/>
      </c>
      <c r="J1052" s="30">
        <f>COUNTIF(E1052:H1052,"à faire")</f>
        <v/>
      </c>
    </row>
    <row r="1053">
      <c r="A1053" s="30" t="inlineStr">
        <is>
          <t>dessert</t>
        </is>
      </c>
      <c r="B1053" s="30">
        <f>IFERROR(INDEX(Mots!$B:$B,MATCH($A1053,Mots!$A:$A,0)),"introuvable")</f>
        <v/>
      </c>
      <c r="C1053" s="30">
        <f>IFERROR(INDEX(Mots!$S:$S,MATCH($A1053,Mots!$A:$A,0)),"")</f>
        <v/>
      </c>
      <c r="D1053" s="30">
        <f>IFERROR(COUNTA(INDEX(Mots!$J:$J,MATCH($A1053,Mots!$A:$A,0)):INDEX(Mots!$P:$P,MATCH($A1053,Mots!$A:$A,0))),0)</f>
        <v/>
      </c>
      <c r="E1053" s="30">
        <f>IF(COUNTIF(Classement!$A:$A,$A1053)&gt;0,"ok","à faire")</f>
        <v/>
      </c>
      <c r="F1053" s="30">
        <f>IF(COUNTIF(Tags!$A:$A,$A1053)&gt;0,"ok","à faire")</f>
        <v/>
      </c>
      <c r="G1053" s="30">
        <f>IF(COUNTIF(Phrases!$A:$A,$A1053)&gt;0,"ok","à faire")</f>
        <v/>
      </c>
      <c r="H1053" s="30">
        <f>IF(COUNTIFS(Phrases!$A:$A,$A1053,Phrases!$I:$I,"&lt;&gt;")&gt;0,"ok","à faire")</f>
        <v/>
      </c>
      <c r="I1053" s="30">
        <f>IF(COUNTIF(Synonymes!$A:$A,$A1053)&gt;0,"ok","")</f>
        <v/>
      </c>
      <c r="J1053" s="30">
        <f>COUNTIF(E1053:H1053,"à faire")</f>
        <v/>
      </c>
    </row>
    <row r="1054">
      <c r="A1054" s="30" t="inlineStr">
        <is>
          <t>devoir</t>
        </is>
      </c>
      <c r="B1054" s="30">
        <f>IFERROR(INDEX(Mots!$B:$B,MATCH($A1054,Mots!$A:$A,0)),"introuvable")</f>
        <v/>
      </c>
      <c r="C1054" s="30">
        <f>IFERROR(INDEX(Mots!$S:$S,MATCH($A1054,Mots!$A:$A,0)),"")</f>
        <v/>
      </c>
      <c r="D1054" s="30">
        <f>IFERROR(COUNTA(INDEX(Mots!$J:$J,MATCH($A1054,Mots!$A:$A,0)):INDEX(Mots!$P:$P,MATCH($A1054,Mots!$A:$A,0))),0)</f>
        <v/>
      </c>
      <c r="E1054" s="30">
        <f>IF(COUNTIF(Classement!$A:$A,$A1054)&gt;0,"ok","à faire")</f>
        <v/>
      </c>
      <c r="F1054" s="30">
        <f>IF(COUNTIF(Tags!$A:$A,$A1054)&gt;0,"ok","à faire")</f>
        <v/>
      </c>
      <c r="G1054" s="30">
        <f>IF(COUNTIF(Phrases!$A:$A,$A1054)&gt;0,"ok","à faire")</f>
        <v/>
      </c>
      <c r="H1054" s="30">
        <f>IF(COUNTIFS(Phrases!$A:$A,$A1054,Phrases!$I:$I,"&lt;&gt;")&gt;0,"ok","à faire")</f>
        <v/>
      </c>
      <c r="I1054" s="30">
        <f>IF(COUNTIF(Synonymes!$A:$A,$A1054)&gt;0,"ok","")</f>
        <v/>
      </c>
      <c r="J1054" s="30">
        <f>COUNTIF(E1054:H1054,"à faire")</f>
        <v/>
      </c>
    </row>
    <row r="1055">
      <c r="A1055" s="30" t="inlineStr">
        <is>
          <t>diner</t>
        </is>
      </c>
      <c r="B1055" s="30">
        <f>IFERROR(INDEX(Mots!$B:$B,MATCH($A1055,Mots!$A:$A,0)),"introuvable")</f>
        <v/>
      </c>
      <c r="C1055" s="30">
        <f>IFERROR(INDEX(Mots!$S:$S,MATCH($A1055,Mots!$A:$A,0)),"")</f>
        <v/>
      </c>
      <c r="D1055" s="30">
        <f>IFERROR(COUNTA(INDEX(Mots!$J:$J,MATCH($A1055,Mots!$A:$A,0)):INDEX(Mots!$P:$P,MATCH($A1055,Mots!$A:$A,0))),0)</f>
        <v/>
      </c>
      <c r="E1055" s="30">
        <f>IF(COUNTIF(Classement!$A:$A,$A1055)&gt;0,"ok","à faire")</f>
        <v/>
      </c>
      <c r="F1055" s="30">
        <f>IF(COUNTIF(Tags!$A:$A,$A1055)&gt;0,"ok","à faire")</f>
        <v/>
      </c>
      <c r="G1055" s="30">
        <f>IF(COUNTIF(Phrases!$A:$A,$A1055)&gt;0,"ok","à faire")</f>
        <v/>
      </c>
      <c r="H1055" s="30">
        <f>IF(COUNTIFS(Phrases!$A:$A,$A1055,Phrases!$I:$I,"&lt;&gt;")&gt;0,"ok","à faire")</f>
        <v/>
      </c>
      <c r="I1055" s="30">
        <f>IF(COUNTIF(Synonymes!$A:$A,$A1055)&gt;0,"ok","")</f>
        <v/>
      </c>
      <c r="J1055" s="30">
        <f>COUNTIF(E1055:H1055,"à faire")</f>
        <v/>
      </c>
    </row>
    <row r="1056">
      <c r="A1056" s="30" t="inlineStr">
        <is>
          <t>disque</t>
        </is>
      </c>
      <c r="B1056" s="30">
        <f>IFERROR(INDEX(Mots!$B:$B,MATCH($A1056,Mots!$A:$A,0)),"introuvable")</f>
        <v/>
      </c>
      <c r="C1056" s="30">
        <f>IFERROR(INDEX(Mots!$S:$S,MATCH($A1056,Mots!$A:$A,0)),"")</f>
        <v/>
      </c>
      <c r="D1056" s="30">
        <f>IFERROR(COUNTA(INDEX(Mots!$J:$J,MATCH($A1056,Mots!$A:$A,0)):INDEX(Mots!$P:$P,MATCH($A1056,Mots!$A:$A,0))),0)</f>
        <v/>
      </c>
      <c r="E1056" s="30">
        <f>IF(COUNTIF(Classement!$A:$A,$A1056)&gt;0,"ok","à faire")</f>
        <v/>
      </c>
      <c r="F1056" s="30">
        <f>IF(COUNTIF(Tags!$A:$A,$A1056)&gt;0,"ok","à faire")</f>
        <v/>
      </c>
      <c r="G1056" s="30">
        <f>IF(COUNTIF(Phrases!$A:$A,$A1056)&gt;0,"ok","à faire")</f>
        <v/>
      </c>
      <c r="H1056" s="30">
        <f>IF(COUNTIFS(Phrases!$A:$A,$A1056,Phrases!$I:$I,"&lt;&gt;")&gt;0,"ok","à faire")</f>
        <v/>
      </c>
      <c r="I1056" s="30">
        <f>IF(COUNTIF(Synonymes!$A:$A,$A1056)&gt;0,"ok","")</f>
        <v/>
      </c>
      <c r="J1056" s="30">
        <f>COUNTIF(E1056:H1056,"à faire")</f>
        <v/>
      </c>
    </row>
    <row r="1057">
      <c r="A1057" s="30" t="inlineStr">
        <is>
          <t>document</t>
        </is>
      </c>
      <c r="B1057" s="30">
        <f>IFERROR(INDEX(Mots!$B:$B,MATCH($A1057,Mots!$A:$A,0)),"introuvable")</f>
        <v/>
      </c>
      <c r="C1057" s="30">
        <f>IFERROR(INDEX(Mots!$S:$S,MATCH($A1057,Mots!$A:$A,0)),"")</f>
        <v/>
      </c>
      <c r="D1057" s="30">
        <f>IFERROR(COUNTA(INDEX(Mots!$J:$J,MATCH($A1057,Mots!$A:$A,0)):INDEX(Mots!$P:$P,MATCH($A1057,Mots!$A:$A,0))),0)</f>
        <v/>
      </c>
      <c r="E1057" s="30">
        <f>IF(COUNTIF(Classement!$A:$A,$A1057)&gt;0,"ok","à faire")</f>
        <v/>
      </c>
      <c r="F1057" s="30">
        <f>IF(COUNTIF(Tags!$A:$A,$A1057)&gt;0,"ok","à faire")</f>
        <v/>
      </c>
      <c r="G1057" s="30">
        <f>IF(COUNTIF(Phrases!$A:$A,$A1057)&gt;0,"ok","à faire")</f>
        <v/>
      </c>
      <c r="H1057" s="30">
        <f>IF(COUNTIFS(Phrases!$A:$A,$A1057,Phrases!$I:$I,"&lt;&gt;")&gt;0,"ok","à faire")</f>
        <v/>
      </c>
      <c r="I1057" s="30">
        <f>IF(COUNTIF(Synonymes!$A:$A,$A1057)&gt;0,"ok","")</f>
        <v/>
      </c>
      <c r="J1057" s="30">
        <f>COUNTIF(E1057:H1057,"à faire")</f>
        <v/>
      </c>
    </row>
    <row r="1058">
      <c r="A1058" s="30" t="inlineStr">
        <is>
          <t>dommage</t>
        </is>
      </c>
      <c r="B1058" s="30">
        <f>IFERROR(INDEX(Mots!$B:$B,MATCH($A1058,Mots!$A:$A,0)),"introuvable")</f>
        <v/>
      </c>
      <c r="C1058" s="30">
        <f>IFERROR(INDEX(Mots!$S:$S,MATCH($A1058,Mots!$A:$A,0)),"")</f>
        <v/>
      </c>
      <c r="D1058" s="30">
        <f>IFERROR(COUNTA(INDEX(Mots!$J:$J,MATCH($A1058,Mots!$A:$A,0)):INDEX(Mots!$P:$P,MATCH($A1058,Mots!$A:$A,0))),0)</f>
        <v/>
      </c>
      <c r="E1058" s="30">
        <f>IF(COUNTIF(Classement!$A:$A,$A1058)&gt;0,"ok","à faire")</f>
        <v/>
      </c>
      <c r="F1058" s="30">
        <f>IF(COUNTIF(Tags!$A:$A,$A1058)&gt;0,"ok","à faire")</f>
        <v/>
      </c>
      <c r="G1058" s="30">
        <f>IF(COUNTIF(Phrases!$A:$A,$A1058)&gt;0,"ok","à faire")</f>
        <v/>
      </c>
      <c r="H1058" s="30">
        <f>IF(COUNTIFS(Phrases!$A:$A,$A1058,Phrases!$I:$I,"&lt;&gt;")&gt;0,"ok","à faire")</f>
        <v/>
      </c>
      <c r="I1058" s="30">
        <f>IF(COUNTIF(Synonymes!$A:$A,$A1058)&gt;0,"ok","")</f>
        <v/>
      </c>
      <c r="J1058" s="30">
        <f>COUNTIF(E1058:H1058,"à faire")</f>
        <v/>
      </c>
    </row>
    <row r="1059">
      <c r="A1059" s="30" t="inlineStr">
        <is>
          <t>fer</t>
        </is>
      </c>
      <c r="B1059" s="30">
        <f>IFERROR(INDEX(Mots!$B:$B,MATCH($A1059,Mots!$A:$A,0)),"introuvable")</f>
        <v/>
      </c>
      <c r="C1059" s="30">
        <f>IFERROR(INDEX(Mots!$S:$S,MATCH($A1059,Mots!$A:$A,0)),"")</f>
        <v/>
      </c>
      <c r="D1059" s="30">
        <f>IFERROR(COUNTA(INDEX(Mots!$J:$J,MATCH($A1059,Mots!$A:$A,0)):INDEX(Mots!$P:$P,MATCH($A1059,Mots!$A:$A,0))),0)</f>
        <v/>
      </c>
      <c r="E1059" s="30">
        <f>IF(COUNTIF(Classement!$A:$A,$A1059)&gt;0,"ok","à faire")</f>
        <v/>
      </c>
      <c r="F1059" s="30">
        <f>IF(COUNTIF(Tags!$A:$A,$A1059)&gt;0,"ok","à faire")</f>
        <v/>
      </c>
      <c r="G1059" s="30">
        <f>IF(COUNTIF(Phrases!$A:$A,$A1059)&gt;0,"ok","à faire")</f>
        <v/>
      </c>
      <c r="H1059" s="30">
        <f>IF(COUNTIFS(Phrases!$A:$A,$A1059,Phrases!$I:$I,"&lt;&gt;")&gt;0,"ok","à faire")</f>
        <v/>
      </c>
      <c r="I1059" s="30">
        <f>IF(COUNTIF(Synonymes!$A:$A,$A1059)&gt;0,"ok","")</f>
        <v/>
      </c>
      <c r="J1059" s="30">
        <f>COUNTIF(E1059:H1059,"à faire")</f>
        <v/>
      </c>
    </row>
    <row r="1060">
      <c r="A1060" s="30" t="inlineStr">
        <is>
          <t>fil</t>
        </is>
      </c>
      <c r="B1060" s="30">
        <f>IFERROR(INDEX(Mots!$B:$B,MATCH($A1060,Mots!$A:$A,0)),"introuvable")</f>
        <v/>
      </c>
      <c r="C1060" s="30">
        <f>IFERROR(INDEX(Mots!$S:$S,MATCH($A1060,Mots!$A:$A,0)),"")</f>
        <v/>
      </c>
      <c r="D1060" s="30">
        <f>IFERROR(COUNTA(INDEX(Mots!$J:$J,MATCH($A1060,Mots!$A:$A,0)):INDEX(Mots!$P:$P,MATCH($A1060,Mots!$A:$A,0))),0)</f>
        <v/>
      </c>
      <c r="E1060" s="30">
        <f>IF(COUNTIF(Classement!$A:$A,$A1060)&gt;0,"ok","à faire")</f>
        <v/>
      </c>
      <c r="F1060" s="30">
        <f>IF(COUNTIF(Tags!$A:$A,$A1060)&gt;0,"ok","à faire")</f>
        <v/>
      </c>
      <c r="G1060" s="30">
        <f>IF(COUNTIF(Phrases!$A:$A,$A1060)&gt;0,"ok","à faire")</f>
        <v/>
      </c>
      <c r="H1060" s="30">
        <f>IF(COUNTIFS(Phrases!$A:$A,$A1060,Phrases!$I:$I,"&lt;&gt;")&gt;0,"ok","à faire")</f>
        <v/>
      </c>
      <c r="I1060" s="30">
        <f>IF(COUNTIF(Synonymes!$A:$A,$A1060)&gt;0,"ok","")</f>
        <v/>
      </c>
      <c r="J1060" s="30">
        <f>COUNTIF(E1060:H1060,"à faire")</f>
        <v/>
      </c>
    </row>
    <row r="1061">
      <c r="A1061" s="30" t="inlineStr">
        <is>
          <t>film</t>
        </is>
      </c>
      <c r="B1061" s="30">
        <f>IFERROR(INDEX(Mots!$B:$B,MATCH($A1061,Mots!$A:$A,0)),"introuvable")</f>
        <v/>
      </c>
      <c r="C1061" s="30">
        <f>IFERROR(INDEX(Mots!$S:$S,MATCH($A1061,Mots!$A:$A,0)),"")</f>
        <v/>
      </c>
      <c r="D1061" s="30">
        <f>IFERROR(COUNTA(INDEX(Mots!$J:$J,MATCH($A1061,Mots!$A:$A,0)):INDEX(Mots!$P:$P,MATCH($A1061,Mots!$A:$A,0))),0)</f>
        <v/>
      </c>
      <c r="E1061" s="30">
        <f>IF(COUNTIF(Classement!$A:$A,$A1061)&gt;0,"ok","à faire")</f>
        <v/>
      </c>
      <c r="F1061" s="30">
        <f>IF(COUNTIF(Tags!$A:$A,$A1061)&gt;0,"ok","à faire")</f>
        <v/>
      </c>
      <c r="G1061" s="30">
        <f>IF(COUNTIF(Phrases!$A:$A,$A1061)&gt;0,"ok","à faire")</f>
        <v/>
      </c>
      <c r="H1061" s="30">
        <f>IF(COUNTIFS(Phrases!$A:$A,$A1061,Phrases!$I:$I,"&lt;&gt;")&gt;0,"ok","à faire")</f>
        <v/>
      </c>
      <c r="I1061" s="30">
        <f>IF(COUNTIF(Synonymes!$A:$A,$A1061)&gt;0,"ok","")</f>
        <v/>
      </c>
      <c r="J1061" s="30">
        <f>COUNTIF(E1061:H1061,"à faire")</f>
        <v/>
      </c>
    </row>
    <row r="1062">
      <c r="A1062" s="30" t="inlineStr">
        <is>
          <t>fond</t>
        </is>
      </c>
      <c r="B1062" s="30">
        <f>IFERROR(INDEX(Mots!$B:$B,MATCH($A1062,Mots!$A:$A,0)),"introuvable")</f>
        <v/>
      </c>
      <c r="C1062" s="30">
        <f>IFERROR(INDEX(Mots!$S:$S,MATCH($A1062,Mots!$A:$A,0)),"")</f>
        <v/>
      </c>
      <c r="D1062" s="30">
        <f>IFERROR(COUNTA(INDEX(Mots!$J:$J,MATCH($A1062,Mots!$A:$A,0)):INDEX(Mots!$P:$P,MATCH($A1062,Mots!$A:$A,0))),0)</f>
        <v/>
      </c>
      <c r="E1062" s="30">
        <f>IF(COUNTIF(Classement!$A:$A,$A1062)&gt;0,"ok","à faire")</f>
        <v/>
      </c>
      <c r="F1062" s="30">
        <f>IF(COUNTIF(Tags!$A:$A,$A1062)&gt;0,"ok","à faire")</f>
        <v/>
      </c>
      <c r="G1062" s="30">
        <f>IF(COUNTIF(Phrases!$A:$A,$A1062)&gt;0,"ok","à faire")</f>
        <v/>
      </c>
      <c r="H1062" s="30">
        <f>IF(COUNTIFS(Phrases!$A:$A,$A1062,Phrases!$I:$I,"&lt;&gt;")&gt;0,"ok","à faire")</f>
        <v/>
      </c>
      <c r="I1062" s="30">
        <f>IF(COUNTIF(Synonymes!$A:$A,$A1062)&gt;0,"ok","")</f>
        <v/>
      </c>
      <c r="J1062" s="30">
        <f>COUNTIF(E1062:H1062,"à faire")</f>
        <v/>
      </c>
    </row>
    <row r="1063">
      <c r="A1063" s="30" t="inlineStr">
        <is>
          <t>frein</t>
        </is>
      </c>
      <c r="B1063" s="30">
        <f>IFERROR(INDEX(Mots!$B:$B,MATCH($A1063,Mots!$A:$A,0)),"introuvable")</f>
        <v/>
      </c>
      <c r="C1063" s="30">
        <f>IFERROR(INDEX(Mots!$S:$S,MATCH($A1063,Mots!$A:$A,0)),"")</f>
        <v/>
      </c>
      <c r="D1063" s="30">
        <f>IFERROR(COUNTA(INDEX(Mots!$J:$J,MATCH($A1063,Mots!$A:$A,0)):INDEX(Mots!$P:$P,MATCH($A1063,Mots!$A:$A,0))),0)</f>
        <v/>
      </c>
      <c r="E1063" s="30">
        <f>IF(COUNTIF(Classement!$A:$A,$A1063)&gt;0,"ok","à faire")</f>
        <v/>
      </c>
      <c r="F1063" s="30">
        <f>IF(COUNTIF(Tags!$A:$A,$A1063)&gt;0,"ok","à faire")</f>
        <v/>
      </c>
      <c r="G1063" s="30">
        <f>IF(COUNTIF(Phrases!$A:$A,$A1063)&gt;0,"ok","à faire")</f>
        <v/>
      </c>
      <c r="H1063" s="30">
        <f>IF(COUNTIFS(Phrases!$A:$A,$A1063,Phrases!$I:$I,"&lt;&gt;")&gt;0,"ok","à faire")</f>
        <v/>
      </c>
      <c r="I1063" s="30">
        <f>IF(COUNTIF(Synonymes!$A:$A,$A1063)&gt;0,"ok","")</f>
        <v/>
      </c>
      <c r="J1063" s="30">
        <f>COUNTIF(E1063:H1063,"à faire")</f>
        <v/>
      </c>
    </row>
    <row r="1064">
      <c r="A1064" s="30" t="inlineStr">
        <is>
          <t>garcon</t>
        </is>
      </c>
      <c r="B1064" s="30">
        <f>IFERROR(INDEX(Mots!$B:$B,MATCH($A1064,Mots!$A:$A,0)),"introuvable")</f>
        <v/>
      </c>
      <c r="C1064" s="30">
        <f>IFERROR(INDEX(Mots!$S:$S,MATCH($A1064,Mots!$A:$A,0)),"")</f>
        <v/>
      </c>
      <c r="D1064" s="30">
        <f>IFERROR(COUNTA(INDEX(Mots!$J:$J,MATCH($A1064,Mots!$A:$A,0)):INDEX(Mots!$P:$P,MATCH($A1064,Mots!$A:$A,0))),0)</f>
        <v/>
      </c>
      <c r="E1064" s="30">
        <f>IF(COUNTIF(Classement!$A:$A,$A1064)&gt;0,"ok","à faire")</f>
        <v/>
      </c>
      <c r="F1064" s="30">
        <f>IF(COUNTIF(Tags!$A:$A,$A1064)&gt;0,"ok","à faire")</f>
        <v/>
      </c>
      <c r="G1064" s="30">
        <f>IF(COUNTIF(Phrases!$A:$A,$A1064)&gt;0,"ok","à faire")</f>
        <v/>
      </c>
      <c r="H1064" s="30">
        <f>IF(COUNTIFS(Phrases!$A:$A,$A1064,Phrases!$I:$I,"&lt;&gt;")&gt;0,"ok","à faire")</f>
        <v/>
      </c>
      <c r="I1064" s="30">
        <f>IF(COUNTIF(Synonymes!$A:$A,$A1064)&gt;0,"ok","")</f>
        <v/>
      </c>
      <c r="J1064" s="30">
        <f>COUNTIF(E1064:H1064,"à faire")</f>
        <v/>
      </c>
    </row>
    <row r="1065">
      <c r="A1065" s="30" t="inlineStr">
        <is>
          <t>gel</t>
        </is>
      </c>
      <c r="B1065" s="30">
        <f>IFERROR(INDEX(Mots!$B:$B,MATCH($A1065,Mots!$A:$A,0)),"introuvable")</f>
        <v/>
      </c>
      <c r="C1065" s="30">
        <f>IFERROR(INDEX(Mots!$S:$S,MATCH($A1065,Mots!$A:$A,0)),"")</f>
        <v/>
      </c>
      <c r="D1065" s="30">
        <f>IFERROR(COUNTA(INDEX(Mots!$J:$J,MATCH($A1065,Mots!$A:$A,0)):INDEX(Mots!$P:$P,MATCH($A1065,Mots!$A:$A,0))),0)</f>
        <v/>
      </c>
      <c r="E1065" s="30">
        <f>IF(COUNTIF(Classement!$A:$A,$A1065)&gt;0,"ok","à faire")</f>
        <v/>
      </c>
      <c r="F1065" s="30">
        <f>IF(COUNTIF(Tags!$A:$A,$A1065)&gt;0,"ok","à faire")</f>
        <v/>
      </c>
      <c r="G1065" s="30">
        <f>IF(COUNTIF(Phrases!$A:$A,$A1065)&gt;0,"ok","à faire")</f>
        <v/>
      </c>
      <c r="H1065" s="30">
        <f>IF(COUNTIFS(Phrases!$A:$A,$A1065,Phrases!$I:$I,"&lt;&gt;")&gt;0,"ok","à faire")</f>
        <v/>
      </c>
      <c r="I1065" s="30">
        <f>IF(COUNTIF(Synonymes!$A:$A,$A1065)&gt;0,"ok","")</f>
        <v/>
      </c>
      <c r="J1065" s="30">
        <f>COUNTIF(E1065:H1065,"à faire")</f>
        <v/>
      </c>
    </row>
    <row r="1066">
      <c r="A1066" s="30" t="inlineStr">
        <is>
          <t>geste</t>
        </is>
      </c>
      <c r="B1066" s="30">
        <f>IFERROR(INDEX(Mots!$B:$B,MATCH($A1066,Mots!$A:$A,0)),"introuvable")</f>
        <v/>
      </c>
      <c r="C1066" s="30">
        <f>IFERROR(INDEX(Mots!$S:$S,MATCH($A1066,Mots!$A:$A,0)),"")</f>
        <v/>
      </c>
      <c r="D1066" s="30">
        <f>IFERROR(COUNTA(INDEX(Mots!$J:$J,MATCH($A1066,Mots!$A:$A,0)):INDEX(Mots!$P:$P,MATCH($A1066,Mots!$A:$A,0))),0)</f>
        <v/>
      </c>
      <c r="E1066" s="30">
        <f>IF(COUNTIF(Classement!$A:$A,$A1066)&gt;0,"ok","à faire")</f>
        <v/>
      </c>
      <c r="F1066" s="30">
        <f>IF(COUNTIF(Tags!$A:$A,$A1066)&gt;0,"ok","à faire")</f>
        <v/>
      </c>
      <c r="G1066" s="30">
        <f>IF(COUNTIF(Phrases!$A:$A,$A1066)&gt;0,"ok","à faire")</f>
        <v/>
      </c>
      <c r="H1066" s="30">
        <f>IF(COUNTIFS(Phrases!$A:$A,$A1066,Phrases!$I:$I,"&lt;&gt;")&gt;0,"ok","à faire")</f>
        <v/>
      </c>
      <c r="I1066" s="30">
        <f>IF(COUNTIF(Synonymes!$A:$A,$A1066)&gt;0,"ok","")</f>
        <v/>
      </c>
      <c r="J1066" s="30">
        <f>COUNTIF(E1066:H1066,"à faire")</f>
        <v/>
      </c>
    </row>
    <row r="1067">
      <c r="A1067" s="30" t="inlineStr">
        <is>
          <t>gout</t>
        </is>
      </c>
      <c r="B1067" s="30">
        <f>IFERROR(INDEX(Mots!$B:$B,MATCH($A1067,Mots!$A:$A,0)),"introuvable")</f>
        <v/>
      </c>
      <c r="C1067" s="30">
        <f>IFERROR(INDEX(Mots!$S:$S,MATCH($A1067,Mots!$A:$A,0)),"")</f>
        <v/>
      </c>
      <c r="D1067" s="30">
        <f>IFERROR(COUNTA(INDEX(Mots!$J:$J,MATCH($A1067,Mots!$A:$A,0)):INDEX(Mots!$P:$P,MATCH($A1067,Mots!$A:$A,0))),0)</f>
        <v/>
      </c>
      <c r="E1067" s="30">
        <f>IF(COUNTIF(Classement!$A:$A,$A1067)&gt;0,"ok","à faire")</f>
        <v/>
      </c>
      <c r="F1067" s="30">
        <f>IF(COUNTIF(Tags!$A:$A,$A1067)&gt;0,"ok","à faire")</f>
        <v/>
      </c>
      <c r="G1067" s="30">
        <f>IF(COUNTIF(Phrases!$A:$A,$A1067)&gt;0,"ok","à faire")</f>
        <v/>
      </c>
      <c r="H1067" s="30">
        <f>IF(COUNTIFS(Phrases!$A:$A,$A1067,Phrases!$I:$I,"&lt;&gt;")&gt;0,"ok","à faire")</f>
        <v/>
      </c>
      <c r="I1067" s="30">
        <f>IF(COUNTIF(Synonymes!$A:$A,$A1067)&gt;0,"ok","")</f>
        <v/>
      </c>
      <c r="J1067" s="30">
        <f>COUNTIF(E1067:H1067,"à faire")</f>
        <v/>
      </c>
    </row>
    <row r="1068">
      <c r="A1068" s="30" t="inlineStr">
        <is>
          <t>grain</t>
        </is>
      </c>
      <c r="B1068" s="30">
        <f>IFERROR(INDEX(Mots!$B:$B,MATCH($A1068,Mots!$A:$A,0)),"introuvable")</f>
        <v/>
      </c>
      <c r="C1068" s="30">
        <f>IFERROR(INDEX(Mots!$S:$S,MATCH($A1068,Mots!$A:$A,0)),"")</f>
        <v/>
      </c>
      <c r="D1068" s="30">
        <f>IFERROR(COUNTA(INDEX(Mots!$J:$J,MATCH($A1068,Mots!$A:$A,0)):INDEX(Mots!$P:$P,MATCH($A1068,Mots!$A:$A,0))),0)</f>
        <v/>
      </c>
      <c r="E1068" s="30">
        <f>IF(COUNTIF(Classement!$A:$A,$A1068)&gt;0,"ok","à faire")</f>
        <v/>
      </c>
      <c r="F1068" s="30">
        <f>IF(COUNTIF(Tags!$A:$A,$A1068)&gt;0,"ok","à faire")</f>
        <v/>
      </c>
      <c r="G1068" s="30">
        <f>IF(COUNTIF(Phrases!$A:$A,$A1068)&gt;0,"ok","à faire")</f>
        <v/>
      </c>
      <c r="H1068" s="30">
        <f>IF(COUNTIFS(Phrases!$A:$A,$A1068,Phrases!$I:$I,"&lt;&gt;")&gt;0,"ok","à faire")</f>
        <v/>
      </c>
      <c r="I1068" s="30">
        <f>IF(COUNTIF(Synonymes!$A:$A,$A1068)&gt;0,"ok","")</f>
        <v/>
      </c>
      <c r="J1068" s="30">
        <f>COUNTIF(E1068:H1068,"à faire")</f>
        <v/>
      </c>
    </row>
    <row r="1069">
      <c r="A1069" s="30" t="inlineStr">
        <is>
          <t>groupe</t>
        </is>
      </c>
      <c r="B1069" s="30">
        <f>IFERROR(INDEX(Mots!$B:$B,MATCH($A1069,Mots!$A:$A,0)),"introuvable")</f>
        <v/>
      </c>
      <c r="C1069" s="30">
        <f>IFERROR(INDEX(Mots!$S:$S,MATCH($A1069,Mots!$A:$A,0)),"")</f>
        <v/>
      </c>
      <c r="D1069" s="30">
        <f>IFERROR(COUNTA(INDEX(Mots!$J:$J,MATCH($A1069,Mots!$A:$A,0)):INDEX(Mots!$P:$P,MATCH($A1069,Mots!$A:$A,0))),0)</f>
        <v/>
      </c>
      <c r="E1069" s="30">
        <f>IF(COUNTIF(Classement!$A:$A,$A1069)&gt;0,"ok","à faire")</f>
        <v/>
      </c>
      <c r="F1069" s="30">
        <f>IF(COUNTIF(Tags!$A:$A,$A1069)&gt;0,"ok","à faire")</f>
        <v/>
      </c>
      <c r="G1069" s="30">
        <f>IF(COUNTIF(Phrases!$A:$A,$A1069)&gt;0,"ok","à faire")</f>
        <v/>
      </c>
      <c r="H1069" s="30">
        <f>IF(COUNTIFS(Phrases!$A:$A,$A1069,Phrases!$I:$I,"&lt;&gt;")&gt;0,"ok","à faire")</f>
        <v/>
      </c>
      <c r="I1069" s="30">
        <f>IF(COUNTIF(Synonymes!$A:$A,$A1069)&gt;0,"ok","")</f>
        <v/>
      </c>
      <c r="J1069" s="30">
        <f>COUNTIF(E1069:H1069,"à faire")</f>
        <v/>
      </c>
    </row>
    <row r="1070">
      <c r="A1070" s="30" t="inlineStr">
        <is>
          <t>hasard</t>
        </is>
      </c>
      <c r="B1070" s="30">
        <f>IFERROR(INDEX(Mots!$B:$B,MATCH($A1070,Mots!$A:$A,0)),"introuvable")</f>
        <v/>
      </c>
      <c r="C1070" s="30">
        <f>IFERROR(INDEX(Mots!$S:$S,MATCH($A1070,Mots!$A:$A,0)),"")</f>
        <v/>
      </c>
      <c r="D1070" s="30">
        <f>IFERROR(COUNTA(INDEX(Mots!$J:$J,MATCH($A1070,Mots!$A:$A,0)):INDEX(Mots!$P:$P,MATCH($A1070,Mots!$A:$A,0))),0)</f>
        <v/>
      </c>
      <c r="E1070" s="30">
        <f>IF(COUNTIF(Classement!$A:$A,$A1070)&gt;0,"ok","à faire")</f>
        <v/>
      </c>
      <c r="F1070" s="30">
        <f>IF(COUNTIF(Tags!$A:$A,$A1070)&gt;0,"ok","à faire")</f>
        <v/>
      </c>
      <c r="G1070" s="30">
        <f>IF(COUNTIF(Phrases!$A:$A,$A1070)&gt;0,"ok","à faire")</f>
        <v/>
      </c>
      <c r="H1070" s="30">
        <f>IF(COUNTIFS(Phrases!$A:$A,$A1070,Phrases!$I:$I,"&lt;&gt;")&gt;0,"ok","à faire")</f>
        <v/>
      </c>
      <c r="I1070" s="30">
        <f>IF(COUNTIF(Synonymes!$A:$A,$A1070)&gt;0,"ok","")</f>
        <v/>
      </c>
      <c r="J1070" s="30">
        <f>COUNTIF(E1070:H1070,"à faire")</f>
        <v/>
      </c>
    </row>
    <row r="1071">
      <c r="A1071" s="30" t="inlineStr">
        <is>
          <t>hobby</t>
        </is>
      </c>
      <c r="B1071" s="30">
        <f>IFERROR(INDEX(Mots!$B:$B,MATCH($A1071,Mots!$A:$A,0)),"introuvable")</f>
        <v/>
      </c>
      <c r="C1071" s="30">
        <f>IFERROR(INDEX(Mots!$S:$S,MATCH($A1071,Mots!$A:$A,0)),"")</f>
        <v/>
      </c>
      <c r="D1071" s="30">
        <f>IFERROR(COUNTA(INDEX(Mots!$J:$J,MATCH($A1071,Mots!$A:$A,0)):INDEX(Mots!$P:$P,MATCH($A1071,Mots!$A:$A,0))),0)</f>
        <v/>
      </c>
      <c r="E1071" s="30">
        <f>IF(COUNTIF(Classement!$A:$A,$A1071)&gt;0,"ok","à faire")</f>
        <v/>
      </c>
      <c r="F1071" s="30">
        <f>IF(COUNTIF(Tags!$A:$A,$A1071)&gt;0,"ok","à faire")</f>
        <v/>
      </c>
      <c r="G1071" s="30">
        <f>IF(COUNTIF(Phrases!$A:$A,$A1071)&gt;0,"ok","à faire")</f>
        <v/>
      </c>
      <c r="H1071" s="30">
        <f>IF(COUNTIFS(Phrases!$A:$A,$A1071,Phrases!$I:$I,"&lt;&gt;")&gt;0,"ok","à faire")</f>
        <v/>
      </c>
      <c r="I1071" s="30">
        <f>IF(COUNTIF(Synonymes!$A:$A,$A1071)&gt;0,"ok","")</f>
        <v/>
      </c>
      <c r="J1071" s="30">
        <f>COUNTIF(E1071:H1071,"à faire")</f>
        <v/>
      </c>
    </row>
    <row r="1072">
      <c r="A1072" s="30" t="inlineStr">
        <is>
          <t>jardin</t>
        </is>
      </c>
      <c r="B1072" s="30">
        <f>IFERROR(INDEX(Mots!$B:$B,MATCH($A1072,Mots!$A:$A,0)),"introuvable")</f>
        <v/>
      </c>
      <c r="C1072" s="30">
        <f>IFERROR(INDEX(Mots!$S:$S,MATCH($A1072,Mots!$A:$A,0)),"")</f>
        <v/>
      </c>
      <c r="D1072" s="30">
        <f>IFERROR(COUNTA(INDEX(Mots!$J:$J,MATCH($A1072,Mots!$A:$A,0)):INDEX(Mots!$P:$P,MATCH($A1072,Mots!$A:$A,0))),0)</f>
        <v/>
      </c>
      <c r="E1072" s="30">
        <f>IF(COUNTIF(Classement!$A:$A,$A1072)&gt;0,"ok","à faire")</f>
        <v/>
      </c>
      <c r="F1072" s="30">
        <f>IF(COUNTIF(Tags!$A:$A,$A1072)&gt;0,"ok","à faire")</f>
        <v/>
      </c>
      <c r="G1072" s="30">
        <f>IF(COUNTIF(Phrases!$A:$A,$A1072)&gt;0,"ok","à faire")</f>
        <v/>
      </c>
      <c r="H1072" s="30">
        <f>IF(COUNTIFS(Phrases!$A:$A,$A1072,Phrases!$I:$I,"&lt;&gt;")&gt;0,"ok","à faire")</f>
        <v/>
      </c>
      <c r="I1072" s="30">
        <f>IF(COUNTIF(Synonymes!$A:$A,$A1072)&gt;0,"ok","")</f>
        <v/>
      </c>
      <c r="J1072" s="30">
        <f>COUNTIF(E1072:H1072,"à faire")</f>
        <v/>
      </c>
    </row>
    <row r="1073">
      <c r="A1073" s="30" t="inlineStr">
        <is>
          <t>jardinage</t>
        </is>
      </c>
      <c r="B1073" s="30">
        <f>IFERROR(INDEX(Mots!$B:$B,MATCH($A1073,Mots!$A:$A,0)),"introuvable")</f>
        <v/>
      </c>
      <c r="C1073" s="30">
        <f>IFERROR(INDEX(Mots!$S:$S,MATCH($A1073,Mots!$A:$A,0)),"")</f>
        <v/>
      </c>
      <c r="D1073" s="30">
        <f>IFERROR(COUNTA(INDEX(Mots!$J:$J,MATCH($A1073,Mots!$A:$A,0)):INDEX(Mots!$P:$P,MATCH($A1073,Mots!$A:$A,0))),0)</f>
        <v/>
      </c>
      <c r="E1073" s="30">
        <f>IF(COUNTIF(Classement!$A:$A,$A1073)&gt;0,"ok","à faire")</f>
        <v/>
      </c>
      <c r="F1073" s="30">
        <f>IF(COUNTIF(Tags!$A:$A,$A1073)&gt;0,"ok","à faire")</f>
        <v/>
      </c>
      <c r="G1073" s="30">
        <f>IF(COUNTIF(Phrases!$A:$A,$A1073)&gt;0,"ok","à faire")</f>
        <v/>
      </c>
      <c r="H1073" s="30">
        <f>IF(COUNTIFS(Phrases!$A:$A,$A1073,Phrases!$I:$I,"&lt;&gt;")&gt;0,"ok","à faire")</f>
        <v/>
      </c>
      <c r="I1073" s="30">
        <f>IF(COUNTIF(Synonymes!$A:$A,$A1073)&gt;0,"ok","")</f>
        <v/>
      </c>
      <c r="J1073" s="30">
        <f>COUNTIF(E1073:H1073,"à faire")</f>
        <v/>
      </c>
    </row>
    <row r="1074">
      <c r="A1074" s="30" t="inlineStr">
        <is>
          <t>jeu</t>
        </is>
      </c>
      <c r="B1074" s="30">
        <f>IFERROR(INDEX(Mots!$B:$B,MATCH($A1074,Mots!$A:$A,0)),"introuvable")</f>
        <v/>
      </c>
      <c r="C1074" s="30">
        <f>IFERROR(INDEX(Mots!$S:$S,MATCH($A1074,Mots!$A:$A,0)),"")</f>
        <v/>
      </c>
      <c r="D1074" s="30">
        <f>IFERROR(COUNTA(INDEX(Mots!$J:$J,MATCH($A1074,Mots!$A:$A,0)):INDEX(Mots!$P:$P,MATCH($A1074,Mots!$A:$A,0))),0)</f>
        <v/>
      </c>
      <c r="E1074" s="30">
        <f>IF(COUNTIF(Classement!$A:$A,$A1074)&gt;0,"ok","à faire")</f>
        <v/>
      </c>
      <c r="F1074" s="30">
        <f>IF(COUNTIF(Tags!$A:$A,$A1074)&gt;0,"ok","à faire")</f>
        <v/>
      </c>
      <c r="G1074" s="30">
        <f>IF(COUNTIF(Phrases!$A:$A,$A1074)&gt;0,"ok","à faire")</f>
        <v/>
      </c>
      <c r="H1074" s="30">
        <f>IF(COUNTIFS(Phrases!$A:$A,$A1074,Phrases!$I:$I,"&lt;&gt;")&gt;0,"ok","à faire")</f>
        <v/>
      </c>
      <c r="I1074" s="30">
        <f>IF(COUNTIF(Synonymes!$A:$A,$A1074)&gt;0,"ok","")</f>
        <v/>
      </c>
      <c r="J1074" s="30">
        <f>COUNTIF(E1074:H1074,"à faire")</f>
        <v/>
      </c>
    </row>
    <row r="1075">
      <c r="A1075" s="30" t="inlineStr">
        <is>
          <t>jouet</t>
        </is>
      </c>
      <c r="B1075" s="30">
        <f>IFERROR(INDEX(Mots!$B:$B,MATCH($A1075,Mots!$A:$A,0)),"introuvable")</f>
        <v/>
      </c>
      <c r="C1075" s="30">
        <f>IFERROR(INDEX(Mots!$S:$S,MATCH($A1075,Mots!$A:$A,0)),"")</f>
        <v/>
      </c>
      <c r="D1075" s="30">
        <f>IFERROR(COUNTA(INDEX(Mots!$J:$J,MATCH($A1075,Mots!$A:$A,0)):INDEX(Mots!$P:$P,MATCH($A1075,Mots!$A:$A,0))),0)</f>
        <v/>
      </c>
      <c r="E1075" s="30">
        <f>IF(COUNTIF(Classement!$A:$A,$A1075)&gt;0,"ok","à faire")</f>
        <v/>
      </c>
      <c r="F1075" s="30">
        <f>IF(COUNTIF(Tags!$A:$A,$A1075)&gt;0,"ok","à faire")</f>
        <v/>
      </c>
      <c r="G1075" s="30">
        <f>IF(COUNTIF(Phrases!$A:$A,$A1075)&gt;0,"ok","à faire")</f>
        <v/>
      </c>
      <c r="H1075" s="30">
        <f>IF(COUNTIFS(Phrases!$A:$A,$A1075,Phrases!$I:$I,"&lt;&gt;")&gt;0,"ok","à faire")</f>
        <v/>
      </c>
      <c r="I1075" s="30">
        <f>IF(COUNTIF(Synonymes!$A:$A,$A1075)&gt;0,"ok","")</f>
        <v/>
      </c>
      <c r="J1075" s="30">
        <f>COUNTIF(E1075:H1075,"à faire")</f>
        <v/>
      </c>
    </row>
    <row r="1076">
      <c r="A1076" s="30" t="inlineStr">
        <is>
          <t>jus</t>
        </is>
      </c>
      <c r="B1076" s="30">
        <f>IFERROR(INDEX(Mots!$B:$B,MATCH($A1076,Mots!$A:$A,0)),"introuvable")</f>
        <v/>
      </c>
      <c r="C1076" s="30">
        <f>IFERROR(INDEX(Mots!$S:$S,MATCH($A1076,Mots!$A:$A,0)),"")</f>
        <v/>
      </c>
      <c r="D1076" s="30">
        <f>IFERROR(COUNTA(INDEX(Mots!$J:$J,MATCH($A1076,Mots!$A:$A,0)):INDEX(Mots!$P:$P,MATCH($A1076,Mots!$A:$A,0))),0)</f>
        <v/>
      </c>
      <c r="E1076" s="30">
        <f>IF(COUNTIF(Classement!$A:$A,$A1076)&gt;0,"ok","à faire")</f>
        <v/>
      </c>
      <c r="F1076" s="30">
        <f>IF(COUNTIF(Tags!$A:$A,$A1076)&gt;0,"ok","à faire")</f>
        <v/>
      </c>
      <c r="G1076" s="30">
        <f>IF(COUNTIF(Phrases!$A:$A,$A1076)&gt;0,"ok","à faire")</f>
        <v/>
      </c>
      <c r="H1076" s="30">
        <f>IF(COUNTIFS(Phrases!$A:$A,$A1076,Phrases!$I:$I,"&lt;&gt;")&gt;0,"ok","à faire")</f>
        <v/>
      </c>
      <c r="I1076" s="30">
        <f>IF(COUNTIF(Synonymes!$A:$A,$A1076)&gt;0,"ok","")</f>
        <v/>
      </c>
      <c r="J1076" s="30">
        <f>COUNTIF(E1076:H1076,"à faire")</f>
        <v/>
      </c>
    </row>
    <row r="1077">
      <c r="A1077" s="30" t="inlineStr">
        <is>
          <t>lac</t>
        </is>
      </c>
      <c r="B1077" s="30">
        <f>IFERROR(INDEX(Mots!$B:$B,MATCH($A1077,Mots!$A:$A,0)),"introuvable")</f>
        <v/>
      </c>
      <c r="C1077" s="30">
        <f>IFERROR(INDEX(Mots!$S:$S,MATCH($A1077,Mots!$A:$A,0)),"")</f>
        <v/>
      </c>
      <c r="D1077" s="30">
        <f>IFERROR(COUNTA(INDEX(Mots!$J:$J,MATCH($A1077,Mots!$A:$A,0)):INDEX(Mots!$P:$P,MATCH($A1077,Mots!$A:$A,0))),0)</f>
        <v/>
      </c>
      <c r="E1077" s="30">
        <f>IF(COUNTIF(Classement!$A:$A,$A1077)&gt;0,"ok","à faire")</f>
        <v/>
      </c>
      <c r="F1077" s="30">
        <f>IF(COUNTIF(Tags!$A:$A,$A1077)&gt;0,"ok","à faire")</f>
        <v/>
      </c>
      <c r="G1077" s="30">
        <f>IF(COUNTIF(Phrases!$A:$A,$A1077)&gt;0,"ok","à faire")</f>
        <v/>
      </c>
      <c r="H1077" s="30">
        <f>IF(COUNTIFS(Phrases!$A:$A,$A1077,Phrases!$I:$I,"&lt;&gt;")&gt;0,"ok","à faire")</f>
        <v/>
      </c>
      <c r="I1077" s="30">
        <f>IF(COUNTIF(Synonymes!$A:$A,$A1077)&gt;0,"ok","")</f>
        <v/>
      </c>
      <c r="J1077" s="30">
        <f>COUNTIF(E1077:H1077,"à faire")</f>
        <v/>
      </c>
    </row>
    <row r="1078">
      <c r="A1078" s="30" t="inlineStr">
        <is>
          <t>produits_laitiers</t>
        </is>
      </c>
      <c r="B1078" s="30">
        <f>IFERROR(INDEX(Mots!$B:$B,MATCH($A1078,Mots!$A:$A,0)),"introuvable")</f>
        <v/>
      </c>
      <c r="C1078" s="30">
        <f>IFERROR(INDEX(Mots!$S:$S,MATCH($A1078,Mots!$A:$A,0)),"")</f>
        <v/>
      </c>
      <c r="D1078" s="30">
        <f>IFERROR(COUNTA(INDEX(Mots!$J:$J,MATCH($A1078,Mots!$A:$A,0)):INDEX(Mots!$P:$P,MATCH($A1078,Mots!$A:$A,0))),0)</f>
        <v/>
      </c>
      <c r="E1078" s="30">
        <f>IF(COUNTIF(Classement!$A:$A,$A1078)&gt;0,"ok","à faire")</f>
        <v/>
      </c>
      <c r="F1078" s="30">
        <f>IF(COUNTIF(Tags!$A:$A,$A1078)&gt;0,"ok","à faire")</f>
        <v/>
      </c>
      <c r="G1078" s="30">
        <f>IF(COUNTIF(Phrases!$A:$A,$A1078)&gt;0,"ok","à faire")</f>
        <v/>
      </c>
      <c r="H1078" s="30">
        <f>IF(COUNTIFS(Phrases!$A:$A,$A1078,Phrases!$I:$I,"&lt;&gt;")&gt;0,"ok","à faire")</f>
        <v/>
      </c>
      <c r="I1078" s="30">
        <f>IF(COUNTIF(Synonymes!$A:$A,$A1078)&gt;0,"ok","")</f>
        <v/>
      </c>
      <c r="J1078" s="30">
        <f>COUNTIF(E1078:H1078,"à faire")</f>
        <v/>
      </c>
    </row>
    <row r="1079">
      <c r="A1079" s="30" t="inlineStr">
        <is>
          <t>lien</t>
        </is>
      </c>
      <c r="B1079" s="30">
        <f>IFERROR(INDEX(Mots!$B:$B,MATCH($A1079,Mots!$A:$A,0)),"introuvable")</f>
        <v/>
      </c>
      <c r="C1079" s="30">
        <f>IFERROR(INDEX(Mots!$S:$S,MATCH($A1079,Mots!$A:$A,0)),"")</f>
        <v/>
      </c>
      <c r="D1079" s="30">
        <f>IFERROR(COUNTA(INDEX(Mots!$J:$J,MATCH($A1079,Mots!$A:$A,0)):INDEX(Mots!$P:$P,MATCH($A1079,Mots!$A:$A,0))),0)</f>
        <v/>
      </c>
      <c r="E1079" s="30">
        <f>IF(COUNTIF(Classement!$A:$A,$A1079)&gt;0,"ok","à faire")</f>
        <v/>
      </c>
      <c r="F1079" s="30">
        <f>IF(COUNTIF(Tags!$A:$A,$A1079)&gt;0,"ok","à faire")</f>
        <v/>
      </c>
      <c r="G1079" s="30">
        <f>IF(COUNTIF(Phrases!$A:$A,$A1079)&gt;0,"ok","à faire")</f>
        <v/>
      </c>
      <c r="H1079" s="30">
        <f>IF(COUNTIFS(Phrases!$A:$A,$A1079,Phrases!$I:$I,"&lt;&gt;")&gt;0,"ok","à faire")</f>
        <v/>
      </c>
      <c r="I1079" s="30">
        <f>IF(COUNTIF(Synonymes!$A:$A,$A1079)&gt;0,"ok","")</f>
        <v/>
      </c>
      <c r="J1079" s="30">
        <f>COUNTIF(E1079:H1079,"à faire")</f>
        <v/>
      </c>
    </row>
    <row r="1080">
      <c r="A1080" s="30" t="inlineStr">
        <is>
          <t>liquide</t>
        </is>
      </c>
      <c r="B1080" s="30">
        <f>IFERROR(INDEX(Mots!$B:$B,MATCH($A1080,Mots!$A:$A,0)),"introuvable")</f>
        <v/>
      </c>
      <c r="C1080" s="30">
        <f>IFERROR(INDEX(Mots!$S:$S,MATCH($A1080,Mots!$A:$A,0)),"")</f>
        <v/>
      </c>
      <c r="D1080" s="30">
        <f>IFERROR(COUNTA(INDEX(Mots!$J:$J,MATCH($A1080,Mots!$A:$A,0)):INDEX(Mots!$P:$P,MATCH($A1080,Mots!$A:$A,0))),0)</f>
        <v/>
      </c>
      <c r="E1080" s="30">
        <f>IF(COUNTIF(Classement!$A:$A,$A1080)&gt;0,"ok","à faire")</f>
        <v/>
      </c>
      <c r="F1080" s="30">
        <f>IF(COUNTIF(Tags!$A:$A,$A1080)&gt;0,"ok","à faire")</f>
        <v/>
      </c>
      <c r="G1080" s="30">
        <f>IF(COUNTIF(Phrases!$A:$A,$A1080)&gt;0,"ok","à faire")</f>
        <v/>
      </c>
      <c r="H1080" s="30">
        <f>IF(COUNTIFS(Phrases!$A:$A,$A1080,Phrases!$I:$I,"&lt;&gt;")&gt;0,"ok","à faire")</f>
        <v/>
      </c>
      <c r="I1080" s="30">
        <f>IF(COUNTIF(Synonymes!$A:$A,$A1080)&gt;0,"ok","")</f>
        <v/>
      </c>
      <c r="J1080" s="30">
        <f>COUNTIF(E1080:H1080,"à faire")</f>
        <v/>
      </c>
    </row>
    <row r="1081">
      <c r="A1081" s="30" t="inlineStr">
        <is>
          <t>livre</t>
        </is>
      </c>
      <c r="B1081" s="30">
        <f>IFERROR(INDEX(Mots!$B:$B,MATCH($A1081,Mots!$A:$A,0)),"introuvable")</f>
        <v/>
      </c>
      <c r="C1081" s="30">
        <f>IFERROR(INDEX(Mots!$S:$S,MATCH($A1081,Mots!$A:$A,0)),"")</f>
        <v/>
      </c>
      <c r="D1081" s="30">
        <f>IFERROR(COUNTA(INDEX(Mots!$J:$J,MATCH($A1081,Mots!$A:$A,0)):INDEX(Mots!$P:$P,MATCH($A1081,Mots!$A:$A,0))),0)</f>
        <v/>
      </c>
      <c r="E1081" s="30">
        <f>IF(COUNTIF(Classement!$A:$A,$A1081)&gt;0,"ok","à faire")</f>
        <v/>
      </c>
      <c r="F1081" s="30">
        <f>IF(COUNTIF(Tags!$A:$A,$A1081)&gt;0,"ok","à faire")</f>
        <v/>
      </c>
      <c r="G1081" s="30">
        <f>IF(COUNTIF(Phrases!$A:$A,$A1081)&gt;0,"ok","à faire")</f>
        <v/>
      </c>
      <c r="H1081" s="30">
        <f>IF(COUNTIFS(Phrases!$A:$A,$A1081,Phrases!$I:$I,"&lt;&gt;")&gt;0,"ok","à faire")</f>
        <v/>
      </c>
      <c r="I1081" s="30">
        <f>IF(COUNTIF(Synonymes!$A:$A,$A1081)&gt;0,"ok","")</f>
        <v/>
      </c>
      <c r="J1081" s="30">
        <f>COUNTIF(E1081:H1081,"à faire")</f>
        <v/>
      </c>
    </row>
    <row r="1082">
      <c r="A1082" s="30" t="inlineStr">
        <is>
          <t>logement</t>
        </is>
      </c>
      <c r="B1082" s="30">
        <f>IFERROR(INDEX(Mots!$B:$B,MATCH($A1082,Mots!$A:$A,0)),"introuvable")</f>
        <v/>
      </c>
      <c r="C1082" s="30">
        <f>IFERROR(INDEX(Mots!$S:$S,MATCH($A1082,Mots!$A:$A,0)),"")</f>
        <v/>
      </c>
      <c r="D1082" s="30">
        <f>IFERROR(COUNTA(INDEX(Mots!$J:$J,MATCH($A1082,Mots!$A:$A,0)):INDEX(Mots!$P:$P,MATCH($A1082,Mots!$A:$A,0))),0)</f>
        <v/>
      </c>
      <c r="E1082" s="30">
        <f>IF(COUNTIF(Classement!$A:$A,$A1082)&gt;0,"ok","à faire")</f>
        <v/>
      </c>
      <c r="F1082" s="30">
        <f>IF(COUNTIF(Tags!$A:$A,$A1082)&gt;0,"ok","à faire")</f>
        <v/>
      </c>
      <c r="G1082" s="30">
        <f>IF(COUNTIF(Phrases!$A:$A,$A1082)&gt;0,"ok","à faire")</f>
        <v/>
      </c>
      <c r="H1082" s="30">
        <f>IF(COUNTIFS(Phrases!$A:$A,$A1082,Phrases!$I:$I,"&lt;&gt;")&gt;0,"ok","à faire")</f>
        <v/>
      </c>
      <c r="I1082" s="30">
        <f>IF(COUNTIF(Synonymes!$A:$A,$A1082)&gt;0,"ok","")</f>
        <v/>
      </c>
      <c r="J1082" s="30">
        <f>COUNTIF(E1082:H1082,"à faire")</f>
        <v/>
      </c>
    </row>
    <row r="1083">
      <c r="A1083" s="30" t="inlineStr">
        <is>
          <t>maitre</t>
        </is>
      </c>
      <c r="B1083" s="30">
        <f>IFERROR(INDEX(Mots!$B:$B,MATCH($A1083,Mots!$A:$A,0)),"introuvable")</f>
        <v/>
      </c>
      <c r="C1083" s="30">
        <f>IFERROR(INDEX(Mots!$S:$S,MATCH($A1083,Mots!$A:$A,0)),"")</f>
        <v/>
      </c>
      <c r="D1083" s="30">
        <f>IFERROR(COUNTA(INDEX(Mots!$J:$J,MATCH($A1083,Mots!$A:$A,0)):INDEX(Mots!$P:$P,MATCH($A1083,Mots!$A:$A,0))),0)</f>
        <v/>
      </c>
      <c r="E1083" s="30">
        <f>IF(COUNTIF(Classement!$A:$A,$A1083)&gt;0,"ok","à faire")</f>
        <v/>
      </c>
      <c r="F1083" s="30">
        <f>IF(COUNTIF(Tags!$A:$A,$A1083)&gt;0,"ok","à faire")</f>
        <v/>
      </c>
      <c r="G1083" s="30">
        <f>IF(COUNTIF(Phrases!$A:$A,$A1083)&gt;0,"ok","à faire")</f>
        <v/>
      </c>
      <c r="H1083" s="30">
        <f>IF(COUNTIFS(Phrases!$A:$A,$A1083,Phrases!$I:$I,"&lt;&gt;")&gt;0,"ok","à faire")</f>
        <v/>
      </c>
      <c r="I1083" s="30">
        <f>IF(COUNTIF(Synonymes!$A:$A,$A1083)&gt;0,"ok","")</f>
        <v/>
      </c>
      <c r="J1083" s="30">
        <f>COUNTIF(E1083:H1083,"à faire")</f>
        <v/>
      </c>
    </row>
    <row r="1084">
      <c r="A1084" s="30" t="inlineStr">
        <is>
          <t>manteau</t>
        </is>
      </c>
      <c r="B1084" s="30">
        <f>IFERROR(INDEX(Mots!$B:$B,MATCH($A1084,Mots!$A:$A,0)),"introuvable")</f>
        <v/>
      </c>
      <c r="C1084" s="30">
        <f>IFERROR(INDEX(Mots!$S:$S,MATCH($A1084,Mots!$A:$A,0)),"")</f>
        <v/>
      </c>
      <c r="D1084" s="30">
        <f>IFERROR(COUNTA(INDEX(Mots!$J:$J,MATCH($A1084,Mots!$A:$A,0)):INDEX(Mots!$P:$P,MATCH($A1084,Mots!$A:$A,0))),0)</f>
        <v/>
      </c>
      <c r="E1084" s="30">
        <f>IF(COUNTIF(Classement!$A:$A,$A1084)&gt;0,"ok","à faire")</f>
        <v/>
      </c>
      <c r="F1084" s="30">
        <f>IF(COUNTIF(Tags!$A:$A,$A1084)&gt;0,"ok","à faire")</f>
        <v/>
      </c>
      <c r="G1084" s="30">
        <f>IF(COUNTIF(Phrases!$A:$A,$A1084)&gt;0,"ok","à faire")</f>
        <v/>
      </c>
      <c r="H1084" s="30">
        <f>IF(COUNTIFS(Phrases!$A:$A,$A1084,Phrases!$I:$I,"&lt;&gt;")&gt;0,"ok","à faire")</f>
        <v/>
      </c>
      <c r="I1084" s="30">
        <f>IF(COUNTIF(Synonymes!$A:$A,$A1084)&gt;0,"ok","")</f>
        <v/>
      </c>
      <c r="J1084" s="30">
        <f>COUNTIF(E1084:H1084,"à faire")</f>
        <v/>
      </c>
    </row>
    <row r="1085">
      <c r="A1085" s="30" t="inlineStr">
        <is>
          <t>marteau</t>
        </is>
      </c>
      <c r="B1085" s="30">
        <f>IFERROR(INDEX(Mots!$B:$B,MATCH($A1085,Mots!$A:$A,0)),"introuvable")</f>
        <v/>
      </c>
      <c r="C1085" s="30">
        <f>IFERROR(INDEX(Mots!$S:$S,MATCH($A1085,Mots!$A:$A,0)),"")</f>
        <v/>
      </c>
      <c r="D1085" s="30">
        <f>IFERROR(COUNTA(INDEX(Mots!$J:$J,MATCH($A1085,Mots!$A:$A,0)):INDEX(Mots!$P:$P,MATCH($A1085,Mots!$A:$A,0))),0)</f>
        <v/>
      </c>
      <c r="E1085" s="30">
        <f>IF(COUNTIF(Classement!$A:$A,$A1085)&gt;0,"ok","à faire")</f>
        <v/>
      </c>
      <c r="F1085" s="30">
        <f>IF(COUNTIF(Tags!$A:$A,$A1085)&gt;0,"ok","à faire")</f>
        <v/>
      </c>
      <c r="G1085" s="30">
        <f>IF(COUNTIF(Phrases!$A:$A,$A1085)&gt;0,"ok","à faire")</f>
        <v/>
      </c>
      <c r="H1085" s="30">
        <f>IF(COUNTIFS(Phrases!$A:$A,$A1085,Phrases!$I:$I,"&lt;&gt;")&gt;0,"ok","à faire")</f>
        <v/>
      </c>
      <c r="I1085" s="30">
        <f>IF(COUNTIF(Synonymes!$A:$A,$A1085)&gt;0,"ok","")</f>
        <v/>
      </c>
      <c r="J1085" s="30">
        <f>COUNTIF(E1085:H1085,"à faire")</f>
        <v/>
      </c>
    </row>
    <row r="1086">
      <c r="A1086" s="30" t="inlineStr">
        <is>
          <t>match</t>
        </is>
      </c>
      <c r="B1086" s="30">
        <f>IFERROR(INDEX(Mots!$B:$B,MATCH($A1086,Mots!$A:$A,0)),"introuvable")</f>
        <v/>
      </c>
      <c r="C1086" s="30">
        <f>IFERROR(INDEX(Mots!$S:$S,MATCH($A1086,Mots!$A:$A,0)),"")</f>
        <v/>
      </c>
      <c r="D1086" s="30">
        <f>IFERROR(COUNTA(INDEX(Mots!$J:$J,MATCH($A1086,Mots!$A:$A,0)):INDEX(Mots!$P:$P,MATCH($A1086,Mots!$A:$A,0))),0)</f>
        <v/>
      </c>
      <c r="E1086" s="30">
        <f>IF(COUNTIF(Classement!$A:$A,$A1086)&gt;0,"ok","à faire")</f>
        <v/>
      </c>
      <c r="F1086" s="30">
        <f>IF(COUNTIF(Tags!$A:$A,$A1086)&gt;0,"ok","à faire")</f>
        <v/>
      </c>
      <c r="G1086" s="30">
        <f>IF(COUNTIF(Phrases!$A:$A,$A1086)&gt;0,"ok","à faire")</f>
        <v/>
      </c>
      <c r="H1086" s="30">
        <f>IF(COUNTIFS(Phrases!$A:$A,$A1086,Phrases!$I:$I,"&lt;&gt;")&gt;0,"ok","à faire")</f>
        <v/>
      </c>
      <c r="I1086" s="30">
        <f>IF(COUNTIF(Synonymes!$A:$A,$A1086)&gt;0,"ok","")</f>
        <v/>
      </c>
      <c r="J1086" s="30">
        <f>COUNTIF(E1086:H1086,"à faire")</f>
        <v/>
      </c>
    </row>
    <row r="1087">
      <c r="A1087" s="30" t="inlineStr">
        <is>
          <t>medicament</t>
        </is>
      </c>
      <c r="B1087" s="30">
        <f>IFERROR(INDEX(Mots!$B:$B,MATCH($A1087,Mots!$A:$A,0)),"introuvable")</f>
        <v/>
      </c>
      <c r="C1087" s="30">
        <f>IFERROR(INDEX(Mots!$S:$S,MATCH($A1087,Mots!$A:$A,0)),"")</f>
        <v/>
      </c>
      <c r="D1087" s="30">
        <f>IFERROR(COUNTA(INDEX(Mots!$J:$J,MATCH($A1087,Mots!$A:$A,0)):INDEX(Mots!$P:$P,MATCH($A1087,Mots!$A:$A,0))),0)</f>
        <v/>
      </c>
      <c r="E1087" s="30">
        <f>IF(COUNTIF(Classement!$A:$A,$A1087)&gt;0,"ok","à faire")</f>
        <v/>
      </c>
      <c r="F1087" s="30">
        <f>IF(COUNTIF(Tags!$A:$A,$A1087)&gt;0,"ok","à faire")</f>
        <v/>
      </c>
      <c r="G1087" s="30">
        <f>IF(COUNTIF(Phrases!$A:$A,$A1087)&gt;0,"ok","à faire")</f>
        <v/>
      </c>
      <c r="H1087" s="30">
        <f>IF(COUNTIFS(Phrases!$A:$A,$A1087,Phrases!$I:$I,"&lt;&gt;")&gt;0,"ok","à faire")</f>
        <v/>
      </c>
      <c r="I1087" s="30">
        <f>IF(COUNTIF(Synonymes!$A:$A,$A1087)&gt;0,"ok","")</f>
        <v/>
      </c>
      <c r="J1087" s="30">
        <f>COUNTIF(E1087:H1087,"à faire")</f>
        <v/>
      </c>
    </row>
    <row r="1088">
      <c r="A1088" s="30" t="inlineStr">
        <is>
          <t>melange</t>
        </is>
      </c>
      <c r="B1088" s="30">
        <f>IFERROR(INDEX(Mots!$B:$B,MATCH($A1088,Mots!$A:$A,0)),"introuvable")</f>
        <v/>
      </c>
      <c r="C1088" s="30">
        <f>IFERROR(INDEX(Mots!$S:$S,MATCH($A1088,Mots!$A:$A,0)),"")</f>
        <v/>
      </c>
      <c r="D1088" s="30">
        <f>IFERROR(COUNTA(INDEX(Mots!$J:$J,MATCH($A1088,Mots!$A:$A,0)):INDEX(Mots!$P:$P,MATCH($A1088,Mots!$A:$A,0))),0)</f>
        <v/>
      </c>
      <c r="E1088" s="30">
        <f>IF(COUNTIF(Classement!$A:$A,$A1088)&gt;0,"ok","à faire")</f>
        <v/>
      </c>
      <c r="F1088" s="30">
        <f>IF(COUNTIF(Tags!$A:$A,$A1088)&gt;0,"ok","à faire")</f>
        <v/>
      </c>
      <c r="G1088" s="30">
        <f>IF(COUNTIF(Phrases!$A:$A,$A1088)&gt;0,"ok","à faire")</f>
        <v/>
      </c>
      <c r="H1088" s="30">
        <f>IF(COUNTIFS(Phrases!$A:$A,$A1088,Phrases!$I:$I,"&lt;&gt;")&gt;0,"ok","à faire")</f>
        <v/>
      </c>
      <c r="I1088" s="30">
        <f>IF(COUNTIF(Synonymes!$A:$A,$A1088)&gt;0,"ok","")</f>
        <v/>
      </c>
      <c r="J1088" s="30">
        <f>COUNTIF(E1088:H1088,"à faire")</f>
        <v/>
      </c>
    </row>
    <row r="1089">
      <c r="A1089" s="30" t="inlineStr">
        <is>
          <t>mensonge</t>
        </is>
      </c>
      <c r="B1089" s="30">
        <f>IFERROR(INDEX(Mots!$B:$B,MATCH($A1089,Mots!$A:$A,0)),"introuvable")</f>
        <v/>
      </c>
      <c r="C1089" s="30">
        <f>IFERROR(INDEX(Mots!$S:$S,MATCH($A1089,Mots!$A:$A,0)),"")</f>
        <v/>
      </c>
      <c r="D1089" s="30">
        <f>IFERROR(COUNTA(INDEX(Mots!$J:$J,MATCH($A1089,Mots!$A:$A,0)):INDEX(Mots!$P:$P,MATCH($A1089,Mots!$A:$A,0))),0)</f>
        <v/>
      </c>
      <c r="E1089" s="30">
        <f>IF(COUNTIF(Classement!$A:$A,$A1089)&gt;0,"ok","à faire")</f>
        <v/>
      </c>
      <c r="F1089" s="30">
        <f>IF(COUNTIF(Tags!$A:$A,$A1089)&gt;0,"ok","à faire")</f>
        <v/>
      </c>
      <c r="G1089" s="30">
        <f>IF(COUNTIF(Phrases!$A:$A,$A1089)&gt;0,"ok","à faire")</f>
        <v/>
      </c>
      <c r="H1089" s="30">
        <f>IF(COUNTIFS(Phrases!$A:$A,$A1089,Phrases!$I:$I,"&lt;&gt;")&gt;0,"ok","à faire")</f>
        <v/>
      </c>
      <c r="I1089" s="30">
        <f>IF(COUNTIF(Synonymes!$A:$A,$A1089)&gt;0,"ok","")</f>
        <v/>
      </c>
      <c r="J1089" s="30">
        <f>COUNTIF(E1089:H1089,"à faire")</f>
        <v/>
      </c>
    </row>
    <row r="1090">
      <c r="A1090" s="30" t="inlineStr">
        <is>
          <t>metal</t>
        </is>
      </c>
      <c r="B1090" s="30">
        <f>IFERROR(INDEX(Mots!$B:$B,MATCH($A1090,Mots!$A:$A,0)),"introuvable")</f>
        <v/>
      </c>
      <c r="C1090" s="30">
        <f>IFERROR(INDEX(Mots!$S:$S,MATCH($A1090,Mots!$A:$A,0)),"")</f>
        <v/>
      </c>
      <c r="D1090" s="30">
        <f>IFERROR(COUNTA(INDEX(Mots!$J:$J,MATCH($A1090,Mots!$A:$A,0)):INDEX(Mots!$P:$P,MATCH($A1090,Mots!$A:$A,0))),0)</f>
        <v/>
      </c>
      <c r="E1090" s="30">
        <f>IF(COUNTIF(Classement!$A:$A,$A1090)&gt;0,"ok","à faire")</f>
        <v/>
      </c>
      <c r="F1090" s="30">
        <f>IF(COUNTIF(Tags!$A:$A,$A1090)&gt;0,"ok","à faire")</f>
        <v/>
      </c>
      <c r="G1090" s="30">
        <f>IF(COUNTIF(Phrases!$A:$A,$A1090)&gt;0,"ok","à faire")</f>
        <v/>
      </c>
      <c r="H1090" s="30">
        <f>IF(COUNTIFS(Phrases!$A:$A,$A1090,Phrases!$I:$I,"&lt;&gt;")&gt;0,"ok","à faire")</f>
        <v/>
      </c>
      <c r="I1090" s="30">
        <f>IF(COUNTIF(Synonymes!$A:$A,$A1090)&gt;0,"ok","")</f>
        <v/>
      </c>
      <c r="J1090" s="30">
        <f>COUNTIF(E1090:H1090,"à faire")</f>
        <v/>
      </c>
    </row>
    <row r="1091">
      <c r="A1091" s="30" t="inlineStr">
        <is>
          <t>miel</t>
        </is>
      </c>
      <c r="B1091" s="30">
        <f>IFERROR(INDEX(Mots!$B:$B,MATCH($A1091,Mots!$A:$A,0)),"introuvable")</f>
        <v/>
      </c>
      <c r="C1091" s="30">
        <f>IFERROR(INDEX(Mots!$S:$S,MATCH($A1091,Mots!$A:$A,0)),"")</f>
        <v/>
      </c>
      <c r="D1091" s="30">
        <f>IFERROR(COUNTA(INDEX(Mots!$J:$J,MATCH($A1091,Mots!$A:$A,0)):INDEX(Mots!$P:$P,MATCH($A1091,Mots!$A:$A,0))),0)</f>
        <v/>
      </c>
      <c r="E1091" s="30">
        <f>IF(COUNTIF(Classement!$A:$A,$A1091)&gt;0,"ok","à faire")</f>
        <v/>
      </c>
      <c r="F1091" s="30">
        <f>IF(COUNTIF(Tags!$A:$A,$A1091)&gt;0,"ok","à faire")</f>
        <v/>
      </c>
      <c r="G1091" s="30">
        <f>IF(COUNTIF(Phrases!$A:$A,$A1091)&gt;0,"ok","à faire")</f>
        <v/>
      </c>
      <c r="H1091" s="30">
        <f>IF(COUNTIFS(Phrases!$A:$A,$A1091,Phrases!$I:$I,"&lt;&gt;")&gt;0,"ok","à faire")</f>
        <v/>
      </c>
      <c r="I1091" s="30">
        <f>IF(COUNTIF(Synonymes!$A:$A,$A1091)&gt;0,"ok","")</f>
        <v/>
      </c>
      <c r="J1091" s="30">
        <f>COUNTIF(E1091:H1091,"à faire")</f>
        <v/>
      </c>
    </row>
    <row r="1092">
      <c r="A1092" s="30" t="inlineStr">
        <is>
          <t>milieu</t>
        </is>
      </c>
      <c r="B1092" s="30">
        <f>IFERROR(INDEX(Mots!$B:$B,MATCH($A1092,Mots!$A:$A,0)),"introuvable")</f>
        <v/>
      </c>
      <c r="C1092" s="30">
        <f>IFERROR(INDEX(Mots!$S:$S,MATCH($A1092,Mots!$A:$A,0)),"")</f>
        <v/>
      </c>
      <c r="D1092" s="30">
        <f>IFERROR(COUNTA(INDEX(Mots!$J:$J,MATCH($A1092,Mots!$A:$A,0)):INDEX(Mots!$P:$P,MATCH($A1092,Mots!$A:$A,0))),0)</f>
        <v/>
      </c>
      <c r="E1092" s="30">
        <f>IF(COUNTIF(Classement!$A:$A,$A1092)&gt;0,"ok","à faire")</f>
        <v/>
      </c>
      <c r="F1092" s="30">
        <f>IF(COUNTIF(Tags!$A:$A,$A1092)&gt;0,"ok","à faire")</f>
        <v/>
      </c>
      <c r="G1092" s="30">
        <f>IF(COUNTIF(Phrases!$A:$A,$A1092)&gt;0,"ok","à faire")</f>
        <v/>
      </c>
      <c r="H1092" s="30">
        <f>IF(COUNTIFS(Phrases!$A:$A,$A1092,Phrases!$I:$I,"&lt;&gt;")&gt;0,"ok","à faire")</f>
        <v/>
      </c>
      <c r="I1092" s="30">
        <f>IF(COUNTIF(Synonymes!$A:$A,$A1092)&gt;0,"ok","")</f>
        <v/>
      </c>
      <c r="J1092" s="30">
        <f>COUNTIF(E1092:H1092,"à faire")</f>
        <v/>
      </c>
    </row>
    <row r="1093">
      <c r="A1093" s="30" t="inlineStr">
        <is>
          <t>moment</t>
        </is>
      </c>
      <c r="B1093" s="30">
        <f>IFERROR(INDEX(Mots!$B:$B,MATCH($A1093,Mots!$A:$A,0)),"introuvable")</f>
        <v/>
      </c>
      <c r="C1093" s="30">
        <f>IFERROR(INDEX(Mots!$S:$S,MATCH($A1093,Mots!$A:$A,0)),"")</f>
        <v/>
      </c>
      <c r="D1093" s="30">
        <f>IFERROR(COUNTA(INDEX(Mots!$J:$J,MATCH($A1093,Mots!$A:$A,0)):INDEX(Mots!$P:$P,MATCH($A1093,Mots!$A:$A,0))),0)</f>
        <v/>
      </c>
      <c r="E1093" s="30">
        <f>IF(COUNTIF(Classement!$A:$A,$A1093)&gt;0,"ok","à faire")</f>
        <v/>
      </c>
      <c r="F1093" s="30">
        <f>IF(COUNTIF(Tags!$A:$A,$A1093)&gt;0,"ok","à faire")</f>
        <v/>
      </c>
      <c r="G1093" s="30">
        <f>IF(COUNTIF(Phrases!$A:$A,$A1093)&gt;0,"ok","à faire")</f>
        <v/>
      </c>
      <c r="H1093" s="30">
        <f>IF(COUNTIFS(Phrases!$A:$A,$A1093,Phrases!$I:$I,"&lt;&gt;")&gt;0,"ok","à faire")</f>
        <v/>
      </c>
      <c r="I1093" s="30">
        <f>IF(COUNTIF(Synonymes!$A:$A,$A1093)&gt;0,"ok","")</f>
        <v/>
      </c>
      <c r="J1093" s="30">
        <f>COUNTIF(E1093:H1093,"à faire")</f>
        <v/>
      </c>
    </row>
    <row r="1094">
      <c r="A1094" s="30" t="inlineStr">
        <is>
          <t>monde</t>
        </is>
      </c>
      <c r="B1094" s="30">
        <f>IFERROR(INDEX(Mots!$B:$B,MATCH($A1094,Mots!$A:$A,0)),"introuvable")</f>
        <v/>
      </c>
      <c r="C1094" s="30">
        <f>IFERROR(INDEX(Mots!$S:$S,MATCH($A1094,Mots!$A:$A,0)),"")</f>
        <v/>
      </c>
      <c r="D1094" s="30">
        <f>IFERROR(COUNTA(INDEX(Mots!$J:$J,MATCH($A1094,Mots!$A:$A,0)):INDEX(Mots!$P:$P,MATCH($A1094,Mots!$A:$A,0))),0)</f>
        <v/>
      </c>
      <c r="E1094" s="30">
        <f>IF(COUNTIF(Classement!$A:$A,$A1094)&gt;0,"ok","à faire")</f>
        <v/>
      </c>
      <c r="F1094" s="30">
        <f>IF(COUNTIF(Tags!$A:$A,$A1094)&gt;0,"ok","à faire")</f>
        <v/>
      </c>
      <c r="G1094" s="30">
        <f>IF(COUNTIF(Phrases!$A:$A,$A1094)&gt;0,"ok","à faire")</f>
        <v/>
      </c>
      <c r="H1094" s="30">
        <f>IF(COUNTIFS(Phrases!$A:$A,$A1094,Phrases!$I:$I,"&lt;&gt;")&gt;0,"ok","à faire")</f>
        <v/>
      </c>
      <c r="I1094" s="30">
        <f>IF(COUNTIF(Synonymes!$A:$A,$A1094)&gt;0,"ok","")</f>
        <v/>
      </c>
      <c r="J1094" s="30">
        <f>COUNTIF(E1094:H1094,"à faire")</f>
        <v/>
      </c>
    </row>
    <row r="1095">
      <c r="A1095" s="30" t="inlineStr">
        <is>
          <t>morceau</t>
        </is>
      </c>
      <c r="B1095" s="30">
        <f>IFERROR(INDEX(Mots!$B:$B,MATCH($A1095,Mots!$A:$A,0)),"introuvable")</f>
        <v/>
      </c>
      <c r="C1095" s="30">
        <f>IFERROR(INDEX(Mots!$S:$S,MATCH($A1095,Mots!$A:$A,0)),"")</f>
        <v/>
      </c>
      <c r="D1095" s="30">
        <f>IFERROR(COUNTA(INDEX(Mots!$J:$J,MATCH($A1095,Mots!$A:$A,0)):INDEX(Mots!$P:$P,MATCH($A1095,Mots!$A:$A,0))),0)</f>
        <v/>
      </c>
      <c r="E1095" s="30">
        <f>IF(COUNTIF(Classement!$A:$A,$A1095)&gt;0,"ok","à faire")</f>
        <v/>
      </c>
      <c r="F1095" s="30">
        <f>IF(COUNTIF(Tags!$A:$A,$A1095)&gt;0,"ok","à faire")</f>
        <v/>
      </c>
      <c r="G1095" s="30">
        <f>IF(COUNTIF(Phrases!$A:$A,$A1095)&gt;0,"ok","à faire")</f>
        <v/>
      </c>
      <c r="H1095" s="30">
        <f>IF(COUNTIFS(Phrases!$A:$A,$A1095,Phrases!$I:$I,"&lt;&gt;")&gt;0,"ok","à faire")</f>
        <v/>
      </c>
      <c r="I1095" s="30">
        <f>IF(COUNTIF(Synonymes!$A:$A,$A1095)&gt;0,"ok","")</f>
        <v/>
      </c>
      <c r="J1095" s="30">
        <f>COUNTIF(E1095:H1095,"à faire")</f>
        <v/>
      </c>
    </row>
    <row r="1096">
      <c r="A1096" s="30" t="inlineStr">
        <is>
          <t>moteur</t>
        </is>
      </c>
      <c r="B1096" s="30">
        <f>IFERROR(INDEX(Mots!$B:$B,MATCH($A1096,Mots!$A:$A,0)),"introuvable")</f>
        <v/>
      </c>
      <c r="C1096" s="30">
        <f>IFERROR(INDEX(Mots!$S:$S,MATCH($A1096,Mots!$A:$A,0)),"")</f>
        <v/>
      </c>
      <c r="D1096" s="30">
        <f>IFERROR(COUNTA(INDEX(Mots!$J:$J,MATCH($A1096,Mots!$A:$A,0)):INDEX(Mots!$P:$P,MATCH($A1096,Mots!$A:$A,0))),0)</f>
        <v/>
      </c>
      <c r="E1096" s="30">
        <f>IF(COUNTIF(Classement!$A:$A,$A1096)&gt;0,"ok","à faire")</f>
        <v/>
      </c>
      <c r="F1096" s="30">
        <f>IF(COUNTIF(Tags!$A:$A,$A1096)&gt;0,"ok","à faire")</f>
        <v/>
      </c>
      <c r="G1096" s="30">
        <f>IF(COUNTIF(Phrases!$A:$A,$A1096)&gt;0,"ok","à faire")</f>
        <v/>
      </c>
      <c r="H1096" s="30">
        <f>IF(COUNTIFS(Phrases!$A:$A,$A1096,Phrases!$I:$I,"&lt;&gt;")&gt;0,"ok","à faire")</f>
        <v/>
      </c>
      <c r="I1096" s="30">
        <f>IF(COUNTIF(Synonymes!$A:$A,$A1096)&gt;0,"ok","")</f>
        <v/>
      </c>
      <c r="J1096" s="30">
        <f>COUNTIF(E1096:H1096,"à faire")</f>
        <v/>
      </c>
    </row>
    <row r="1097">
      <c r="A1097" s="30" t="inlineStr">
        <is>
          <t>mouvement</t>
        </is>
      </c>
      <c r="B1097" s="30">
        <f>IFERROR(INDEX(Mots!$B:$B,MATCH($A1097,Mots!$A:$A,0)),"introuvable")</f>
        <v/>
      </c>
      <c r="C1097" s="30">
        <f>IFERROR(INDEX(Mots!$S:$S,MATCH($A1097,Mots!$A:$A,0)),"")</f>
        <v/>
      </c>
      <c r="D1097" s="30">
        <f>IFERROR(COUNTA(INDEX(Mots!$J:$J,MATCH($A1097,Mots!$A:$A,0)):INDEX(Mots!$P:$P,MATCH($A1097,Mots!$A:$A,0))),0)</f>
        <v/>
      </c>
      <c r="E1097" s="30">
        <f>IF(COUNTIF(Classement!$A:$A,$A1097)&gt;0,"ok","à faire")</f>
        <v/>
      </c>
      <c r="F1097" s="30">
        <f>IF(COUNTIF(Tags!$A:$A,$A1097)&gt;0,"ok","à faire")</f>
        <v/>
      </c>
      <c r="G1097" s="30">
        <f>IF(COUNTIF(Phrases!$A:$A,$A1097)&gt;0,"ok","à faire")</f>
        <v/>
      </c>
      <c r="H1097" s="30">
        <f>IF(COUNTIFS(Phrases!$A:$A,$A1097,Phrases!$I:$I,"&lt;&gt;")&gt;0,"ok","à faire")</f>
        <v/>
      </c>
      <c r="I1097" s="30">
        <f>IF(COUNTIF(Synonymes!$A:$A,$A1097)&gt;0,"ok","")</f>
        <v/>
      </c>
      <c r="J1097" s="30">
        <f>COUNTIF(E1097:H1097,"à faire")</f>
        <v/>
      </c>
    </row>
    <row r="1098">
      <c r="A1098" s="30" t="inlineStr">
        <is>
          <t>musicien</t>
        </is>
      </c>
      <c r="B1098" s="30">
        <f>IFERROR(INDEX(Mots!$B:$B,MATCH($A1098,Mots!$A:$A,0)),"introuvable")</f>
        <v/>
      </c>
      <c r="C1098" s="30">
        <f>IFERROR(INDEX(Mots!$S:$S,MATCH($A1098,Mots!$A:$A,0)),"")</f>
        <v/>
      </c>
      <c r="D1098" s="30">
        <f>IFERROR(COUNTA(INDEX(Mots!$J:$J,MATCH($A1098,Mots!$A:$A,0)):INDEX(Mots!$P:$P,MATCH($A1098,Mots!$A:$A,0))),0)</f>
        <v/>
      </c>
      <c r="E1098" s="30">
        <f>IF(COUNTIF(Classement!$A:$A,$A1098)&gt;0,"ok","à faire")</f>
        <v/>
      </c>
      <c r="F1098" s="30">
        <f>IF(COUNTIF(Tags!$A:$A,$A1098)&gt;0,"ok","à faire")</f>
        <v/>
      </c>
      <c r="G1098" s="30">
        <f>IF(COUNTIF(Phrases!$A:$A,$A1098)&gt;0,"ok","à faire")</f>
        <v/>
      </c>
      <c r="H1098" s="30">
        <f>IF(COUNTIFS(Phrases!$A:$A,$A1098,Phrases!$I:$I,"&lt;&gt;")&gt;0,"ok","à faire")</f>
        <v/>
      </c>
      <c r="I1098" s="30">
        <f>IF(COUNTIF(Synonymes!$A:$A,$A1098)&gt;0,"ok","")</f>
        <v/>
      </c>
      <c r="J1098" s="30">
        <f>COUNTIF(E1098:H1098,"à faire")</f>
        <v/>
      </c>
    </row>
    <row r="1099">
      <c r="A1099" s="30" t="inlineStr">
        <is>
          <t>niveau</t>
        </is>
      </c>
      <c r="B1099" s="30">
        <f>IFERROR(INDEX(Mots!$B:$B,MATCH($A1099,Mots!$A:$A,0)),"introuvable")</f>
        <v/>
      </c>
      <c r="C1099" s="30">
        <f>IFERROR(INDEX(Mots!$S:$S,MATCH($A1099,Mots!$A:$A,0)),"")</f>
        <v/>
      </c>
      <c r="D1099" s="30">
        <f>IFERROR(COUNTA(INDEX(Mots!$J:$J,MATCH($A1099,Mots!$A:$A,0)):INDEX(Mots!$P:$P,MATCH($A1099,Mots!$A:$A,0))),0)</f>
        <v/>
      </c>
      <c r="E1099" s="30">
        <f>IF(COUNTIF(Classement!$A:$A,$A1099)&gt;0,"ok","à faire")</f>
        <v/>
      </c>
      <c r="F1099" s="30">
        <f>IF(COUNTIF(Tags!$A:$A,$A1099)&gt;0,"ok","à faire")</f>
        <v/>
      </c>
      <c r="G1099" s="30">
        <f>IF(COUNTIF(Phrases!$A:$A,$A1099)&gt;0,"ok","à faire")</f>
        <v/>
      </c>
      <c r="H1099" s="30">
        <f>IF(COUNTIFS(Phrases!$A:$A,$A1099,Phrases!$I:$I,"&lt;&gt;")&gt;0,"ok","à faire")</f>
        <v/>
      </c>
      <c r="I1099" s="30">
        <f>IF(COUNTIF(Synonymes!$A:$A,$A1099)&gt;0,"ok","")</f>
        <v/>
      </c>
      <c r="J1099" s="30">
        <f>COUNTIF(E1099:H1099,"à faire")</f>
        <v/>
      </c>
    </row>
    <row r="1100">
      <c r="A1100" s="30" t="inlineStr">
        <is>
          <t>nombre</t>
        </is>
      </c>
      <c r="B1100" s="30">
        <f>IFERROR(INDEX(Mots!$B:$B,MATCH($A1100,Mots!$A:$A,0)),"introuvable")</f>
        <v/>
      </c>
      <c r="C1100" s="30">
        <f>IFERROR(INDEX(Mots!$S:$S,MATCH($A1100,Mots!$A:$A,0)),"")</f>
        <v/>
      </c>
      <c r="D1100" s="30">
        <f>IFERROR(COUNTA(INDEX(Mots!$J:$J,MATCH($A1100,Mots!$A:$A,0)):INDEX(Mots!$P:$P,MATCH($A1100,Mots!$A:$A,0))),0)</f>
        <v/>
      </c>
      <c r="E1100" s="30">
        <f>IF(COUNTIF(Classement!$A:$A,$A1100)&gt;0,"ok","à faire")</f>
        <v/>
      </c>
      <c r="F1100" s="30">
        <f>IF(COUNTIF(Tags!$A:$A,$A1100)&gt;0,"ok","à faire")</f>
        <v/>
      </c>
      <c r="G1100" s="30">
        <f>IF(COUNTIF(Phrases!$A:$A,$A1100)&gt;0,"ok","à faire")</f>
        <v/>
      </c>
      <c r="H1100" s="30">
        <f>IF(COUNTIFS(Phrases!$A:$A,$A1100,Phrases!$I:$I,"&lt;&gt;")&gt;0,"ok","à faire")</f>
        <v/>
      </c>
      <c r="I1100" s="30">
        <f>IF(COUNTIF(Synonymes!$A:$A,$A1100)&gt;0,"ok","")</f>
        <v/>
      </c>
      <c r="J1100" s="30">
        <f>COUNTIF(E1100:H1100,"à faire")</f>
        <v/>
      </c>
    </row>
    <row r="1101">
      <c r="A1101" s="30" t="inlineStr">
        <is>
          <t>noyau</t>
        </is>
      </c>
      <c r="B1101" s="30">
        <f>IFERROR(INDEX(Mots!$B:$B,MATCH($A1101,Mots!$A:$A,0)),"introuvable")</f>
        <v/>
      </c>
      <c r="C1101" s="30">
        <f>IFERROR(INDEX(Mots!$S:$S,MATCH($A1101,Mots!$A:$A,0)),"")</f>
        <v/>
      </c>
      <c r="D1101" s="30">
        <f>IFERROR(COUNTA(INDEX(Mots!$J:$J,MATCH($A1101,Mots!$A:$A,0)):INDEX(Mots!$P:$P,MATCH($A1101,Mots!$A:$A,0))),0)</f>
        <v/>
      </c>
      <c r="E1101" s="30">
        <f>IF(COUNTIF(Classement!$A:$A,$A1101)&gt;0,"ok","à faire")</f>
        <v/>
      </c>
      <c r="F1101" s="30">
        <f>IF(COUNTIF(Tags!$A:$A,$A1101)&gt;0,"ok","à faire")</f>
        <v/>
      </c>
      <c r="G1101" s="30">
        <f>IF(COUNTIF(Phrases!$A:$A,$A1101)&gt;0,"ok","à faire")</f>
        <v/>
      </c>
      <c r="H1101" s="30">
        <f>IF(COUNTIFS(Phrases!$A:$A,$A1101,Phrases!$I:$I,"&lt;&gt;")&gt;0,"ok","à faire")</f>
        <v/>
      </c>
      <c r="I1101" s="30">
        <f>IF(COUNTIF(Synonymes!$A:$A,$A1101)&gt;0,"ok","")</f>
        <v/>
      </c>
      <c r="J1101" s="30">
        <f>COUNTIF(E1101:H1101,"à faire")</f>
        <v/>
      </c>
    </row>
    <row r="1102">
      <c r="A1102" s="30" t="inlineStr">
        <is>
          <t>nuage</t>
        </is>
      </c>
      <c r="B1102" s="30">
        <f>IFERROR(INDEX(Mots!$B:$B,MATCH($A1102,Mots!$A:$A,0)),"introuvable")</f>
        <v/>
      </c>
      <c r="C1102" s="30">
        <f>IFERROR(INDEX(Mots!$S:$S,MATCH($A1102,Mots!$A:$A,0)),"")</f>
        <v/>
      </c>
      <c r="D1102" s="30">
        <f>IFERROR(COUNTA(INDEX(Mots!$J:$J,MATCH($A1102,Mots!$A:$A,0)):INDEX(Mots!$P:$P,MATCH($A1102,Mots!$A:$A,0))),0)</f>
        <v/>
      </c>
      <c r="E1102" s="30">
        <f>IF(COUNTIF(Classement!$A:$A,$A1102)&gt;0,"ok","à faire")</f>
        <v/>
      </c>
      <c r="F1102" s="30">
        <f>IF(COUNTIF(Tags!$A:$A,$A1102)&gt;0,"ok","à faire")</f>
        <v/>
      </c>
      <c r="G1102" s="30">
        <f>IF(COUNTIF(Phrases!$A:$A,$A1102)&gt;0,"ok","à faire")</f>
        <v/>
      </c>
      <c r="H1102" s="30">
        <f>IF(COUNTIFS(Phrases!$A:$A,$A1102,Phrases!$I:$I,"&lt;&gt;")&gt;0,"ok","à faire")</f>
        <v/>
      </c>
      <c r="I1102" s="30">
        <f>IF(COUNTIF(Synonymes!$A:$A,$A1102)&gt;0,"ok","")</f>
        <v/>
      </c>
      <c r="J1102" s="30">
        <f>COUNTIF(E1102:H1102,"à faire")</f>
        <v/>
      </c>
    </row>
    <row r="1103">
      <c r="A1103" s="30" t="inlineStr">
        <is>
          <t>numero</t>
        </is>
      </c>
      <c r="B1103" s="30">
        <f>IFERROR(INDEX(Mots!$B:$B,MATCH($A1103,Mots!$A:$A,0)),"introuvable")</f>
        <v/>
      </c>
      <c r="C1103" s="30">
        <f>IFERROR(INDEX(Mots!$S:$S,MATCH($A1103,Mots!$A:$A,0)),"")</f>
        <v/>
      </c>
      <c r="D1103" s="30">
        <f>IFERROR(COUNTA(INDEX(Mots!$J:$J,MATCH($A1103,Mots!$A:$A,0)):INDEX(Mots!$P:$P,MATCH($A1103,Mots!$A:$A,0))),0)</f>
        <v/>
      </c>
      <c r="E1103" s="30">
        <f>IF(COUNTIF(Classement!$A:$A,$A1103)&gt;0,"ok","à faire")</f>
        <v/>
      </c>
      <c r="F1103" s="30">
        <f>IF(COUNTIF(Tags!$A:$A,$A1103)&gt;0,"ok","à faire")</f>
        <v/>
      </c>
      <c r="G1103" s="30">
        <f>IF(COUNTIF(Phrases!$A:$A,$A1103)&gt;0,"ok","à faire")</f>
        <v/>
      </c>
      <c r="H1103" s="30">
        <f>IF(COUNTIFS(Phrases!$A:$A,$A1103,Phrases!$I:$I,"&lt;&gt;")&gt;0,"ok","à faire")</f>
        <v/>
      </c>
      <c r="I1103" s="30">
        <f>IF(COUNTIF(Synonymes!$A:$A,$A1103)&gt;0,"ok","")</f>
        <v/>
      </c>
      <c r="J1103" s="30">
        <f>COUNTIF(E1103:H1103,"à faire")</f>
        <v/>
      </c>
    </row>
    <row r="1104">
      <c r="A1104" s="30" t="inlineStr">
        <is>
          <t>panier</t>
        </is>
      </c>
      <c r="B1104" s="30">
        <f>IFERROR(INDEX(Mots!$B:$B,MATCH($A1104,Mots!$A:$A,0)),"introuvable")</f>
        <v/>
      </c>
      <c r="C1104" s="30">
        <f>IFERROR(INDEX(Mots!$S:$S,MATCH($A1104,Mots!$A:$A,0)),"")</f>
        <v/>
      </c>
      <c r="D1104" s="30">
        <f>IFERROR(COUNTA(INDEX(Mots!$J:$J,MATCH($A1104,Mots!$A:$A,0)):INDEX(Mots!$P:$P,MATCH($A1104,Mots!$A:$A,0))),0)</f>
        <v/>
      </c>
      <c r="E1104" s="30">
        <f>IF(COUNTIF(Classement!$A:$A,$A1104)&gt;0,"ok","à faire")</f>
        <v/>
      </c>
      <c r="F1104" s="30">
        <f>IF(COUNTIF(Tags!$A:$A,$A1104)&gt;0,"ok","à faire")</f>
        <v/>
      </c>
      <c r="G1104" s="30">
        <f>IF(COUNTIF(Phrases!$A:$A,$A1104)&gt;0,"ok","à faire")</f>
        <v/>
      </c>
      <c r="H1104" s="30">
        <f>IF(COUNTIFS(Phrases!$A:$A,$A1104,Phrases!$I:$I,"&lt;&gt;")&gt;0,"ok","à faire")</f>
        <v/>
      </c>
      <c r="I1104" s="30">
        <f>IF(COUNTIF(Synonymes!$A:$A,$A1104)&gt;0,"ok","")</f>
        <v/>
      </c>
      <c r="J1104" s="30">
        <f>COUNTIF(E1104:H1104,"à faire")</f>
        <v/>
      </c>
    </row>
    <row r="1105">
      <c r="A1105" s="30" t="inlineStr">
        <is>
          <t>panneau</t>
        </is>
      </c>
      <c r="B1105" s="30">
        <f>IFERROR(INDEX(Mots!$B:$B,MATCH($A1105,Mots!$A:$A,0)),"introuvable")</f>
        <v/>
      </c>
      <c r="C1105" s="30">
        <f>IFERROR(INDEX(Mots!$S:$S,MATCH($A1105,Mots!$A:$A,0)),"")</f>
        <v/>
      </c>
      <c r="D1105" s="30">
        <f>IFERROR(COUNTA(INDEX(Mots!$J:$J,MATCH($A1105,Mots!$A:$A,0)):INDEX(Mots!$P:$P,MATCH($A1105,Mots!$A:$A,0))),0)</f>
        <v/>
      </c>
      <c r="E1105" s="30">
        <f>IF(COUNTIF(Classement!$A:$A,$A1105)&gt;0,"ok","à faire")</f>
        <v/>
      </c>
      <c r="F1105" s="30">
        <f>IF(COUNTIF(Tags!$A:$A,$A1105)&gt;0,"ok","à faire")</f>
        <v/>
      </c>
      <c r="G1105" s="30">
        <f>IF(COUNTIF(Phrases!$A:$A,$A1105)&gt;0,"ok","à faire")</f>
        <v/>
      </c>
      <c r="H1105" s="30">
        <f>IF(COUNTIFS(Phrases!$A:$A,$A1105,Phrases!$I:$I,"&lt;&gt;")&gt;0,"ok","à faire")</f>
        <v/>
      </c>
      <c r="I1105" s="30">
        <f>IF(COUNTIF(Synonymes!$A:$A,$A1105)&gt;0,"ok","")</f>
        <v/>
      </c>
      <c r="J1105" s="30">
        <f>COUNTIF(E1105:H1105,"à faire")</f>
        <v/>
      </c>
    </row>
    <row r="1106">
      <c r="A1106" s="30" t="inlineStr">
        <is>
          <t>pansement</t>
        </is>
      </c>
      <c r="B1106" s="30">
        <f>IFERROR(INDEX(Mots!$B:$B,MATCH($A1106,Mots!$A:$A,0)),"introuvable")</f>
        <v/>
      </c>
      <c r="C1106" s="30">
        <f>IFERROR(INDEX(Mots!$S:$S,MATCH($A1106,Mots!$A:$A,0)),"")</f>
        <v/>
      </c>
      <c r="D1106" s="30">
        <f>IFERROR(COUNTA(INDEX(Mots!$J:$J,MATCH($A1106,Mots!$A:$A,0)):INDEX(Mots!$P:$P,MATCH($A1106,Mots!$A:$A,0))),0)</f>
        <v/>
      </c>
      <c r="E1106" s="30">
        <f>IF(COUNTIF(Classement!$A:$A,$A1106)&gt;0,"ok","à faire")</f>
        <v/>
      </c>
      <c r="F1106" s="30">
        <f>IF(COUNTIF(Tags!$A:$A,$A1106)&gt;0,"ok","à faire")</f>
        <v/>
      </c>
      <c r="G1106" s="30">
        <f>IF(COUNTIF(Phrases!$A:$A,$A1106)&gt;0,"ok","à faire")</f>
        <v/>
      </c>
      <c r="H1106" s="30">
        <f>IF(COUNTIFS(Phrases!$A:$A,$A1106,Phrases!$I:$I,"&lt;&gt;")&gt;0,"ok","à faire")</f>
        <v/>
      </c>
      <c r="I1106" s="30">
        <f>IF(COUNTIF(Synonymes!$A:$A,$A1106)&gt;0,"ok","")</f>
        <v/>
      </c>
      <c r="J1106" s="30">
        <f>COUNTIF(E1106:H1106,"à faire")</f>
        <v/>
      </c>
    </row>
    <row r="1107">
      <c r="A1107" s="30" t="inlineStr">
        <is>
          <t>papier</t>
        </is>
      </c>
      <c r="B1107" s="30">
        <f>IFERROR(INDEX(Mots!$B:$B,MATCH($A1107,Mots!$A:$A,0)),"introuvable")</f>
        <v/>
      </c>
      <c r="C1107" s="30">
        <f>IFERROR(INDEX(Mots!$S:$S,MATCH($A1107,Mots!$A:$A,0)),"")</f>
        <v/>
      </c>
      <c r="D1107" s="30">
        <f>IFERROR(COUNTA(INDEX(Mots!$J:$J,MATCH($A1107,Mots!$A:$A,0)):INDEX(Mots!$P:$P,MATCH($A1107,Mots!$A:$A,0))),0)</f>
        <v/>
      </c>
      <c r="E1107" s="30">
        <f>IF(COUNTIF(Classement!$A:$A,$A1107)&gt;0,"ok","à faire")</f>
        <v/>
      </c>
      <c r="F1107" s="30">
        <f>IF(COUNTIF(Tags!$A:$A,$A1107)&gt;0,"ok","à faire")</f>
        <v/>
      </c>
      <c r="G1107" s="30">
        <f>IF(COUNTIF(Phrases!$A:$A,$A1107)&gt;0,"ok","à faire")</f>
        <v/>
      </c>
      <c r="H1107" s="30">
        <f>IF(COUNTIFS(Phrases!$A:$A,$A1107,Phrases!$I:$I,"&lt;&gt;")&gt;0,"ok","à faire")</f>
        <v/>
      </c>
      <c r="I1107" s="30">
        <f>IF(COUNTIF(Synonymes!$A:$A,$A1107)&gt;0,"ok","")</f>
        <v/>
      </c>
      <c r="J1107" s="30">
        <f>COUNTIF(E1107:H1107,"à faire")</f>
        <v/>
      </c>
    </row>
    <row r="1108">
      <c r="A1108" s="30" t="inlineStr">
        <is>
          <t>parapluie</t>
        </is>
      </c>
      <c r="B1108" s="30">
        <f>IFERROR(INDEX(Mots!$B:$B,MATCH($A1108,Mots!$A:$A,0)),"introuvable")</f>
        <v/>
      </c>
      <c r="C1108" s="30">
        <f>IFERROR(INDEX(Mots!$S:$S,MATCH($A1108,Mots!$A:$A,0)),"")</f>
        <v/>
      </c>
      <c r="D1108" s="30">
        <f>IFERROR(COUNTA(INDEX(Mots!$J:$J,MATCH($A1108,Mots!$A:$A,0)):INDEX(Mots!$P:$P,MATCH($A1108,Mots!$A:$A,0))),0)</f>
        <v/>
      </c>
      <c r="E1108" s="30">
        <f>IF(COUNTIF(Classement!$A:$A,$A1108)&gt;0,"ok","à faire")</f>
        <v/>
      </c>
      <c r="F1108" s="30">
        <f>IF(COUNTIF(Tags!$A:$A,$A1108)&gt;0,"ok","à faire")</f>
        <v/>
      </c>
      <c r="G1108" s="30">
        <f>IF(COUNTIF(Phrases!$A:$A,$A1108)&gt;0,"ok","à faire")</f>
        <v/>
      </c>
      <c r="H1108" s="30">
        <f>IF(COUNTIFS(Phrases!$A:$A,$A1108,Phrases!$I:$I,"&lt;&gt;")&gt;0,"ok","à faire")</f>
        <v/>
      </c>
      <c r="I1108" s="30">
        <f>IF(COUNTIF(Synonymes!$A:$A,$A1108)&gt;0,"ok","")</f>
        <v/>
      </c>
      <c r="J1108" s="30">
        <f>COUNTIF(E1108:H1108,"à faire")</f>
        <v/>
      </c>
    </row>
    <row r="1109">
      <c r="A1109" s="30" t="inlineStr">
        <is>
          <t>parking</t>
        </is>
      </c>
      <c r="B1109" s="30">
        <f>IFERROR(INDEX(Mots!$B:$B,MATCH($A1109,Mots!$A:$A,0)),"introuvable")</f>
        <v/>
      </c>
      <c r="C1109" s="30">
        <f>IFERROR(INDEX(Mots!$S:$S,MATCH($A1109,Mots!$A:$A,0)),"")</f>
        <v/>
      </c>
      <c r="D1109" s="30">
        <f>IFERROR(COUNTA(INDEX(Mots!$J:$J,MATCH($A1109,Mots!$A:$A,0)):INDEX(Mots!$P:$P,MATCH($A1109,Mots!$A:$A,0))),0)</f>
        <v/>
      </c>
      <c r="E1109" s="30">
        <f>IF(COUNTIF(Classement!$A:$A,$A1109)&gt;0,"ok","à faire")</f>
        <v/>
      </c>
      <c r="F1109" s="30">
        <f>IF(COUNTIF(Tags!$A:$A,$A1109)&gt;0,"ok","à faire")</f>
        <v/>
      </c>
      <c r="G1109" s="30">
        <f>IF(COUNTIF(Phrases!$A:$A,$A1109)&gt;0,"ok","à faire")</f>
        <v/>
      </c>
      <c r="H1109" s="30">
        <f>IF(COUNTIFS(Phrases!$A:$A,$A1109,Phrases!$I:$I,"&lt;&gt;")&gt;0,"ok","à faire")</f>
        <v/>
      </c>
      <c r="I1109" s="30">
        <f>IF(COUNTIF(Synonymes!$A:$A,$A1109)&gt;0,"ok","")</f>
        <v/>
      </c>
      <c r="J1109" s="30">
        <f>COUNTIF(E1109:H1109,"à faire")</f>
        <v/>
      </c>
    </row>
    <row r="1110">
      <c r="A1110" s="30" t="inlineStr">
        <is>
          <t>v_partager</t>
        </is>
      </c>
      <c r="B1110" s="30">
        <f>IFERROR(INDEX(Mots!$B:$B,MATCH($A1110,Mots!$A:$A,0)),"introuvable")</f>
        <v/>
      </c>
      <c r="C1110" s="30">
        <f>IFERROR(INDEX(Mots!$S:$S,MATCH($A1110,Mots!$A:$A,0)),"")</f>
        <v/>
      </c>
      <c r="D1110" s="30">
        <f>IFERROR(COUNTA(INDEX(Mots!$J:$J,MATCH($A1110,Mots!$A:$A,0)):INDEX(Mots!$P:$P,MATCH($A1110,Mots!$A:$A,0))),0)</f>
        <v/>
      </c>
      <c r="E1110" s="30">
        <f>IF(COUNTIF(Classement!$A:$A,$A1110)&gt;0,"ok","à faire")</f>
        <v/>
      </c>
      <c r="F1110" s="30">
        <f>IF(COUNTIF(Tags!$A:$A,$A1110)&gt;0,"ok","à faire")</f>
        <v/>
      </c>
      <c r="G1110" s="30">
        <f>IF(COUNTIF(Phrases!$A:$A,$A1110)&gt;0,"ok","à faire")</f>
        <v/>
      </c>
      <c r="H1110" s="30">
        <f>IF(COUNTIFS(Phrases!$A:$A,$A1110,Phrases!$I:$I,"&lt;&gt;")&gt;0,"ok","à faire")</f>
        <v/>
      </c>
      <c r="I1110" s="30">
        <f>IF(COUNTIF(Synonymes!$A:$A,$A1110)&gt;0,"ok","")</f>
        <v/>
      </c>
      <c r="J1110" s="30">
        <f>COUNTIF(E1110:H1110,"à faire")</f>
        <v/>
      </c>
    </row>
    <row r="1111">
      <c r="A1111" s="30" t="inlineStr">
        <is>
          <t>passage</t>
        </is>
      </c>
      <c r="B1111" s="30">
        <f>IFERROR(INDEX(Mots!$B:$B,MATCH($A1111,Mots!$A:$A,0)),"introuvable")</f>
        <v/>
      </c>
      <c r="C1111" s="30">
        <f>IFERROR(INDEX(Mots!$S:$S,MATCH($A1111,Mots!$A:$A,0)),"")</f>
        <v/>
      </c>
      <c r="D1111" s="30">
        <f>IFERROR(COUNTA(INDEX(Mots!$J:$J,MATCH($A1111,Mots!$A:$A,0)):INDEX(Mots!$P:$P,MATCH($A1111,Mots!$A:$A,0))),0)</f>
        <v/>
      </c>
      <c r="E1111" s="30">
        <f>IF(COUNTIF(Classement!$A:$A,$A1111)&gt;0,"ok","à faire")</f>
        <v/>
      </c>
      <c r="F1111" s="30">
        <f>IF(COUNTIF(Tags!$A:$A,$A1111)&gt;0,"ok","à faire")</f>
        <v/>
      </c>
      <c r="G1111" s="30">
        <f>IF(COUNTIF(Phrases!$A:$A,$A1111)&gt;0,"ok","à faire")</f>
        <v/>
      </c>
      <c r="H1111" s="30">
        <f>IF(COUNTIFS(Phrases!$A:$A,$A1111,Phrases!$I:$I,"&lt;&gt;")&gt;0,"ok","à faire")</f>
        <v/>
      </c>
      <c r="I1111" s="30">
        <f>IF(COUNTIF(Synonymes!$A:$A,$A1111)&gt;0,"ok","")</f>
        <v/>
      </c>
      <c r="J1111" s="30">
        <f>COUNTIF(E1111:H1111,"à faire")</f>
        <v/>
      </c>
    </row>
    <row r="1112">
      <c r="A1112" s="30" t="inlineStr">
        <is>
          <t>pays</t>
        </is>
      </c>
      <c r="B1112" s="30">
        <f>IFERROR(INDEX(Mots!$B:$B,MATCH($A1112,Mots!$A:$A,0)),"introuvable")</f>
        <v/>
      </c>
      <c r="C1112" s="30">
        <f>IFERROR(INDEX(Mots!$S:$S,MATCH($A1112,Mots!$A:$A,0)),"")</f>
        <v/>
      </c>
      <c r="D1112" s="30">
        <f>IFERROR(COUNTA(INDEX(Mots!$J:$J,MATCH($A1112,Mots!$A:$A,0)):INDEX(Mots!$P:$P,MATCH($A1112,Mots!$A:$A,0))),0)</f>
        <v/>
      </c>
      <c r="E1112" s="30">
        <f>IF(COUNTIF(Classement!$A:$A,$A1112)&gt;0,"ok","à faire")</f>
        <v/>
      </c>
      <c r="F1112" s="30">
        <f>IF(COUNTIF(Tags!$A:$A,$A1112)&gt;0,"ok","à faire")</f>
        <v/>
      </c>
      <c r="G1112" s="30">
        <f>IF(COUNTIF(Phrases!$A:$A,$A1112)&gt;0,"ok","à faire")</f>
        <v/>
      </c>
      <c r="H1112" s="30">
        <f>IF(COUNTIFS(Phrases!$A:$A,$A1112,Phrases!$I:$I,"&lt;&gt;")&gt;0,"ok","à faire")</f>
        <v/>
      </c>
      <c r="I1112" s="30">
        <f>IF(COUNTIF(Synonymes!$A:$A,$A1112)&gt;0,"ok","")</f>
        <v/>
      </c>
      <c r="J1112" s="30">
        <f>COUNTIF(E1112:H1112,"à faire")</f>
        <v/>
      </c>
    </row>
    <row r="1113">
      <c r="A1113" s="30" t="inlineStr">
        <is>
          <t>paysage</t>
        </is>
      </c>
      <c r="B1113" s="30">
        <f>IFERROR(INDEX(Mots!$B:$B,MATCH($A1113,Mots!$A:$A,0)),"introuvable")</f>
        <v/>
      </c>
      <c r="C1113" s="30">
        <f>IFERROR(INDEX(Mots!$S:$S,MATCH($A1113,Mots!$A:$A,0)),"")</f>
        <v/>
      </c>
      <c r="D1113" s="30">
        <f>IFERROR(COUNTA(INDEX(Mots!$J:$J,MATCH($A1113,Mots!$A:$A,0)):INDEX(Mots!$P:$P,MATCH($A1113,Mots!$A:$A,0))),0)</f>
        <v/>
      </c>
      <c r="E1113" s="30">
        <f>IF(COUNTIF(Classement!$A:$A,$A1113)&gt;0,"ok","à faire")</f>
        <v/>
      </c>
      <c r="F1113" s="30">
        <f>IF(COUNTIF(Tags!$A:$A,$A1113)&gt;0,"ok","à faire")</f>
        <v/>
      </c>
      <c r="G1113" s="30">
        <f>IF(COUNTIF(Phrases!$A:$A,$A1113)&gt;0,"ok","à faire")</f>
        <v/>
      </c>
      <c r="H1113" s="30">
        <f>IF(COUNTIFS(Phrases!$A:$A,$A1113,Phrases!$I:$I,"&lt;&gt;")&gt;0,"ok","à faire")</f>
        <v/>
      </c>
      <c r="I1113" s="30">
        <f>IF(COUNTIF(Synonymes!$A:$A,$A1113)&gt;0,"ok","")</f>
        <v/>
      </c>
      <c r="J1113" s="30">
        <f>COUNTIF(E1113:H1113,"à faire")</f>
        <v/>
      </c>
    </row>
    <row r="1114">
      <c r="A1114" s="30" t="inlineStr">
        <is>
          <t>permis</t>
        </is>
      </c>
      <c r="B1114" s="30">
        <f>IFERROR(INDEX(Mots!$B:$B,MATCH($A1114,Mots!$A:$A,0)),"introuvable")</f>
        <v/>
      </c>
      <c r="C1114" s="30">
        <f>IFERROR(INDEX(Mots!$S:$S,MATCH($A1114,Mots!$A:$A,0)),"")</f>
        <v/>
      </c>
      <c r="D1114" s="30">
        <f>IFERROR(COUNTA(INDEX(Mots!$J:$J,MATCH($A1114,Mots!$A:$A,0)):INDEX(Mots!$P:$P,MATCH($A1114,Mots!$A:$A,0))),0)</f>
        <v/>
      </c>
      <c r="E1114" s="30">
        <f>IF(COUNTIF(Classement!$A:$A,$A1114)&gt;0,"ok","à faire")</f>
        <v/>
      </c>
      <c r="F1114" s="30">
        <f>IF(COUNTIF(Tags!$A:$A,$A1114)&gt;0,"ok","à faire")</f>
        <v/>
      </c>
      <c r="G1114" s="30">
        <f>IF(COUNTIF(Phrases!$A:$A,$A1114)&gt;0,"ok","à faire")</f>
        <v/>
      </c>
      <c r="H1114" s="30">
        <f>IF(COUNTIFS(Phrases!$A:$A,$A1114,Phrases!$I:$I,"&lt;&gt;")&gt;0,"ok","à faire")</f>
        <v/>
      </c>
      <c r="I1114" s="30">
        <f>IF(COUNTIF(Synonymes!$A:$A,$A1114)&gt;0,"ok","")</f>
        <v/>
      </c>
      <c r="J1114" s="30">
        <f>COUNTIF(E1114:H1114,"à faire")</f>
        <v/>
      </c>
    </row>
    <row r="1115">
      <c r="A1115" s="30" t="inlineStr">
        <is>
          <t>pharmacien</t>
        </is>
      </c>
      <c r="B1115" s="30">
        <f>IFERROR(INDEX(Mots!$B:$B,MATCH($A1115,Mots!$A:$A,0)),"introuvable")</f>
        <v/>
      </c>
      <c r="C1115" s="30">
        <f>IFERROR(INDEX(Mots!$S:$S,MATCH($A1115,Mots!$A:$A,0)),"")</f>
        <v/>
      </c>
      <c r="D1115" s="30">
        <f>IFERROR(COUNTA(INDEX(Mots!$J:$J,MATCH($A1115,Mots!$A:$A,0)):INDEX(Mots!$P:$P,MATCH($A1115,Mots!$A:$A,0))),0)</f>
        <v/>
      </c>
      <c r="E1115" s="30">
        <f>IF(COUNTIF(Classement!$A:$A,$A1115)&gt;0,"ok","à faire")</f>
        <v/>
      </c>
      <c r="F1115" s="30">
        <f>IF(COUNTIF(Tags!$A:$A,$A1115)&gt;0,"ok","à faire")</f>
        <v/>
      </c>
      <c r="G1115" s="30">
        <f>IF(COUNTIF(Phrases!$A:$A,$A1115)&gt;0,"ok","à faire")</f>
        <v/>
      </c>
      <c r="H1115" s="30">
        <f>IF(COUNTIFS(Phrases!$A:$A,$A1115,Phrases!$I:$I,"&lt;&gt;")&gt;0,"ok","à faire")</f>
        <v/>
      </c>
      <c r="I1115" s="30">
        <f>IF(COUNTIF(Synonymes!$A:$A,$A1115)&gt;0,"ok","")</f>
        <v/>
      </c>
      <c r="J1115" s="30">
        <f>COUNTIF(E1115:H1115,"à faire")</f>
        <v/>
      </c>
    </row>
    <row r="1116">
      <c r="A1116" s="30" t="inlineStr">
        <is>
          <t>piment</t>
        </is>
      </c>
      <c r="B1116" s="30">
        <f>IFERROR(INDEX(Mots!$B:$B,MATCH($A1116,Mots!$A:$A,0)),"introuvable")</f>
        <v/>
      </c>
      <c r="C1116" s="30">
        <f>IFERROR(INDEX(Mots!$S:$S,MATCH($A1116,Mots!$A:$A,0)),"")</f>
        <v/>
      </c>
      <c r="D1116" s="30">
        <f>IFERROR(COUNTA(INDEX(Mots!$J:$J,MATCH($A1116,Mots!$A:$A,0)):INDEX(Mots!$P:$P,MATCH($A1116,Mots!$A:$A,0))),0)</f>
        <v/>
      </c>
      <c r="E1116" s="30">
        <f>IF(COUNTIF(Classement!$A:$A,$A1116)&gt;0,"ok","à faire")</f>
        <v/>
      </c>
      <c r="F1116" s="30">
        <f>IF(COUNTIF(Tags!$A:$A,$A1116)&gt;0,"ok","à faire")</f>
        <v/>
      </c>
      <c r="G1116" s="30">
        <f>IF(COUNTIF(Phrases!$A:$A,$A1116)&gt;0,"ok","à faire")</f>
        <v/>
      </c>
      <c r="H1116" s="30">
        <f>IF(COUNTIFS(Phrases!$A:$A,$A1116,Phrases!$I:$I,"&lt;&gt;")&gt;0,"ok","à faire")</f>
        <v/>
      </c>
      <c r="I1116" s="30">
        <f>IF(COUNTIF(Synonymes!$A:$A,$A1116)&gt;0,"ok","")</f>
        <v/>
      </c>
      <c r="J1116" s="30">
        <f>COUNTIF(E1116:H1116,"à faire")</f>
        <v/>
      </c>
    </row>
    <row r="1117">
      <c r="A1117" s="30" t="inlineStr">
        <is>
          <t>pinceau</t>
        </is>
      </c>
      <c r="B1117" s="30">
        <f>IFERROR(INDEX(Mots!$B:$B,MATCH($A1117,Mots!$A:$A,0)),"introuvable")</f>
        <v/>
      </c>
      <c r="C1117" s="30">
        <f>IFERROR(INDEX(Mots!$S:$S,MATCH($A1117,Mots!$A:$A,0)),"")</f>
        <v/>
      </c>
      <c r="D1117" s="30">
        <f>IFERROR(COUNTA(INDEX(Mots!$J:$J,MATCH($A1117,Mots!$A:$A,0)):INDEX(Mots!$P:$P,MATCH($A1117,Mots!$A:$A,0))),0)</f>
        <v/>
      </c>
      <c r="E1117" s="30">
        <f>IF(COUNTIF(Classement!$A:$A,$A1117)&gt;0,"ok","à faire")</f>
        <v/>
      </c>
      <c r="F1117" s="30">
        <f>IF(COUNTIF(Tags!$A:$A,$A1117)&gt;0,"ok","à faire")</f>
        <v/>
      </c>
      <c r="G1117" s="30">
        <f>IF(COUNTIF(Phrases!$A:$A,$A1117)&gt;0,"ok","à faire")</f>
        <v/>
      </c>
      <c r="H1117" s="30">
        <f>IF(COUNTIFS(Phrases!$A:$A,$A1117,Phrases!$I:$I,"&lt;&gt;")&gt;0,"ok","à faire")</f>
        <v/>
      </c>
      <c r="I1117" s="30">
        <f>IF(COUNTIF(Synonymes!$A:$A,$A1117)&gt;0,"ok","")</f>
        <v/>
      </c>
      <c r="J1117" s="30">
        <f>COUNTIF(E1117:H1117,"à faire")</f>
        <v/>
      </c>
    </row>
    <row r="1118">
      <c r="A1118" s="30" t="inlineStr">
        <is>
          <t>pique_nique</t>
        </is>
      </c>
      <c r="B1118" s="30">
        <f>IFERROR(INDEX(Mots!$B:$B,MATCH($A1118,Mots!$A:$A,0)),"introuvable")</f>
        <v/>
      </c>
      <c r="C1118" s="30">
        <f>IFERROR(INDEX(Mots!$S:$S,MATCH($A1118,Mots!$A:$A,0)),"")</f>
        <v/>
      </c>
      <c r="D1118" s="30">
        <f>IFERROR(COUNTA(INDEX(Mots!$J:$J,MATCH($A1118,Mots!$A:$A,0)):INDEX(Mots!$P:$P,MATCH($A1118,Mots!$A:$A,0))),0)</f>
        <v/>
      </c>
      <c r="E1118" s="30">
        <f>IF(COUNTIF(Classement!$A:$A,$A1118)&gt;0,"ok","à faire")</f>
        <v/>
      </c>
      <c r="F1118" s="30">
        <f>IF(COUNTIF(Tags!$A:$A,$A1118)&gt;0,"ok","à faire")</f>
        <v/>
      </c>
      <c r="G1118" s="30">
        <f>IF(COUNTIF(Phrases!$A:$A,$A1118)&gt;0,"ok","à faire")</f>
        <v/>
      </c>
      <c r="H1118" s="30">
        <f>IF(COUNTIFS(Phrases!$A:$A,$A1118,Phrases!$I:$I,"&lt;&gt;")&gt;0,"ok","à faire")</f>
        <v/>
      </c>
      <c r="I1118" s="30">
        <f>IF(COUNTIF(Synonymes!$A:$A,$A1118)&gt;0,"ok","")</f>
        <v/>
      </c>
      <c r="J1118" s="30">
        <f>COUNTIF(E1118:H1118,"à faire")</f>
        <v/>
      </c>
    </row>
    <row r="1119">
      <c r="A1119" s="30" t="inlineStr">
        <is>
          <t>plafond</t>
        </is>
      </c>
      <c r="B1119" s="30">
        <f>IFERROR(INDEX(Mots!$B:$B,MATCH($A1119,Mots!$A:$A,0)),"introuvable")</f>
        <v/>
      </c>
      <c r="C1119" s="30">
        <f>IFERROR(INDEX(Mots!$S:$S,MATCH($A1119,Mots!$A:$A,0)),"")</f>
        <v/>
      </c>
      <c r="D1119" s="30">
        <f>IFERROR(COUNTA(INDEX(Mots!$J:$J,MATCH($A1119,Mots!$A:$A,0)):INDEX(Mots!$P:$P,MATCH($A1119,Mots!$A:$A,0))),0)</f>
        <v/>
      </c>
      <c r="E1119" s="30">
        <f>IF(COUNTIF(Classement!$A:$A,$A1119)&gt;0,"ok","à faire")</f>
        <v/>
      </c>
      <c r="F1119" s="30">
        <f>IF(COUNTIF(Tags!$A:$A,$A1119)&gt;0,"ok","à faire")</f>
        <v/>
      </c>
      <c r="G1119" s="30">
        <f>IF(COUNTIF(Phrases!$A:$A,$A1119)&gt;0,"ok","à faire")</f>
        <v/>
      </c>
      <c r="H1119" s="30">
        <f>IF(COUNTIFS(Phrases!$A:$A,$A1119,Phrases!$I:$I,"&lt;&gt;")&gt;0,"ok","à faire")</f>
        <v/>
      </c>
      <c r="I1119" s="30">
        <f>IF(COUNTIF(Synonymes!$A:$A,$A1119)&gt;0,"ok","")</f>
        <v/>
      </c>
      <c r="J1119" s="30">
        <f>COUNTIF(E1119:H1119,"à faire")</f>
        <v/>
      </c>
    </row>
    <row r="1120">
      <c r="A1120" s="30" t="inlineStr">
        <is>
          <t>plaisir</t>
        </is>
      </c>
      <c r="B1120" s="30">
        <f>IFERROR(INDEX(Mots!$B:$B,MATCH($A1120,Mots!$A:$A,0)),"introuvable")</f>
        <v/>
      </c>
      <c r="C1120" s="30">
        <f>IFERROR(INDEX(Mots!$S:$S,MATCH($A1120,Mots!$A:$A,0)),"")</f>
        <v/>
      </c>
      <c r="D1120" s="30">
        <f>IFERROR(COUNTA(INDEX(Mots!$J:$J,MATCH($A1120,Mots!$A:$A,0)):INDEX(Mots!$P:$P,MATCH($A1120,Mots!$A:$A,0))),0)</f>
        <v/>
      </c>
      <c r="E1120" s="30">
        <f>IF(COUNTIF(Classement!$A:$A,$A1120)&gt;0,"ok","à faire")</f>
        <v/>
      </c>
      <c r="F1120" s="30">
        <f>IF(COUNTIF(Tags!$A:$A,$A1120)&gt;0,"ok","à faire")</f>
        <v/>
      </c>
      <c r="G1120" s="30">
        <f>IF(COUNTIF(Phrases!$A:$A,$A1120)&gt;0,"ok","à faire")</f>
        <v/>
      </c>
      <c r="H1120" s="30">
        <f>IF(COUNTIFS(Phrases!$A:$A,$A1120,Phrases!$I:$I,"&lt;&gt;")&gt;0,"ok","à faire")</f>
        <v/>
      </c>
      <c r="I1120" s="30">
        <f>IF(COUNTIF(Synonymes!$A:$A,$A1120)&gt;0,"ok","")</f>
        <v/>
      </c>
      <c r="J1120" s="30">
        <f>COUNTIF(E1120:H1120,"à faire")</f>
        <v/>
      </c>
    </row>
    <row r="1121">
      <c r="A1121" s="30" t="inlineStr">
        <is>
          <t>plancher</t>
        </is>
      </c>
      <c r="B1121" s="30">
        <f>IFERROR(INDEX(Mots!$B:$B,MATCH($A1121,Mots!$A:$A,0)),"introuvable")</f>
        <v/>
      </c>
      <c r="C1121" s="30">
        <f>IFERROR(INDEX(Mots!$S:$S,MATCH($A1121,Mots!$A:$A,0)),"")</f>
        <v/>
      </c>
      <c r="D1121" s="30">
        <f>IFERROR(COUNTA(INDEX(Mots!$J:$J,MATCH($A1121,Mots!$A:$A,0)):INDEX(Mots!$P:$P,MATCH($A1121,Mots!$A:$A,0))),0)</f>
        <v/>
      </c>
      <c r="E1121" s="30">
        <f>IF(COUNTIF(Classement!$A:$A,$A1121)&gt;0,"ok","à faire")</f>
        <v/>
      </c>
      <c r="F1121" s="30">
        <f>IF(COUNTIF(Tags!$A:$A,$A1121)&gt;0,"ok","à faire")</f>
        <v/>
      </c>
      <c r="G1121" s="30">
        <f>IF(COUNTIF(Phrases!$A:$A,$A1121)&gt;0,"ok","à faire")</f>
        <v/>
      </c>
      <c r="H1121" s="30">
        <f>IF(COUNTIFS(Phrases!$A:$A,$A1121,Phrases!$I:$I,"&lt;&gt;")&gt;0,"ok","à faire")</f>
        <v/>
      </c>
      <c r="I1121" s="30">
        <f>IF(COUNTIF(Synonymes!$A:$A,$A1121)&gt;0,"ok","")</f>
        <v/>
      </c>
      <c r="J1121" s="30">
        <f>COUNTIF(E1121:H1121,"à faire")</f>
        <v/>
      </c>
    </row>
    <row r="1122">
      <c r="A1122" s="30" t="inlineStr">
        <is>
          <t>plastique</t>
        </is>
      </c>
      <c r="B1122" s="30">
        <f>IFERROR(INDEX(Mots!$B:$B,MATCH($A1122,Mots!$A:$A,0)),"introuvable")</f>
        <v/>
      </c>
      <c r="C1122" s="30">
        <f>IFERROR(INDEX(Mots!$S:$S,MATCH($A1122,Mots!$A:$A,0)),"")</f>
        <v/>
      </c>
      <c r="D1122" s="30">
        <f>IFERROR(COUNTA(INDEX(Mots!$J:$J,MATCH($A1122,Mots!$A:$A,0)):INDEX(Mots!$P:$P,MATCH($A1122,Mots!$A:$A,0))),0)</f>
        <v/>
      </c>
      <c r="E1122" s="30">
        <f>IF(COUNTIF(Classement!$A:$A,$A1122)&gt;0,"ok","à faire")</f>
        <v/>
      </c>
      <c r="F1122" s="30">
        <f>IF(COUNTIF(Tags!$A:$A,$A1122)&gt;0,"ok","à faire")</f>
        <v/>
      </c>
      <c r="G1122" s="30">
        <f>IF(COUNTIF(Phrases!$A:$A,$A1122)&gt;0,"ok","à faire")</f>
        <v/>
      </c>
      <c r="H1122" s="30">
        <f>IF(COUNTIFS(Phrases!$A:$A,$A1122,Phrases!$I:$I,"&lt;&gt;")&gt;0,"ok","à faire")</f>
        <v/>
      </c>
      <c r="I1122" s="30">
        <f>IF(COUNTIF(Synonymes!$A:$A,$A1122)&gt;0,"ok","")</f>
        <v/>
      </c>
      <c r="J1122" s="30">
        <f>COUNTIF(E1122:H1122,"à faire")</f>
        <v/>
      </c>
    </row>
    <row r="1123">
      <c r="A1123" s="30" t="inlineStr">
        <is>
          <t>plat</t>
        </is>
      </c>
      <c r="B1123" s="30">
        <f>IFERROR(INDEX(Mots!$B:$B,MATCH($A1123,Mots!$A:$A,0)),"introuvable")</f>
        <v/>
      </c>
      <c r="C1123" s="30">
        <f>IFERROR(INDEX(Mots!$S:$S,MATCH($A1123,Mots!$A:$A,0)),"")</f>
        <v/>
      </c>
      <c r="D1123" s="30">
        <f>IFERROR(COUNTA(INDEX(Mots!$J:$J,MATCH($A1123,Mots!$A:$A,0)):INDEX(Mots!$P:$P,MATCH($A1123,Mots!$A:$A,0))),0)</f>
        <v/>
      </c>
      <c r="E1123" s="30">
        <f>IF(COUNTIF(Classement!$A:$A,$A1123)&gt;0,"ok","à faire")</f>
        <v/>
      </c>
      <c r="F1123" s="30">
        <f>IF(COUNTIF(Tags!$A:$A,$A1123)&gt;0,"ok","à faire")</f>
        <v/>
      </c>
      <c r="G1123" s="30">
        <f>IF(COUNTIF(Phrases!$A:$A,$A1123)&gt;0,"ok","à faire")</f>
        <v/>
      </c>
      <c r="H1123" s="30">
        <f>IF(COUNTIFS(Phrases!$A:$A,$A1123,Phrases!$I:$I,"&lt;&gt;")&gt;0,"ok","à faire")</f>
        <v/>
      </c>
      <c r="I1123" s="30">
        <f>IF(COUNTIF(Synonymes!$A:$A,$A1123)&gt;0,"ok","")</f>
        <v/>
      </c>
      <c r="J1123" s="30">
        <f>COUNTIF(E1123:H1123,"à faire")</f>
        <v/>
      </c>
    </row>
    <row r="1124">
      <c r="A1124" s="30" t="inlineStr">
        <is>
          <t>poil</t>
        </is>
      </c>
      <c r="B1124" s="30">
        <f>IFERROR(INDEX(Mots!$B:$B,MATCH($A1124,Mots!$A:$A,0)),"introuvable")</f>
        <v/>
      </c>
      <c r="C1124" s="30">
        <f>IFERROR(INDEX(Mots!$S:$S,MATCH($A1124,Mots!$A:$A,0)),"")</f>
        <v/>
      </c>
      <c r="D1124" s="30">
        <f>IFERROR(COUNTA(INDEX(Mots!$J:$J,MATCH($A1124,Mots!$A:$A,0)):INDEX(Mots!$P:$P,MATCH($A1124,Mots!$A:$A,0))),0)</f>
        <v/>
      </c>
      <c r="E1124" s="30">
        <f>IF(COUNTIF(Classement!$A:$A,$A1124)&gt;0,"ok","à faire")</f>
        <v/>
      </c>
      <c r="F1124" s="30">
        <f>IF(COUNTIF(Tags!$A:$A,$A1124)&gt;0,"ok","à faire")</f>
        <v/>
      </c>
      <c r="G1124" s="30">
        <f>IF(COUNTIF(Phrases!$A:$A,$A1124)&gt;0,"ok","à faire")</f>
        <v/>
      </c>
      <c r="H1124" s="30">
        <f>IF(COUNTIFS(Phrases!$A:$A,$A1124,Phrases!$I:$I,"&lt;&gt;")&gt;0,"ok","à faire")</f>
        <v/>
      </c>
      <c r="I1124" s="30">
        <f>IF(COUNTIF(Synonymes!$A:$A,$A1124)&gt;0,"ok","")</f>
        <v/>
      </c>
      <c r="J1124" s="30">
        <f>COUNTIF(E1124:H1124,"à faire")</f>
        <v/>
      </c>
    </row>
    <row r="1125">
      <c r="A1125" s="30" t="inlineStr">
        <is>
          <t>point</t>
        </is>
      </c>
      <c r="B1125" s="30">
        <f>IFERROR(INDEX(Mots!$B:$B,MATCH($A1125,Mots!$A:$A,0)),"introuvable")</f>
        <v/>
      </c>
      <c r="C1125" s="30">
        <f>IFERROR(INDEX(Mots!$S:$S,MATCH($A1125,Mots!$A:$A,0)),"")</f>
        <v/>
      </c>
      <c r="D1125" s="30">
        <f>IFERROR(COUNTA(INDEX(Mots!$J:$J,MATCH($A1125,Mots!$A:$A,0)):INDEX(Mots!$P:$P,MATCH($A1125,Mots!$A:$A,0))),0)</f>
        <v/>
      </c>
      <c r="E1125" s="30">
        <f>IF(COUNTIF(Classement!$A:$A,$A1125)&gt;0,"ok","à faire")</f>
        <v/>
      </c>
      <c r="F1125" s="30">
        <f>IF(COUNTIF(Tags!$A:$A,$A1125)&gt;0,"ok","à faire")</f>
        <v/>
      </c>
      <c r="G1125" s="30">
        <f>IF(COUNTIF(Phrases!$A:$A,$A1125)&gt;0,"ok","à faire")</f>
        <v/>
      </c>
      <c r="H1125" s="30">
        <f>IF(COUNTIFS(Phrases!$A:$A,$A1125,Phrases!$I:$I,"&lt;&gt;")&gt;0,"ok","à faire")</f>
        <v/>
      </c>
      <c r="I1125" s="30">
        <f>IF(COUNTIF(Synonymes!$A:$A,$A1125)&gt;0,"ok","")</f>
        <v/>
      </c>
      <c r="J1125" s="30">
        <f>COUNTIF(E1125:H1125,"à faire")</f>
        <v/>
      </c>
    </row>
    <row r="1126">
      <c r="A1126" s="30" t="inlineStr">
        <is>
          <t>portefeuille</t>
        </is>
      </c>
      <c r="B1126" s="30">
        <f>IFERROR(INDEX(Mots!$B:$B,MATCH($A1126,Mots!$A:$A,0)),"introuvable")</f>
        <v/>
      </c>
      <c r="C1126" s="30">
        <f>IFERROR(INDEX(Mots!$S:$S,MATCH($A1126,Mots!$A:$A,0)),"")</f>
        <v/>
      </c>
      <c r="D1126" s="30">
        <f>IFERROR(COUNTA(INDEX(Mots!$J:$J,MATCH($A1126,Mots!$A:$A,0)):INDEX(Mots!$P:$P,MATCH($A1126,Mots!$A:$A,0))),0)</f>
        <v/>
      </c>
      <c r="E1126" s="30">
        <f>IF(COUNTIF(Classement!$A:$A,$A1126)&gt;0,"ok","à faire")</f>
        <v/>
      </c>
      <c r="F1126" s="30">
        <f>IF(COUNTIF(Tags!$A:$A,$A1126)&gt;0,"ok","à faire")</f>
        <v/>
      </c>
      <c r="G1126" s="30">
        <f>IF(COUNTIF(Phrases!$A:$A,$A1126)&gt;0,"ok","à faire")</f>
        <v/>
      </c>
      <c r="H1126" s="30">
        <f>IF(COUNTIFS(Phrases!$A:$A,$A1126,Phrases!$I:$I,"&lt;&gt;")&gt;0,"ok","à faire")</f>
        <v/>
      </c>
      <c r="I1126" s="30">
        <f>IF(COUNTIF(Synonymes!$A:$A,$A1126)&gt;0,"ok","")</f>
        <v/>
      </c>
      <c r="J1126" s="30">
        <f>COUNTIF(E1126:H1126,"à faire")</f>
        <v/>
      </c>
    </row>
    <row r="1127">
      <c r="A1127" s="30" t="inlineStr">
        <is>
          <t>porte_manteau</t>
        </is>
      </c>
      <c r="B1127" s="30">
        <f>IFERROR(INDEX(Mots!$B:$B,MATCH($A1127,Mots!$A:$A,0)),"introuvable")</f>
        <v/>
      </c>
      <c r="C1127" s="30">
        <f>IFERROR(INDEX(Mots!$S:$S,MATCH($A1127,Mots!$A:$A,0)),"")</f>
        <v/>
      </c>
      <c r="D1127" s="30">
        <f>IFERROR(COUNTA(INDEX(Mots!$J:$J,MATCH($A1127,Mots!$A:$A,0)):INDEX(Mots!$P:$P,MATCH($A1127,Mots!$A:$A,0))),0)</f>
        <v/>
      </c>
      <c r="E1127" s="30">
        <f>IF(COUNTIF(Classement!$A:$A,$A1127)&gt;0,"ok","à faire")</f>
        <v/>
      </c>
      <c r="F1127" s="30">
        <f>IF(COUNTIF(Tags!$A:$A,$A1127)&gt;0,"ok","à faire")</f>
        <v/>
      </c>
      <c r="G1127" s="30">
        <f>IF(COUNTIF(Phrases!$A:$A,$A1127)&gt;0,"ok","à faire")</f>
        <v/>
      </c>
      <c r="H1127" s="30">
        <f>IF(COUNTIFS(Phrases!$A:$A,$A1127,Phrases!$I:$I,"&lt;&gt;")&gt;0,"ok","à faire")</f>
        <v/>
      </c>
      <c r="I1127" s="30">
        <f>IF(COUNTIF(Synonymes!$A:$A,$A1127)&gt;0,"ok","")</f>
        <v/>
      </c>
      <c r="J1127" s="30">
        <f>COUNTIF(E1127:H1127,"à faire")</f>
        <v/>
      </c>
    </row>
    <row r="1128">
      <c r="A1128" s="30" t="inlineStr">
        <is>
          <t>prix</t>
        </is>
      </c>
      <c r="B1128" s="30">
        <f>IFERROR(INDEX(Mots!$B:$B,MATCH($A1128,Mots!$A:$A,0)),"introuvable")</f>
        <v/>
      </c>
      <c r="C1128" s="30">
        <f>IFERROR(INDEX(Mots!$S:$S,MATCH($A1128,Mots!$A:$A,0)),"")</f>
        <v/>
      </c>
      <c r="D1128" s="30">
        <f>IFERROR(COUNTA(INDEX(Mots!$J:$J,MATCH($A1128,Mots!$A:$A,0)):INDEX(Mots!$P:$P,MATCH($A1128,Mots!$A:$A,0))),0)</f>
        <v/>
      </c>
      <c r="E1128" s="30">
        <f>IF(COUNTIF(Classement!$A:$A,$A1128)&gt;0,"ok","à faire")</f>
        <v/>
      </c>
      <c r="F1128" s="30">
        <f>IF(COUNTIF(Tags!$A:$A,$A1128)&gt;0,"ok","à faire")</f>
        <v/>
      </c>
      <c r="G1128" s="30">
        <f>IF(COUNTIF(Phrases!$A:$A,$A1128)&gt;0,"ok","à faire")</f>
        <v/>
      </c>
      <c r="H1128" s="30">
        <f>IF(COUNTIFS(Phrases!$A:$A,$A1128,Phrases!$I:$I,"&lt;&gt;")&gt;0,"ok","à faire")</f>
        <v/>
      </c>
      <c r="I1128" s="30">
        <f>IF(COUNTIF(Synonymes!$A:$A,$A1128)&gt;0,"ok","")</f>
        <v/>
      </c>
      <c r="J1128" s="30">
        <f>COUNTIF(E1128:H1128,"à faire")</f>
        <v/>
      </c>
    </row>
    <row r="1129">
      <c r="A1129" s="30" t="inlineStr">
        <is>
          <t>probleme</t>
        </is>
      </c>
      <c r="B1129" s="30">
        <f>IFERROR(INDEX(Mots!$B:$B,MATCH($A1129,Mots!$A:$A,0)),"introuvable")</f>
        <v/>
      </c>
      <c r="C1129" s="30">
        <f>IFERROR(INDEX(Mots!$S:$S,MATCH($A1129,Mots!$A:$A,0)),"")</f>
        <v/>
      </c>
      <c r="D1129" s="30">
        <f>IFERROR(COUNTA(INDEX(Mots!$J:$J,MATCH($A1129,Mots!$A:$A,0)):INDEX(Mots!$P:$P,MATCH($A1129,Mots!$A:$A,0))),0)</f>
        <v/>
      </c>
      <c r="E1129" s="30">
        <f>IF(COUNTIF(Classement!$A:$A,$A1129)&gt;0,"ok","à faire")</f>
        <v/>
      </c>
      <c r="F1129" s="30">
        <f>IF(COUNTIF(Tags!$A:$A,$A1129)&gt;0,"ok","à faire")</f>
        <v/>
      </c>
      <c r="G1129" s="30">
        <f>IF(COUNTIF(Phrases!$A:$A,$A1129)&gt;0,"ok","à faire")</f>
        <v/>
      </c>
      <c r="H1129" s="30">
        <f>IF(COUNTIFS(Phrases!$A:$A,$A1129,Phrases!$I:$I,"&lt;&gt;")&gt;0,"ok","à faire")</f>
        <v/>
      </c>
      <c r="I1129" s="30">
        <f>IF(COUNTIF(Synonymes!$A:$A,$A1129)&gt;0,"ok","")</f>
        <v/>
      </c>
      <c r="J1129" s="30">
        <f>COUNTIF(E1129:H1129,"à faire")</f>
        <v/>
      </c>
    </row>
    <row r="1130">
      <c r="A1130" s="30" t="inlineStr">
        <is>
          <t>puzzle</t>
        </is>
      </c>
      <c r="B1130" s="30">
        <f>IFERROR(INDEX(Mots!$B:$B,MATCH($A1130,Mots!$A:$A,0)),"introuvable")</f>
        <v/>
      </c>
      <c r="C1130" s="30">
        <f>IFERROR(INDEX(Mots!$S:$S,MATCH($A1130,Mots!$A:$A,0)),"")</f>
        <v/>
      </c>
      <c r="D1130" s="30">
        <f>IFERROR(COUNTA(INDEX(Mots!$J:$J,MATCH($A1130,Mots!$A:$A,0)):INDEX(Mots!$P:$P,MATCH($A1130,Mots!$A:$A,0))),0)</f>
        <v/>
      </c>
      <c r="E1130" s="30">
        <f>IF(COUNTIF(Classement!$A:$A,$A1130)&gt;0,"ok","à faire")</f>
        <v/>
      </c>
      <c r="F1130" s="30">
        <f>IF(COUNTIF(Tags!$A:$A,$A1130)&gt;0,"ok","à faire")</f>
        <v/>
      </c>
      <c r="G1130" s="30">
        <f>IF(COUNTIF(Phrases!$A:$A,$A1130)&gt;0,"ok","à faire")</f>
        <v/>
      </c>
      <c r="H1130" s="30">
        <f>IF(COUNTIFS(Phrases!$A:$A,$A1130,Phrases!$I:$I,"&lt;&gt;")&gt;0,"ok","à faire")</f>
        <v/>
      </c>
      <c r="I1130" s="30">
        <f>IF(COUNTIF(Synonymes!$A:$A,$A1130)&gt;0,"ok","")</f>
        <v/>
      </c>
      <c r="J1130" s="30">
        <f>COUNTIF(E1130:H1130,"à faire")</f>
        <v/>
      </c>
    </row>
    <row r="1131">
      <c r="A1131" s="30" t="inlineStr">
        <is>
          <t>quartier</t>
        </is>
      </c>
      <c r="B1131" s="30">
        <f>IFERROR(INDEX(Mots!$B:$B,MATCH($A1131,Mots!$A:$A,0)),"introuvable")</f>
        <v/>
      </c>
      <c r="C1131" s="30">
        <f>IFERROR(INDEX(Mots!$S:$S,MATCH($A1131,Mots!$A:$A,0)),"")</f>
        <v/>
      </c>
      <c r="D1131" s="30">
        <f>IFERROR(COUNTA(INDEX(Mots!$J:$J,MATCH($A1131,Mots!$A:$A,0)):INDEX(Mots!$P:$P,MATCH($A1131,Mots!$A:$A,0))),0)</f>
        <v/>
      </c>
      <c r="E1131" s="30">
        <f>IF(COUNTIF(Classement!$A:$A,$A1131)&gt;0,"ok","à faire")</f>
        <v/>
      </c>
      <c r="F1131" s="30">
        <f>IF(COUNTIF(Tags!$A:$A,$A1131)&gt;0,"ok","à faire")</f>
        <v/>
      </c>
      <c r="G1131" s="30">
        <f>IF(COUNTIF(Phrases!$A:$A,$A1131)&gt;0,"ok","à faire")</f>
        <v/>
      </c>
      <c r="H1131" s="30">
        <f>IF(COUNTIFS(Phrases!$A:$A,$A1131,Phrases!$I:$I,"&lt;&gt;")&gt;0,"ok","à faire")</f>
        <v/>
      </c>
      <c r="I1131" s="30">
        <f>IF(COUNTIF(Synonymes!$A:$A,$A1131)&gt;0,"ok","")</f>
        <v/>
      </c>
      <c r="J1131" s="30">
        <f>COUNTIF(E1131:H1131,"à faire")</f>
        <v/>
      </c>
    </row>
    <row r="1132">
      <c r="A1132" s="30" t="inlineStr">
        <is>
          <t>recipient</t>
        </is>
      </c>
      <c r="B1132" s="30">
        <f>IFERROR(INDEX(Mots!$B:$B,MATCH($A1132,Mots!$A:$A,0)),"introuvable")</f>
        <v/>
      </c>
      <c r="C1132" s="30">
        <f>IFERROR(INDEX(Mots!$S:$S,MATCH($A1132,Mots!$A:$A,0)),"")</f>
        <v/>
      </c>
      <c r="D1132" s="30">
        <f>IFERROR(COUNTA(INDEX(Mots!$J:$J,MATCH($A1132,Mots!$A:$A,0)):INDEX(Mots!$P:$P,MATCH($A1132,Mots!$A:$A,0))),0)</f>
        <v/>
      </c>
      <c r="E1132" s="30">
        <f>IF(COUNTIF(Classement!$A:$A,$A1132)&gt;0,"ok","à faire")</f>
        <v/>
      </c>
      <c r="F1132" s="30">
        <f>IF(COUNTIF(Tags!$A:$A,$A1132)&gt;0,"ok","à faire")</f>
        <v/>
      </c>
      <c r="G1132" s="30">
        <f>IF(COUNTIF(Phrases!$A:$A,$A1132)&gt;0,"ok","à faire")</f>
        <v/>
      </c>
      <c r="H1132" s="30">
        <f>IF(COUNTIFS(Phrases!$A:$A,$A1132,Phrases!$I:$I,"&lt;&gt;")&gt;0,"ok","à faire")</f>
        <v/>
      </c>
      <c r="I1132" s="30">
        <f>IF(COUNTIF(Synonymes!$A:$A,$A1132)&gt;0,"ok","")</f>
        <v/>
      </c>
      <c r="J1132" s="30">
        <f>COUNTIF(E1132:H1132,"à faire")</f>
        <v/>
      </c>
    </row>
    <row r="1133">
      <c r="A1133" s="30" t="inlineStr">
        <is>
          <t>recit</t>
        </is>
      </c>
      <c r="B1133" s="30">
        <f>IFERROR(INDEX(Mots!$B:$B,MATCH($A1133,Mots!$A:$A,0)),"introuvable")</f>
        <v/>
      </c>
      <c r="C1133" s="30">
        <f>IFERROR(INDEX(Mots!$S:$S,MATCH($A1133,Mots!$A:$A,0)),"")</f>
        <v/>
      </c>
      <c r="D1133" s="30">
        <f>IFERROR(COUNTA(INDEX(Mots!$J:$J,MATCH($A1133,Mots!$A:$A,0)):INDEX(Mots!$P:$P,MATCH($A1133,Mots!$A:$A,0))),0)</f>
        <v/>
      </c>
      <c r="E1133" s="30">
        <f>IF(COUNTIF(Classement!$A:$A,$A1133)&gt;0,"ok","à faire")</f>
        <v/>
      </c>
      <c r="F1133" s="30">
        <f>IF(COUNTIF(Tags!$A:$A,$A1133)&gt;0,"ok","à faire")</f>
        <v/>
      </c>
      <c r="G1133" s="30">
        <f>IF(COUNTIF(Phrases!$A:$A,$A1133)&gt;0,"ok","à faire")</f>
        <v/>
      </c>
      <c r="H1133" s="30">
        <f>IF(COUNTIFS(Phrases!$A:$A,$A1133,Phrases!$I:$I,"&lt;&gt;")&gt;0,"ok","à faire")</f>
        <v/>
      </c>
      <c r="I1133" s="30">
        <f>IF(COUNTIF(Synonymes!$A:$A,$A1133)&gt;0,"ok","")</f>
        <v/>
      </c>
      <c r="J1133" s="30">
        <f>COUNTIF(E1133:H1133,"à faire")</f>
        <v/>
      </c>
    </row>
    <row r="1134">
      <c r="A1134" s="30" t="inlineStr">
        <is>
          <t>recu</t>
        </is>
      </c>
      <c r="B1134" s="30">
        <f>IFERROR(INDEX(Mots!$B:$B,MATCH($A1134,Mots!$A:$A,0)),"introuvable")</f>
        <v/>
      </c>
      <c r="C1134" s="30">
        <f>IFERROR(INDEX(Mots!$S:$S,MATCH($A1134,Mots!$A:$A,0)),"")</f>
        <v/>
      </c>
      <c r="D1134" s="30">
        <f>IFERROR(COUNTA(INDEX(Mots!$J:$J,MATCH($A1134,Mots!$A:$A,0)):INDEX(Mots!$P:$P,MATCH($A1134,Mots!$A:$A,0))),0)</f>
        <v/>
      </c>
      <c r="E1134" s="30">
        <f>IF(COUNTIF(Classement!$A:$A,$A1134)&gt;0,"ok","à faire")</f>
        <v/>
      </c>
      <c r="F1134" s="30">
        <f>IF(COUNTIF(Tags!$A:$A,$A1134)&gt;0,"ok","à faire")</f>
        <v/>
      </c>
      <c r="G1134" s="30">
        <f>IF(COUNTIF(Phrases!$A:$A,$A1134)&gt;0,"ok","à faire")</f>
        <v/>
      </c>
      <c r="H1134" s="30">
        <f>IF(COUNTIFS(Phrases!$A:$A,$A1134,Phrases!$I:$I,"&lt;&gt;")&gt;0,"ok","à faire")</f>
        <v/>
      </c>
      <c r="I1134" s="30">
        <f>IF(COUNTIF(Synonymes!$A:$A,$A1134)&gt;0,"ok","")</f>
        <v/>
      </c>
      <c r="J1134" s="30">
        <f>COUNTIF(E1134:H1134,"à faire")</f>
        <v/>
      </c>
    </row>
    <row r="1135">
      <c r="A1135" s="30" t="inlineStr">
        <is>
          <t>reflet</t>
        </is>
      </c>
      <c r="B1135" s="30">
        <f>IFERROR(INDEX(Mots!$B:$B,MATCH($A1135,Mots!$A:$A,0)),"introuvable")</f>
        <v/>
      </c>
      <c r="C1135" s="30">
        <f>IFERROR(INDEX(Mots!$S:$S,MATCH($A1135,Mots!$A:$A,0)),"")</f>
        <v/>
      </c>
      <c r="D1135" s="30">
        <f>IFERROR(COUNTA(INDEX(Mots!$J:$J,MATCH($A1135,Mots!$A:$A,0)):INDEX(Mots!$P:$P,MATCH($A1135,Mots!$A:$A,0))),0)</f>
        <v/>
      </c>
      <c r="E1135" s="30">
        <f>IF(COUNTIF(Classement!$A:$A,$A1135)&gt;0,"ok","à faire")</f>
        <v/>
      </c>
      <c r="F1135" s="30">
        <f>IF(COUNTIF(Tags!$A:$A,$A1135)&gt;0,"ok","à faire")</f>
        <v/>
      </c>
      <c r="G1135" s="30">
        <f>IF(COUNTIF(Phrases!$A:$A,$A1135)&gt;0,"ok","à faire")</f>
        <v/>
      </c>
      <c r="H1135" s="30">
        <f>IF(COUNTIFS(Phrases!$A:$A,$A1135,Phrases!$I:$I,"&lt;&gt;")&gt;0,"ok","à faire")</f>
        <v/>
      </c>
      <c r="I1135" s="30">
        <f>IF(COUNTIF(Synonymes!$A:$A,$A1135)&gt;0,"ok","")</f>
        <v/>
      </c>
      <c r="J1135" s="30">
        <f>COUNTIF(E1135:H1135,"à faire")</f>
        <v/>
      </c>
    </row>
    <row r="1136">
      <c r="A1136" s="30" t="inlineStr">
        <is>
          <t>regret</t>
        </is>
      </c>
      <c r="B1136" s="30">
        <f>IFERROR(INDEX(Mots!$B:$B,MATCH($A1136,Mots!$A:$A,0)),"introuvable")</f>
        <v/>
      </c>
      <c r="C1136" s="30">
        <f>IFERROR(INDEX(Mots!$S:$S,MATCH($A1136,Mots!$A:$A,0)),"")</f>
        <v/>
      </c>
      <c r="D1136" s="30">
        <f>IFERROR(COUNTA(INDEX(Mots!$J:$J,MATCH($A1136,Mots!$A:$A,0)):INDEX(Mots!$P:$P,MATCH($A1136,Mots!$A:$A,0))),0)</f>
        <v/>
      </c>
      <c r="E1136" s="30">
        <f>IF(COUNTIF(Classement!$A:$A,$A1136)&gt;0,"ok","à faire")</f>
        <v/>
      </c>
      <c r="F1136" s="30">
        <f>IF(COUNTIF(Tags!$A:$A,$A1136)&gt;0,"ok","à faire")</f>
        <v/>
      </c>
      <c r="G1136" s="30">
        <f>IF(COUNTIF(Phrases!$A:$A,$A1136)&gt;0,"ok","à faire")</f>
        <v/>
      </c>
      <c r="H1136" s="30">
        <f>IF(COUNTIFS(Phrases!$A:$A,$A1136,Phrases!$I:$I,"&lt;&gt;")&gt;0,"ok","à faire")</f>
        <v/>
      </c>
      <c r="I1136" s="30">
        <f>IF(COUNTIF(Synonymes!$A:$A,$A1136)&gt;0,"ok","")</f>
        <v/>
      </c>
      <c r="J1136" s="30">
        <f>COUNTIF(E1136:H1136,"à faire")</f>
        <v/>
      </c>
    </row>
    <row r="1137">
      <c r="A1137" s="30" t="inlineStr">
        <is>
          <t>relief</t>
        </is>
      </c>
      <c r="B1137" s="30">
        <f>IFERROR(INDEX(Mots!$B:$B,MATCH($A1137,Mots!$A:$A,0)),"introuvable")</f>
        <v/>
      </c>
      <c r="C1137" s="30">
        <f>IFERROR(INDEX(Mots!$S:$S,MATCH($A1137,Mots!$A:$A,0)),"")</f>
        <v/>
      </c>
      <c r="D1137" s="30">
        <f>IFERROR(COUNTA(INDEX(Mots!$J:$J,MATCH($A1137,Mots!$A:$A,0)):INDEX(Mots!$P:$P,MATCH($A1137,Mots!$A:$A,0))),0)</f>
        <v/>
      </c>
      <c r="E1137" s="30">
        <f>IF(COUNTIF(Classement!$A:$A,$A1137)&gt;0,"ok","à faire")</f>
        <v/>
      </c>
      <c r="F1137" s="30">
        <f>IF(COUNTIF(Tags!$A:$A,$A1137)&gt;0,"ok","à faire")</f>
        <v/>
      </c>
      <c r="G1137" s="30">
        <f>IF(COUNTIF(Phrases!$A:$A,$A1137)&gt;0,"ok","à faire")</f>
        <v/>
      </c>
      <c r="H1137" s="30">
        <f>IF(COUNTIFS(Phrases!$A:$A,$A1137,Phrases!$I:$I,"&lt;&gt;")&gt;0,"ok","à faire")</f>
        <v/>
      </c>
      <c r="I1137" s="30">
        <f>IF(COUNTIF(Synonymes!$A:$A,$A1137)&gt;0,"ok","")</f>
        <v/>
      </c>
      <c r="J1137" s="30">
        <f>COUNTIF(E1137:H1137,"à faire")</f>
        <v/>
      </c>
    </row>
    <row r="1138">
      <c r="A1138" s="30" t="inlineStr">
        <is>
          <t>remede</t>
        </is>
      </c>
      <c r="B1138" s="30">
        <f>IFERROR(INDEX(Mots!$B:$B,MATCH($A1138,Mots!$A:$A,0)),"introuvable")</f>
        <v/>
      </c>
      <c r="C1138" s="30">
        <f>IFERROR(INDEX(Mots!$S:$S,MATCH($A1138,Mots!$A:$A,0)),"")</f>
        <v/>
      </c>
      <c r="D1138" s="30">
        <f>IFERROR(COUNTA(INDEX(Mots!$J:$J,MATCH($A1138,Mots!$A:$A,0)):INDEX(Mots!$P:$P,MATCH($A1138,Mots!$A:$A,0))),0)</f>
        <v/>
      </c>
      <c r="E1138" s="30">
        <f>IF(COUNTIF(Classement!$A:$A,$A1138)&gt;0,"ok","à faire")</f>
        <v/>
      </c>
      <c r="F1138" s="30">
        <f>IF(COUNTIF(Tags!$A:$A,$A1138)&gt;0,"ok","à faire")</f>
        <v/>
      </c>
      <c r="G1138" s="30">
        <f>IF(COUNTIF(Phrases!$A:$A,$A1138)&gt;0,"ok","à faire")</f>
        <v/>
      </c>
      <c r="H1138" s="30">
        <f>IF(COUNTIFS(Phrases!$A:$A,$A1138,Phrases!$I:$I,"&lt;&gt;")&gt;0,"ok","à faire")</f>
        <v/>
      </c>
      <c r="I1138" s="30">
        <f>IF(COUNTIF(Synonymes!$A:$A,$A1138)&gt;0,"ok","")</f>
        <v/>
      </c>
      <c r="J1138" s="30">
        <f>COUNTIF(E1138:H1138,"à faire")</f>
        <v/>
      </c>
    </row>
    <row r="1139">
      <c r="A1139" s="30" t="inlineStr">
        <is>
          <t>repas</t>
        </is>
      </c>
      <c r="B1139" s="30">
        <f>IFERROR(INDEX(Mots!$B:$B,MATCH($A1139,Mots!$A:$A,0)),"introuvable")</f>
        <v/>
      </c>
      <c r="C1139" s="30">
        <f>IFERROR(INDEX(Mots!$S:$S,MATCH($A1139,Mots!$A:$A,0)),"")</f>
        <v/>
      </c>
      <c r="D1139" s="30">
        <f>IFERROR(COUNTA(INDEX(Mots!$J:$J,MATCH($A1139,Mots!$A:$A,0)):INDEX(Mots!$P:$P,MATCH($A1139,Mots!$A:$A,0))),0)</f>
        <v/>
      </c>
      <c r="E1139" s="30">
        <f>IF(COUNTIF(Classement!$A:$A,$A1139)&gt;0,"ok","à faire")</f>
        <v/>
      </c>
      <c r="F1139" s="30">
        <f>IF(COUNTIF(Tags!$A:$A,$A1139)&gt;0,"ok","à faire")</f>
        <v/>
      </c>
      <c r="G1139" s="30">
        <f>IF(COUNTIF(Phrases!$A:$A,$A1139)&gt;0,"ok","à faire")</f>
        <v/>
      </c>
      <c r="H1139" s="30">
        <f>IF(COUNTIFS(Phrases!$A:$A,$A1139,Phrases!$I:$I,"&lt;&gt;")&gt;0,"ok","à faire")</f>
        <v/>
      </c>
      <c r="I1139" s="30">
        <f>IF(COUNTIF(Synonymes!$A:$A,$A1139)&gt;0,"ok","")</f>
        <v/>
      </c>
      <c r="J1139" s="30">
        <f>COUNTIF(E1139:H1139,"à faire")</f>
        <v/>
      </c>
    </row>
    <row r="1140">
      <c r="A1140" s="30" t="inlineStr">
        <is>
          <t>repos</t>
        </is>
      </c>
      <c r="B1140" s="30">
        <f>IFERROR(INDEX(Mots!$B:$B,MATCH($A1140,Mots!$A:$A,0)),"introuvable")</f>
        <v/>
      </c>
      <c r="C1140" s="30">
        <f>IFERROR(INDEX(Mots!$S:$S,MATCH($A1140,Mots!$A:$A,0)),"")</f>
        <v/>
      </c>
      <c r="D1140" s="30">
        <f>IFERROR(COUNTA(INDEX(Mots!$J:$J,MATCH($A1140,Mots!$A:$A,0)):INDEX(Mots!$P:$P,MATCH($A1140,Mots!$A:$A,0))),0)</f>
        <v/>
      </c>
      <c r="E1140" s="30">
        <f>IF(COUNTIF(Classement!$A:$A,$A1140)&gt;0,"ok","à faire")</f>
        <v/>
      </c>
      <c r="F1140" s="30">
        <f>IF(COUNTIF(Tags!$A:$A,$A1140)&gt;0,"ok","à faire")</f>
        <v/>
      </c>
      <c r="G1140" s="30">
        <f>IF(COUNTIF(Phrases!$A:$A,$A1140)&gt;0,"ok","à faire")</f>
        <v/>
      </c>
      <c r="H1140" s="30">
        <f>IF(COUNTIFS(Phrases!$A:$A,$A1140,Phrases!$I:$I,"&lt;&gt;")&gt;0,"ok","à faire")</f>
        <v/>
      </c>
      <c r="I1140" s="30">
        <f>IF(COUNTIF(Synonymes!$A:$A,$A1140)&gt;0,"ok","")</f>
        <v/>
      </c>
      <c r="J1140" s="30">
        <f>COUNTIF(E1140:H1140,"à faire")</f>
        <v/>
      </c>
    </row>
    <row r="1141">
      <c r="A1141" s="30" t="inlineStr">
        <is>
          <t>respect</t>
        </is>
      </c>
      <c r="B1141" s="30">
        <f>IFERROR(INDEX(Mots!$B:$B,MATCH($A1141,Mots!$A:$A,0)),"introuvable")</f>
        <v/>
      </c>
      <c r="C1141" s="30">
        <f>IFERROR(INDEX(Mots!$S:$S,MATCH($A1141,Mots!$A:$A,0)),"")</f>
        <v/>
      </c>
      <c r="D1141" s="30">
        <f>IFERROR(COUNTA(INDEX(Mots!$J:$J,MATCH($A1141,Mots!$A:$A,0)):INDEX(Mots!$P:$P,MATCH($A1141,Mots!$A:$A,0))),0)</f>
        <v/>
      </c>
      <c r="E1141" s="30">
        <f>IF(COUNTIF(Classement!$A:$A,$A1141)&gt;0,"ok","à faire")</f>
        <v/>
      </c>
      <c r="F1141" s="30">
        <f>IF(COUNTIF(Tags!$A:$A,$A1141)&gt;0,"ok","à faire")</f>
        <v/>
      </c>
      <c r="G1141" s="30">
        <f>IF(COUNTIF(Phrases!$A:$A,$A1141)&gt;0,"ok","à faire")</f>
        <v/>
      </c>
      <c r="H1141" s="30">
        <f>IF(COUNTIFS(Phrases!$A:$A,$A1141,Phrases!$I:$I,"&lt;&gt;")&gt;0,"ok","à faire")</f>
        <v/>
      </c>
      <c r="I1141" s="30">
        <f>IF(COUNTIF(Synonymes!$A:$A,$A1141)&gt;0,"ok","")</f>
        <v/>
      </c>
      <c r="J1141" s="30">
        <f>COUNTIF(E1141:H1141,"à faire")</f>
        <v/>
      </c>
    </row>
    <row r="1142">
      <c r="A1142" s="30" t="inlineStr">
        <is>
          <t>resultat</t>
        </is>
      </c>
      <c r="B1142" s="30">
        <f>IFERROR(INDEX(Mots!$B:$B,MATCH($A1142,Mots!$A:$A,0)),"introuvable")</f>
        <v/>
      </c>
      <c r="C1142" s="30">
        <f>IFERROR(INDEX(Mots!$S:$S,MATCH($A1142,Mots!$A:$A,0)),"")</f>
        <v/>
      </c>
      <c r="D1142" s="30">
        <f>IFERROR(COUNTA(INDEX(Mots!$J:$J,MATCH($A1142,Mots!$A:$A,0)):INDEX(Mots!$P:$P,MATCH($A1142,Mots!$A:$A,0))),0)</f>
        <v/>
      </c>
      <c r="E1142" s="30">
        <f>IF(COUNTIF(Classement!$A:$A,$A1142)&gt;0,"ok","à faire")</f>
        <v/>
      </c>
      <c r="F1142" s="30">
        <f>IF(COUNTIF(Tags!$A:$A,$A1142)&gt;0,"ok","à faire")</f>
        <v/>
      </c>
      <c r="G1142" s="30">
        <f>IF(COUNTIF(Phrases!$A:$A,$A1142)&gt;0,"ok","à faire")</f>
        <v/>
      </c>
      <c r="H1142" s="30">
        <f>IF(COUNTIFS(Phrases!$A:$A,$A1142,Phrases!$I:$I,"&lt;&gt;")&gt;0,"ok","à faire")</f>
        <v/>
      </c>
      <c r="I1142" s="30">
        <f>IF(COUNTIF(Synonymes!$A:$A,$A1142)&gt;0,"ok","")</f>
        <v/>
      </c>
      <c r="J1142" s="30">
        <f>COUNTIF(E1142:H1142,"à faire")</f>
        <v/>
      </c>
    </row>
    <row r="1143">
      <c r="A1143" s="30" t="inlineStr">
        <is>
          <t>retour</t>
        </is>
      </c>
      <c r="B1143" s="30">
        <f>IFERROR(INDEX(Mots!$B:$B,MATCH($A1143,Mots!$A:$A,0)),"introuvable")</f>
        <v/>
      </c>
      <c r="C1143" s="30">
        <f>IFERROR(INDEX(Mots!$S:$S,MATCH($A1143,Mots!$A:$A,0)),"")</f>
        <v/>
      </c>
      <c r="D1143" s="30">
        <f>IFERROR(COUNTA(INDEX(Mots!$J:$J,MATCH($A1143,Mots!$A:$A,0)):INDEX(Mots!$P:$P,MATCH($A1143,Mots!$A:$A,0))),0)</f>
        <v/>
      </c>
      <c r="E1143" s="30">
        <f>IF(COUNTIF(Classement!$A:$A,$A1143)&gt;0,"ok","à faire")</f>
        <v/>
      </c>
      <c r="F1143" s="30">
        <f>IF(COUNTIF(Tags!$A:$A,$A1143)&gt;0,"ok","à faire")</f>
        <v/>
      </c>
      <c r="G1143" s="30">
        <f>IF(COUNTIF(Phrases!$A:$A,$A1143)&gt;0,"ok","à faire")</f>
        <v/>
      </c>
      <c r="H1143" s="30">
        <f>IF(COUNTIFS(Phrases!$A:$A,$A1143,Phrases!$I:$I,"&lt;&gt;")&gt;0,"ok","à faire")</f>
        <v/>
      </c>
      <c r="I1143" s="30">
        <f>IF(COUNTIF(Synonymes!$A:$A,$A1143)&gt;0,"ok","")</f>
        <v/>
      </c>
      <c r="J1143" s="30">
        <f>COUNTIF(E1143:H1143,"à faire")</f>
        <v/>
      </c>
    </row>
    <row r="1144">
      <c r="A1144" s="30" t="inlineStr">
        <is>
          <t>rhume</t>
        </is>
      </c>
      <c r="B1144" s="30">
        <f>IFERROR(INDEX(Mots!$B:$B,MATCH($A1144,Mots!$A:$A,0)),"introuvable")</f>
        <v/>
      </c>
      <c r="C1144" s="30">
        <f>IFERROR(INDEX(Mots!$S:$S,MATCH($A1144,Mots!$A:$A,0)),"")</f>
        <v/>
      </c>
      <c r="D1144" s="30">
        <f>IFERROR(COUNTA(INDEX(Mots!$J:$J,MATCH($A1144,Mots!$A:$A,0)):INDEX(Mots!$P:$P,MATCH($A1144,Mots!$A:$A,0))),0)</f>
        <v/>
      </c>
      <c r="E1144" s="30">
        <f>IF(COUNTIF(Classement!$A:$A,$A1144)&gt;0,"ok","à faire")</f>
        <v/>
      </c>
      <c r="F1144" s="30">
        <f>IF(COUNTIF(Tags!$A:$A,$A1144)&gt;0,"ok","à faire")</f>
        <v/>
      </c>
      <c r="G1144" s="30">
        <f>IF(COUNTIF(Phrases!$A:$A,$A1144)&gt;0,"ok","à faire")</f>
        <v/>
      </c>
      <c r="H1144" s="30">
        <f>IF(COUNTIFS(Phrases!$A:$A,$A1144,Phrases!$I:$I,"&lt;&gt;")&gt;0,"ok","à faire")</f>
        <v/>
      </c>
      <c r="I1144" s="30">
        <f>IF(COUNTIF(Synonymes!$A:$A,$A1144)&gt;0,"ok","")</f>
        <v/>
      </c>
      <c r="J1144" s="30">
        <f>COUNTIF(E1144:H1144,"à faire")</f>
        <v/>
      </c>
    </row>
    <row r="1145">
      <c r="A1145" s="30" t="inlineStr">
        <is>
          <t>rideau</t>
        </is>
      </c>
      <c r="B1145" s="30">
        <f>IFERROR(INDEX(Mots!$B:$B,MATCH($A1145,Mots!$A:$A,0)),"introuvable")</f>
        <v/>
      </c>
      <c r="C1145" s="30">
        <f>IFERROR(INDEX(Mots!$S:$S,MATCH($A1145,Mots!$A:$A,0)),"")</f>
        <v/>
      </c>
      <c r="D1145" s="30">
        <f>IFERROR(COUNTA(INDEX(Mots!$J:$J,MATCH($A1145,Mots!$A:$A,0)):INDEX(Mots!$P:$P,MATCH($A1145,Mots!$A:$A,0))),0)</f>
        <v/>
      </c>
      <c r="E1145" s="30">
        <f>IF(COUNTIF(Classement!$A:$A,$A1145)&gt;0,"ok","à faire")</f>
        <v/>
      </c>
      <c r="F1145" s="30">
        <f>IF(COUNTIF(Tags!$A:$A,$A1145)&gt;0,"ok","à faire")</f>
        <v/>
      </c>
      <c r="G1145" s="30">
        <f>IF(COUNTIF(Phrases!$A:$A,$A1145)&gt;0,"ok","à faire")</f>
        <v/>
      </c>
      <c r="H1145" s="30">
        <f>IF(COUNTIFS(Phrases!$A:$A,$A1145,Phrases!$I:$I,"&lt;&gt;")&gt;0,"ok","à faire")</f>
        <v/>
      </c>
      <c r="I1145" s="30">
        <f>IF(COUNTIF(Synonymes!$A:$A,$A1145)&gt;0,"ok","")</f>
        <v/>
      </c>
      <c r="J1145" s="30">
        <f>COUNTIF(E1145:H1145,"à faire")</f>
        <v/>
      </c>
    </row>
    <row r="1146">
      <c r="A1146" s="30" t="inlineStr">
        <is>
          <t>risque</t>
        </is>
      </c>
      <c r="B1146" s="30">
        <f>IFERROR(INDEX(Mots!$B:$B,MATCH($A1146,Mots!$A:$A,0)),"introuvable")</f>
        <v/>
      </c>
      <c r="C1146" s="30">
        <f>IFERROR(INDEX(Mots!$S:$S,MATCH($A1146,Mots!$A:$A,0)),"")</f>
        <v/>
      </c>
      <c r="D1146" s="30">
        <f>IFERROR(COUNTA(INDEX(Mots!$J:$J,MATCH($A1146,Mots!$A:$A,0)):INDEX(Mots!$P:$P,MATCH($A1146,Mots!$A:$A,0))),0)</f>
        <v/>
      </c>
      <c r="E1146" s="30">
        <f>IF(COUNTIF(Classement!$A:$A,$A1146)&gt;0,"ok","à faire")</f>
        <v/>
      </c>
      <c r="F1146" s="30">
        <f>IF(COUNTIF(Tags!$A:$A,$A1146)&gt;0,"ok","à faire")</f>
        <v/>
      </c>
      <c r="G1146" s="30">
        <f>IF(COUNTIF(Phrases!$A:$A,$A1146)&gt;0,"ok","à faire")</f>
        <v/>
      </c>
      <c r="H1146" s="30">
        <f>IF(COUNTIFS(Phrases!$A:$A,$A1146,Phrases!$I:$I,"&lt;&gt;")&gt;0,"ok","à faire")</f>
        <v/>
      </c>
      <c r="I1146" s="30">
        <f>IF(COUNTIF(Synonymes!$A:$A,$A1146)&gt;0,"ok","")</f>
        <v/>
      </c>
      <c r="J1146" s="30">
        <f>COUNTIF(E1146:H1146,"à faire")</f>
        <v/>
      </c>
    </row>
    <row r="1147">
      <c r="A1147" s="30" t="inlineStr">
        <is>
          <t>ruban</t>
        </is>
      </c>
      <c r="B1147" s="30">
        <f>IFERROR(INDEX(Mots!$B:$B,MATCH($A1147,Mots!$A:$A,0)),"introuvable")</f>
        <v/>
      </c>
      <c r="C1147" s="30">
        <f>IFERROR(INDEX(Mots!$S:$S,MATCH($A1147,Mots!$A:$A,0)),"")</f>
        <v/>
      </c>
      <c r="D1147" s="30">
        <f>IFERROR(COUNTA(INDEX(Mots!$J:$J,MATCH($A1147,Mots!$A:$A,0)):INDEX(Mots!$P:$P,MATCH($A1147,Mots!$A:$A,0))),0)</f>
        <v/>
      </c>
      <c r="E1147" s="30">
        <f>IF(COUNTIF(Classement!$A:$A,$A1147)&gt;0,"ok","à faire")</f>
        <v/>
      </c>
      <c r="F1147" s="30">
        <f>IF(COUNTIF(Tags!$A:$A,$A1147)&gt;0,"ok","à faire")</f>
        <v/>
      </c>
      <c r="G1147" s="30">
        <f>IF(COUNTIF(Phrases!$A:$A,$A1147)&gt;0,"ok","à faire")</f>
        <v/>
      </c>
      <c r="H1147" s="30">
        <f>IF(COUNTIFS(Phrases!$A:$A,$A1147,Phrases!$I:$I,"&lt;&gt;")&gt;0,"ok","à faire")</f>
        <v/>
      </c>
      <c r="I1147" s="30">
        <f>IF(COUNTIF(Synonymes!$A:$A,$A1147)&gt;0,"ok","")</f>
        <v/>
      </c>
      <c r="J1147" s="30">
        <f>COUNTIF(E1147:H1147,"à faire")</f>
        <v/>
      </c>
    </row>
    <row r="1148">
      <c r="A1148" s="30" t="inlineStr">
        <is>
          <t>rythme</t>
        </is>
      </c>
      <c r="B1148" s="30">
        <f>IFERROR(INDEX(Mots!$B:$B,MATCH($A1148,Mots!$A:$A,0)),"introuvable")</f>
        <v/>
      </c>
      <c r="C1148" s="30">
        <f>IFERROR(INDEX(Mots!$S:$S,MATCH($A1148,Mots!$A:$A,0)),"")</f>
        <v/>
      </c>
      <c r="D1148" s="30">
        <f>IFERROR(COUNTA(INDEX(Mots!$J:$J,MATCH($A1148,Mots!$A:$A,0)):INDEX(Mots!$P:$P,MATCH($A1148,Mots!$A:$A,0))),0)</f>
        <v/>
      </c>
      <c r="E1148" s="30">
        <f>IF(COUNTIF(Classement!$A:$A,$A1148)&gt;0,"ok","à faire")</f>
        <v/>
      </c>
      <c r="F1148" s="30">
        <f>IF(COUNTIF(Tags!$A:$A,$A1148)&gt;0,"ok","à faire")</f>
        <v/>
      </c>
      <c r="G1148" s="30">
        <f>IF(COUNTIF(Phrases!$A:$A,$A1148)&gt;0,"ok","à faire")</f>
        <v/>
      </c>
      <c r="H1148" s="30">
        <f>IF(COUNTIFS(Phrases!$A:$A,$A1148,Phrases!$I:$I,"&lt;&gt;")&gt;0,"ok","à faire")</f>
        <v/>
      </c>
      <c r="I1148" s="30">
        <f>IF(COUNTIF(Synonymes!$A:$A,$A1148)&gt;0,"ok","")</f>
        <v/>
      </c>
      <c r="J1148" s="30">
        <f>COUNTIF(E1148:H1148,"à faire")</f>
        <v/>
      </c>
    </row>
    <row r="1149">
      <c r="A1149" s="30" t="inlineStr">
        <is>
          <t>sable</t>
        </is>
      </c>
      <c r="B1149" s="30">
        <f>IFERROR(INDEX(Mots!$B:$B,MATCH($A1149,Mots!$A:$A,0)),"introuvable")</f>
        <v/>
      </c>
      <c r="C1149" s="30">
        <f>IFERROR(INDEX(Mots!$S:$S,MATCH($A1149,Mots!$A:$A,0)),"")</f>
        <v/>
      </c>
      <c r="D1149" s="30">
        <f>IFERROR(COUNTA(INDEX(Mots!$J:$J,MATCH($A1149,Mots!$A:$A,0)):INDEX(Mots!$P:$P,MATCH($A1149,Mots!$A:$A,0))),0)</f>
        <v/>
      </c>
      <c r="E1149" s="30">
        <f>IF(COUNTIF(Classement!$A:$A,$A1149)&gt;0,"ok","à faire")</f>
        <v/>
      </c>
      <c r="F1149" s="30">
        <f>IF(COUNTIF(Tags!$A:$A,$A1149)&gt;0,"ok","à faire")</f>
        <v/>
      </c>
      <c r="G1149" s="30">
        <f>IF(COUNTIF(Phrases!$A:$A,$A1149)&gt;0,"ok","à faire")</f>
        <v/>
      </c>
      <c r="H1149" s="30">
        <f>IF(COUNTIFS(Phrases!$A:$A,$A1149,Phrases!$I:$I,"&lt;&gt;")&gt;0,"ok","à faire")</f>
        <v/>
      </c>
      <c r="I1149" s="30">
        <f>IF(COUNTIF(Synonymes!$A:$A,$A1149)&gt;0,"ok","")</f>
        <v/>
      </c>
      <c r="J1149" s="30">
        <f>COUNTIF(E1149:H1149,"à faire")</f>
        <v/>
      </c>
    </row>
    <row r="1150">
      <c r="A1150" s="30" t="inlineStr">
        <is>
          <t>sac</t>
        </is>
      </c>
      <c r="B1150" s="30">
        <f>IFERROR(INDEX(Mots!$B:$B,MATCH($A1150,Mots!$A:$A,0)),"introuvable")</f>
        <v/>
      </c>
      <c r="C1150" s="30">
        <f>IFERROR(INDEX(Mots!$S:$S,MATCH($A1150,Mots!$A:$A,0)),"")</f>
        <v/>
      </c>
      <c r="D1150" s="30">
        <f>IFERROR(COUNTA(INDEX(Mots!$J:$J,MATCH($A1150,Mots!$A:$A,0)):INDEX(Mots!$P:$P,MATCH($A1150,Mots!$A:$A,0))),0)</f>
        <v/>
      </c>
      <c r="E1150" s="30">
        <f>IF(COUNTIF(Classement!$A:$A,$A1150)&gt;0,"ok","à faire")</f>
        <v/>
      </c>
      <c r="F1150" s="30">
        <f>IF(COUNTIF(Tags!$A:$A,$A1150)&gt;0,"ok","à faire")</f>
        <v/>
      </c>
      <c r="G1150" s="30">
        <f>IF(COUNTIF(Phrases!$A:$A,$A1150)&gt;0,"ok","à faire")</f>
        <v/>
      </c>
      <c r="H1150" s="30">
        <f>IF(COUNTIFS(Phrases!$A:$A,$A1150,Phrases!$I:$I,"&lt;&gt;")&gt;0,"ok","à faire")</f>
        <v/>
      </c>
      <c r="I1150" s="30">
        <f>IF(COUNTIF(Synonymes!$A:$A,$A1150)&gt;0,"ok","")</f>
        <v/>
      </c>
      <c r="J1150" s="30">
        <f>COUNTIF(E1150:H1150,"à faire")</f>
        <v/>
      </c>
    </row>
    <row r="1151">
      <c r="A1151" s="30" t="inlineStr">
        <is>
          <t>sac_a_dos</t>
        </is>
      </c>
      <c r="B1151" s="30">
        <f>IFERROR(INDEX(Mots!$B:$B,MATCH($A1151,Mots!$A:$A,0)),"introuvable")</f>
        <v/>
      </c>
      <c r="C1151" s="30">
        <f>IFERROR(INDEX(Mots!$S:$S,MATCH($A1151,Mots!$A:$A,0)),"")</f>
        <v/>
      </c>
      <c r="D1151" s="30">
        <f>IFERROR(COUNTA(INDEX(Mots!$J:$J,MATCH($A1151,Mots!$A:$A,0)):INDEX(Mots!$P:$P,MATCH($A1151,Mots!$A:$A,0))),0)</f>
        <v/>
      </c>
      <c r="E1151" s="30">
        <f>IF(COUNTIF(Classement!$A:$A,$A1151)&gt;0,"ok","à faire")</f>
        <v/>
      </c>
      <c r="F1151" s="30">
        <f>IF(COUNTIF(Tags!$A:$A,$A1151)&gt;0,"ok","à faire")</f>
        <v/>
      </c>
      <c r="G1151" s="30">
        <f>IF(COUNTIF(Phrases!$A:$A,$A1151)&gt;0,"ok","à faire")</f>
        <v/>
      </c>
      <c r="H1151" s="30">
        <f>IF(COUNTIFS(Phrases!$A:$A,$A1151,Phrases!$I:$I,"&lt;&gt;")&gt;0,"ok","à faire")</f>
        <v/>
      </c>
      <c r="I1151" s="30">
        <f>IF(COUNTIF(Synonymes!$A:$A,$A1151)&gt;0,"ok","")</f>
        <v/>
      </c>
      <c r="J1151" s="30">
        <f>COUNTIF(E1151:H1151,"à faire")</f>
        <v/>
      </c>
    </row>
    <row r="1152">
      <c r="A1152" s="30" t="inlineStr">
        <is>
          <t>seau</t>
        </is>
      </c>
      <c r="B1152" s="30">
        <f>IFERROR(INDEX(Mots!$B:$B,MATCH($A1152,Mots!$A:$A,0)),"introuvable")</f>
        <v/>
      </c>
      <c r="C1152" s="30">
        <f>IFERROR(INDEX(Mots!$S:$S,MATCH($A1152,Mots!$A:$A,0)),"")</f>
        <v/>
      </c>
      <c r="D1152" s="30">
        <f>IFERROR(COUNTA(INDEX(Mots!$J:$J,MATCH($A1152,Mots!$A:$A,0)):INDEX(Mots!$P:$P,MATCH($A1152,Mots!$A:$A,0))),0)</f>
        <v/>
      </c>
      <c r="E1152" s="30">
        <f>IF(COUNTIF(Classement!$A:$A,$A1152)&gt;0,"ok","à faire")</f>
        <v/>
      </c>
      <c r="F1152" s="30">
        <f>IF(COUNTIF(Tags!$A:$A,$A1152)&gt;0,"ok","à faire")</f>
        <v/>
      </c>
      <c r="G1152" s="30">
        <f>IF(COUNTIF(Phrases!$A:$A,$A1152)&gt;0,"ok","à faire")</f>
        <v/>
      </c>
      <c r="H1152" s="30">
        <f>IF(COUNTIFS(Phrases!$A:$A,$A1152,Phrases!$I:$I,"&lt;&gt;")&gt;0,"ok","à faire")</f>
        <v/>
      </c>
      <c r="I1152" s="30">
        <f>IF(COUNTIF(Synonymes!$A:$A,$A1152)&gt;0,"ok","")</f>
        <v/>
      </c>
      <c r="J1152" s="30">
        <f>COUNTIF(E1152:H1152,"à faire")</f>
        <v/>
      </c>
    </row>
    <row r="1153">
      <c r="A1153" s="30" t="inlineStr">
        <is>
          <t>secours</t>
        </is>
      </c>
      <c r="B1153" s="30">
        <f>IFERROR(INDEX(Mots!$B:$B,MATCH($A1153,Mots!$A:$A,0)),"introuvable")</f>
        <v/>
      </c>
      <c r="C1153" s="30">
        <f>IFERROR(INDEX(Mots!$S:$S,MATCH($A1153,Mots!$A:$A,0)),"")</f>
        <v/>
      </c>
      <c r="D1153" s="30">
        <f>IFERROR(COUNTA(INDEX(Mots!$J:$J,MATCH($A1153,Mots!$A:$A,0)):INDEX(Mots!$P:$P,MATCH($A1153,Mots!$A:$A,0))),0)</f>
        <v/>
      </c>
      <c r="E1153" s="30">
        <f>IF(COUNTIF(Classement!$A:$A,$A1153)&gt;0,"ok","à faire")</f>
        <v/>
      </c>
      <c r="F1153" s="30">
        <f>IF(COUNTIF(Tags!$A:$A,$A1153)&gt;0,"ok","à faire")</f>
        <v/>
      </c>
      <c r="G1153" s="30">
        <f>IF(COUNTIF(Phrases!$A:$A,$A1153)&gt;0,"ok","à faire")</f>
        <v/>
      </c>
      <c r="H1153" s="30">
        <f>IF(COUNTIFS(Phrases!$A:$A,$A1153,Phrases!$I:$I,"&lt;&gt;")&gt;0,"ok","à faire")</f>
        <v/>
      </c>
      <c r="I1153" s="30">
        <f>IF(COUNTIF(Synonymes!$A:$A,$A1153)&gt;0,"ok","")</f>
        <v/>
      </c>
      <c r="J1153" s="30">
        <f>COUNTIF(E1153:H1153,"à faire")</f>
        <v/>
      </c>
    </row>
    <row r="1154">
      <c r="A1154" s="30" t="inlineStr">
        <is>
          <t>secret</t>
        </is>
      </c>
      <c r="B1154" s="30">
        <f>IFERROR(INDEX(Mots!$B:$B,MATCH($A1154,Mots!$A:$A,0)),"introuvable")</f>
        <v/>
      </c>
      <c r="C1154" s="30">
        <f>IFERROR(INDEX(Mots!$S:$S,MATCH($A1154,Mots!$A:$A,0)),"")</f>
        <v/>
      </c>
      <c r="D1154" s="30">
        <f>IFERROR(COUNTA(INDEX(Mots!$J:$J,MATCH($A1154,Mots!$A:$A,0)):INDEX(Mots!$P:$P,MATCH($A1154,Mots!$A:$A,0))),0)</f>
        <v/>
      </c>
      <c r="E1154" s="30">
        <f>IF(COUNTIF(Classement!$A:$A,$A1154)&gt;0,"ok","à faire")</f>
        <v/>
      </c>
      <c r="F1154" s="30">
        <f>IF(COUNTIF(Tags!$A:$A,$A1154)&gt;0,"ok","à faire")</f>
        <v/>
      </c>
      <c r="G1154" s="30">
        <f>IF(COUNTIF(Phrases!$A:$A,$A1154)&gt;0,"ok","à faire")</f>
        <v/>
      </c>
      <c r="H1154" s="30">
        <f>IF(COUNTIFS(Phrases!$A:$A,$A1154,Phrases!$I:$I,"&lt;&gt;")&gt;0,"ok","à faire")</f>
        <v/>
      </c>
      <c r="I1154" s="30">
        <f>IF(COUNTIF(Synonymes!$A:$A,$A1154)&gt;0,"ok","")</f>
        <v/>
      </c>
      <c r="J1154" s="30">
        <f>COUNTIF(E1154:H1154,"à faire")</f>
        <v/>
      </c>
    </row>
    <row r="1155">
      <c r="A1155" s="30" t="inlineStr">
        <is>
          <t>secteur</t>
        </is>
      </c>
      <c r="B1155" s="30">
        <f>IFERROR(INDEX(Mots!$B:$B,MATCH($A1155,Mots!$A:$A,0)),"introuvable")</f>
        <v/>
      </c>
      <c r="C1155" s="30">
        <f>IFERROR(INDEX(Mots!$S:$S,MATCH($A1155,Mots!$A:$A,0)),"")</f>
        <v/>
      </c>
      <c r="D1155" s="30">
        <f>IFERROR(COUNTA(INDEX(Mots!$J:$J,MATCH($A1155,Mots!$A:$A,0)):INDEX(Mots!$P:$P,MATCH($A1155,Mots!$A:$A,0))),0)</f>
        <v/>
      </c>
      <c r="E1155" s="30">
        <f>IF(COUNTIF(Classement!$A:$A,$A1155)&gt;0,"ok","à faire")</f>
        <v/>
      </c>
      <c r="F1155" s="30">
        <f>IF(COUNTIF(Tags!$A:$A,$A1155)&gt;0,"ok","à faire")</f>
        <v/>
      </c>
      <c r="G1155" s="30">
        <f>IF(COUNTIF(Phrases!$A:$A,$A1155)&gt;0,"ok","à faire")</f>
        <v/>
      </c>
      <c r="H1155" s="30">
        <f>IF(COUNTIFS(Phrases!$A:$A,$A1155,Phrases!$I:$I,"&lt;&gt;")&gt;0,"ok","à faire")</f>
        <v/>
      </c>
      <c r="I1155" s="30">
        <f>IF(COUNTIF(Synonymes!$A:$A,$A1155)&gt;0,"ok","")</f>
        <v/>
      </c>
      <c r="J1155" s="30">
        <f>COUNTIF(E1155:H1155,"à faire")</f>
        <v/>
      </c>
    </row>
    <row r="1156">
      <c r="A1156" s="30" t="inlineStr">
        <is>
          <t>sentier</t>
        </is>
      </c>
      <c r="B1156" s="30">
        <f>IFERROR(INDEX(Mots!$B:$B,MATCH($A1156,Mots!$A:$A,0)),"introuvable")</f>
        <v/>
      </c>
      <c r="C1156" s="30">
        <f>IFERROR(INDEX(Mots!$S:$S,MATCH($A1156,Mots!$A:$A,0)),"")</f>
        <v/>
      </c>
      <c r="D1156" s="30">
        <f>IFERROR(COUNTA(INDEX(Mots!$J:$J,MATCH($A1156,Mots!$A:$A,0)):INDEX(Mots!$P:$P,MATCH($A1156,Mots!$A:$A,0))),0)</f>
        <v/>
      </c>
      <c r="E1156" s="30">
        <f>IF(COUNTIF(Classement!$A:$A,$A1156)&gt;0,"ok","à faire")</f>
        <v/>
      </c>
      <c r="F1156" s="30">
        <f>IF(COUNTIF(Tags!$A:$A,$A1156)&gt;0,"ok","à faire")</f>
        <v/>
      </c>
      <c r="G1156" s="30">
        <f>IF(COUNTIF(Phrases!$A:$A,$A1156)&gt;0,"ok","à faire")</f>
        <v/>
      </c>
      <c r="H1156" s="30">
        <f>IF(COUNTIFS(Phrases!$A:$A,$A1156,Phrases!$I:$I,"&lt;&gt;")&gt;0,"ok","à faire")</f>
        <v/>
      </c>
      <c r="I1156" s="30">
        <f>IF(COUNTIF(Synonymes!$A:$A,$A1156)&gt;0,"ok","")</f>
        <v/>
      </c>
      <c r="J1156" s="30">
        <f>COUNTIF(E1156:H1156,"à faire")</f>
        <v/>
      </c>
    </row>
    <row r="1157">
      <c r="A1157" s="30" t="inlineStr">
        <is>
          <t>service</t>
        </is>
      </c>
      <c r="B1157" s="30">
        <f>IFERROR(INDEX(Mots!$B:$B,MATCH($A1157,Mots!$A:$A,0)),"introuvable")</f>
        <v/>
      </c>
      <c r="C1157" s="30">
        <f>IFERROR(INDEX(Mots!$S:$S,MATCH($A1157,Mots!$A:$A,0)),"")</f>
        <v/>
      </c>
      <c r="D1157" s="30">
        <f>IFERROR(COUNTA(INDEX(Mots!$J:$J,MATCH($A1157,Mots!$A:$A,0)):INDEX(Mots!$P:$P,MATCH($A1157,Mots!$A:$A,0))),0)</f>
        <v/>
      </c>
      <c r="E1157" s="30">
        <f>IF(COUNTIF(Classement!$A:$A,$A1157)&gt;0,"ok","à faire")</f>
        <v/>
      </c>
      <c r="F1157" s="30">
        <f>IF(COUNTIF(Tags!$A:$A,$A1157)&gt;0,"ok","à faire")</f>
        <v/>
      </c>
      <c r="G1157" s="30">
        <f>IF(COUNTIF(Phrases!$A:$A,$A1157)&gt;0,"ok","à faire")</f>
        <v/>
      </c>
      <c r="H1157" s="30">
        <f>IF(COUNTIFS(Phrases!$A:$A,$A1157,Phrases!$I:$I,"&lt;&gt;")&gt;0,"ok","à faire")</f>
        <v/>
      </c>
      <c r="I1157" s="30">
        <f>IF(COUNTIF(Synonymes!$A:$A,$A1157)&gt;0,"ok","")</f>
        <v/>
      </c>
      <c r="J1157" s="30">
        <f>COUNTIF(E1157:H1157,"à faire")</f>
        <v/>
      </c>
    </row>
    <row r="1158">
      <c r="A1158" s="30" t="inlineStr">
        <is>
          <t>signe</t>
        </is>
      </c>
      <c r="B1158" s="30">
        <f>IFERROR(INDEX(Mots!$B:$B,MATCH($A1158,Mots!$A:$A,0)),"introuvable")</f>
        <v/>
      </c>
      <c r="C1158" s="30">
        <f>IFERROR(INDEX(Mots!$S:$S,MATCH($A1158,Mots!$A:$A,0)),"")</f>
        <v/>
      </c>
      <c r="D1158" s="30">
        <f>IFERROR(COUNTA(INDEX(Mots!$J:$J,MATCH($A1158,Mots!$A:$A,0)):INDEX(Mots!$P:$P,MATCH($A1158,Mots!$A:$A,0))),0)</f>
        <v/>
      </c>
      <c r="E1158" s="30">
        <f>IF(COUNTIF(Classement!$A:$A,$A1158)&gt;0,"ok","à faire")</f>
        <v/>
      </c>
      <c r="F1158" s="30">
        <f>IF(COUNTIF(Tags!$A:$A,$A1158)&gt;0,"ok","à faire")</f>
        <v/>
      </c>
      <c r="G1158" s="30">
        <f>IF(COUNTIF(Phrases!$A:$A,$A1158)&gt;0,"ok","à faire")</f>
        <v/>
      </c>
      <c r="H1158" s="30">
        <f>IF(COUNTIFS(Phrases!$A:$A,$A1158,Phrases!$I:$I,"&lt;&gt;")&gt;0,"ok","à faire")</f>
        <v/>
      </c>
      <c r="I1158" s="30">
        <f>IF(COUNTIF(Synonymes!$A:$A,$A1158)&gt;0,"ok","")</f>
        <v/>
      </c>
      <c r="J1158" s="30">
        <f>COUNTIF(E1158:H1158,"à faire")</f>
        <v/>
      </c>
    </row>
    <row r="1159">
      <c r="A1159" s="30" t="inlineStr">
        <is>
          <t>silence</t>
        </is>
      </c>
      <c r="B1159" s="30">
        <f>IFERROR(INDEX(Mots!$B:$B,MATCH($A1159,Mots!$A:$A,0)),"introuvable")</f>
        <v/>
      </c>
      <c r="C1159" s="30">
        <f>IFERROR(INDEX(Mots!$S:$S,MATCH($A1159,Mots!$A:$A,0)),"")</f>
        <v/>
      </c>
      <c r="D1159" s="30">
        <f>IFERROR(COUNTA(INDEX(Mots!$J:$J,MATCH($A1159,Mots!$A:$A,0)):INDEX(Mots!$P:$P,MATCH($A1159,Mots!$A:$A,0))),0)</f>
        <v/>
      </c>
      <c r="E1159" s="30">
        <f>IF(COUNTIF(Classement!$A:$A,$A1159)&gt;0,"ok","à faire")</f>
        <v/>
      </c>
      <c r="F1159" s="30">
        <f>IF(COUNTIF(Tags!$A:$A,$A1159)&gt;0,"ok","à faire")</f>
        <v/>
      </c>
      <c r="G1159" s="30">
        <f>IF(COUNTIF(Phrases!$A:$A,$A1159)&gt;0,"ok","à faire")</f>
        <v/>
      </c>
      <c r="H1159" s="30">
        <f>IF(COUNTIFS(Phrases!$A:$A,$A1159,Phrases!$I:$I,"&lt;&gt;")&gt;0,"ok","à faire")</f>
        <v/>
      </c>
      <c r="I1159" s="30">
        <f>IF(COUNTIF(Synonymes!$A:$A,$A1159)&gt;0,"ok","")</f>
        <v/>
      </c>
      <c r="J1159" s="30">
        <f>COUNTIF(E1159:H1159,"à faire")</f>
        <v/>
      </c>
    </row>
    <row r="1160">
      <c r="A1160" s="30" t="inlineStr">
        <is>
          <t>v_soigner</t>
        </is>
      </c>
      <c r="B1160" s="30">
        <f>IFERROR(INDEX(Mots!$B:$B,MATCH($A1160,Mots!$A:$A,0)),"introuvable")</f>
        <v/>
      </c>
      <c r="C1160" s="30">
        <f>IFERROR(INDEX(Mots!$S:$S,MATCH($A1160,Mots!$A:$A,0)),"")</f>
        <v/>
      </c>
      <c r="D1160" s="30">
        <f>IFERROR(COUNTA(INDEX(Mots!$J:$J,MATCH($A1160,Mots!$A:$A,0)):INDEX(Mots!$P:$P,MATCH($A1160,Mots!$A:$A,0))),0)</f>
        <v/>
      </c>
      <c r="E1160" s="30">
        <f>IF(COUNTIF(Classement!$A:$A,$A1160)&gt;0,"ok","à faire")</f>
        <v/>
      </c>
      <c r="F1160" s="30">
        <f>IF(COUNTIF(Tags!$A:$A,$A1160)&gt;0,"ok","à faire")</f>
        <v/>
      </c>
      <c r="G1160" s="30">
        <f>IF(COUNTIF(Phrases!$A:$A,$A1160)&gt;0,"ok","à faire")</f>
        <v/>
      </c>
      <c r="H1160" s="30">
        <f>IF(COUNTIFS(Phrases!$A:$A,$A1160,Phrases!$I:$I,"&lt;&gt;")&gt;0,"ok","à faire")</f>
        <v/>
      </c>
      <c r="I1160" s="30">
        <f>IF(COUNTIF(Synonymes!$A:$A,$A1160)&gt;0,"ok","")</f>
        <v/>
      </c>
      <c r="J1160" s="30">
        <f>COUNTIF(E1160:H1160,"à faire")</f>
        <v/>
      </c>
    </row>
    <row r="1161">
      <c r="A1161" s="30" t="inlineStr">
        <is>
          <t>sol</t>
        </is>
      </c>
      <c r="B1161" s="30">
        <f>IFERROR(INDEX(Mots!$B:$B,MATCH($A1161,Mots!$A:$A,0)),"introuvable")</f>
        <v/>
      </c>
      <c r="C1161" s="30">
        <f>IFERROR(INDEX(Mots!$S:$S,MATCH($A1161,Mots!$A:$A,0)),"")</f>
        <v/>
      </c>
      <c r="D1161" s="30">
        <f>IFERROR(COUNTA(INDEX(Mots!$J:$J,MATCH($A1161,Mots!$A:$A,0)):INDEX(Mots!$P:$P,MATCH($A1161,Mots!$A:$A,0))),0)</f>
        <v/>
      </c>
      <c r="E1161" s="30">
        <f>IF(COUNTIF(Classement!$A:$A,$A1161)&gt;0,"ok","à faire")</f>
        <v/>
      </c>
      <c r="F1161" s="30">
        <f>IF(COUNTIF(Tags!$A:$A,$A1161)&gt;0,"ok","à faire")</f>
        <v/>
      </c>
      <c r="G1161" s="30">
        <f>IF(COUNTIF(Phrases!$A:$A,$A1161)&gt;0,"ok","à faire")</f>
        <v/>
      </c>
      <c r="H1161" s="30">
        <f>IF(COUNTIFS(Phrases!$A:$A,$A1161,Phrases!$I:$I,"&lt;&gt;")&gt;0,"ok","à faire")</f>
        <v/>
      </c>
      <c r="I1161" s="30">
        <f>IF(COUNTIF(Synonymes!$A:$A,$A1161)&gt;0,"ok","")</f>
        <v/>
      </c>
      <c r="J1161" s="30">
        <f>COUNTIF(E1161:H1161,"à faire")</f>
        <v/>
      </c>
    </row>
    <row r="1162">
      <c r="A1162" s="30" t="inlineStr">
        <is>
          <t>sommeil</t>
        </is>
      </c>
      <c r="B1162" s="30">
        <f>IFERROR(INDEX(Mots!$B:$B,MATCH($A1162,Mots!$A:$A,0)),"introuvable")</f>
        <v/>
      </c>
      <c r="C1162" s="30">
        <f>IFERROR(INDEX(Mots!$S:$S,MATCH($A1162,Mots!$A:$A,0)),"")</f>
        <v/>
      </c>
      <c r="D1162" s="30">
        <f>IFERROR(COUNTA(INDEX(Mots!$J:$J,MATCH($A1162,Mots!$A:$A,0)):INDEX(Mots!$P:$P,MATCH($A1162,Mots!$A:$A,0))),0)</f>
        <v/>
      </c>
      <c r="E1162" s="30">
        <f>IF(COUNTIF(Classement!$A:$A,$A1162)&gt;0,"ok","à faire")</f>
        <v/>
      </c>
      <c r="F1162" s="30">
        <f>IF(COUNTIF(Tags!$A:$A,$A1162)&gt;0,"ok","à faire")</f>
        <v/>
      </c>
      <c r="G1162" s="30">
        <f>IF(COUNTIF(Phrases!$A:$A,$A1162)&gt;0,"ok","à faire")</f>
        <v/>
      </c>
      <c r="H1162" s="30">
        <f>IF(COUNTIFS(Phrases!$A:$A,$A1162,Phrases!$I:$I,"&lt;&gt;")&gt;0,"ok","à faire")</f>
        <v/>
      </c>
      <c r="I1162" s="30">
        <f>IF(COUNTIF(Synonymes!$A:$A,$A1162)&gt;0,"ok","")</f>
        <v/>
      </c>
      <c r="J1162" s="30">
        <f>COUNTIF(E1162:H1162,"à faire")</f>
        <v/>
      </c>
    </row>
    <row r="1163">
      <c r="A1163" s="30" t="inlineStr">
        <is>
          <t>souhait</t>
        </is>
      </c>
      <c r="B1163" s="30">
        <f>IFERROR(INDEX(Mots!$B:$B,MATCH($A1163,Mots!$A:$A,0)),"introuvable")</f>
        <v/>
      </c>
      <c r="C1163" s="30">
        <f>IFERROR(INDEX(Mots!$S:$S,MATCH($A1163,Mots!$A:$A,0)),"")</f>
        <v/>
      </c>
      <c r="D1163" s="30">
        <f>IFERROR(COUNTA(INDEX(Mots!$J:$J,MATCH($A1163,Mots!$A:$A,0)):INDEX(Mots!$P:$P,MATCH($A1163,Mots!$A:$A,0))),0)</f>
        <v/>
      </c>
      <c r="E1163" s="30">
        <f>IF(COUNTIF(Classement!$A:$A,$A1163)&gt;0,"ok","à faire")</f>
        <v/>
      </c>
      <c r="F1163" s="30">
        <f>IF(COUNTIF(Tags!$A:$A,$A1163)&gt;0,"ok","à faire")</f>
        <v/>
      </c>
      <c r="G1163" s="30">
        <f>IF(COUNTIF(Phrases!$A:$A,$A1163)&gt;0,"ok","à faire")</f>
        <v/>
      </c>
      <c r="H1163" s="30">
        <f>IF(COUNTIFS(Phrases!$A:$A,$A1163,Phrases!$I:$I,"&lt;&gt;")&gt;0,"ok","à faire")</f>
        <v/>
      </c>
      <c r="I1163" s="30">
        <f>IF(COUNTIF(Synonymes!$A:$A,$A1163)&gt;0,"ok","")</f>
        <v/>
      </c>
      <c r="J1163" s="30">
        <f>COUNTIF(E1163:H1163,"à faire")</f>
        <v/>
      </c>
    </row>
    <row r="1164">
      <c r="A1164" s="30" t="inlineStr">
        <is>
          <t>souvenir</t>
        </is>
      </c>
      <c r="B1164" s="30">
        <f>IFERROR(INDEX(Mots!$B:$B,MATCH($A1164,Mots!$A:$A,0)),"introuvable")</f>
        <v/>
      </c>
      <c r="C1164" s="30">
        <f>IFERROR(INDEX(Mots!$S:$S,MATCH($A1164,Mots!$A:$A,0)),"")</f>
        <v/>
      </c>
      <c r="D1164" s="30">
        <f>IFERROR(COUNTA(INDEX(Mots!$J:$J,MATCH($A1164,Mots!$A:$A,0)):INDEX(Mots!$P:$P,MATCH($A1164,Mots!$A:$A,0))),0)</f>
        <v/>
      </c>
      <c r="E1164" s="30">
        <f>IF(COUNTIF(Classement!$A:$A,$A1164)&gt;0,"ok","à faire")</f>
        <v/>
      </c>
      <c r="F1164" s="30">
        <f>IF(COUNTIF(Tags!$A:$A,$A1164)&gt;0,"ok","à faire")</f>
        <v/>
      </c>
      <c r="G1164" s="30">
        <f>IF(COUNTIF(Phrases!$A:$A,$A1164)&gt;0,"ok","à faire")</f>
        <v/>
      </c>
      <c r="H1164" s="30">
        <f>IF(COUNTIFS(Phrases!$A:$A,$A1164,Phrases!$I:$I,"&lt;&gt;")&gt;0,"ok","à faire")</f>
        <v/>
      </c>
      <c r="I1164" s="30">
        <f>IF(COUNTIF(Synonymes!$A:$A,$A1164)&gt;0,"ok","")</f>
        <v/>
      </c>
      <c r="J1164" s="30">
        <f>COUNTIF(E1164:H1164,"à faire")</f>
        <v/>
      </c>
    </row>
    <row r="1165">
      <c r="A1165" s="30" t="inlineStr">
        <is>
          <t>sport</t>
        </is>
      </c>
      <c r="B1165" s="30">
        <f>IFERROR(INDEX(Mots!$B:$B,MATCH($A1165,Mots!$A:$A,0)),"introuvable")</f>
        <v/>
      </c>
      <c r="C1165" s="30">
        <f>IFERROR(INDEX(Mots!$S:$S,MATCH($A1165,Mots!$A:$A,0)),"")</f>
        <v/>
      </c>
      <c r="D1165" s="30">
        <f>IFERROR(COUNTA(INDEX(Mots!$J:$J,MATCH($A1165,Mots!$A:$A,0)):INDEX(Mots!$P:$P,MATCH($A1165,Mots!$A:$A,0))),0)</f>
        <v/>
      </c>
      <c r="E1165" s="30">
        <f>IF(COUNTIF(Classement!$A:$A,$A1165)&gt;0,"ok","à faire")</f>
        <v/>
      </c>
      <c r="F1165" s="30">
        <f>IF(COUNTIF(Tags!$A:$A,$A1165)&gt;0,"ok","à faire")</f>
        <v/>
      </c>
      <c r="G1165" s="30">
        <f>IF(COUNTIF(Phrases!$A:$A,$A1165)&gt;0,"ok","à faire")</f>
        <v/>
      </c>
      <c r="H1165" s="30">
        <f>IF(COUNTIFS(Phrases!$A:$A,$A1165,Phrases!$I:$I,"&lt;&gt;")&gt;0,"ok","à faire")</f>
        <v/>
      </c>
      <c r="I1165" s="30">
        <f>IF(COUNTIF(Synonymes!$A:$A,$A1165)&gt;0,"ok","")</f>
        <v/>
      </c>
      <c r="J1165" s="30">
        <f>COUNTIF(E1165:H1165,"à faire")</f>
        <v/>
      </c>
    </row>
    <row r="1166">
      <c r="A1166" s="30" t="inlineStr">
        <is>
          <t>stade</t>
        </is>
      </c>
      <c r="B1166" s="30">
        <f>IFERROR(INDEX(Mots!$B:$B,MATCH($A1166,Mots!$A:$A,0)),"introuvable")</f>
        <v/>
      </c>
      <c r="C1166" s="30">
        <f>IFERROR(INDEX(Mots!$S:$S,MATCH($A1166,Mots!$A:$A,0)),"")</f>
        <v/>
      </c>
      <c r="D1166" s="30">
        <f>IFERROR(COUNTA(INDEX(Mots!$J:$J,MATCH($A1166,Mots!$A:$A,0)):INDEX(Mots!$P:$P,MATCH($A1166,Mots!$A:$A,0))),0)</f>
        <v/>
      </c>
      <c r="E1166" s="30">
        <f>IF(COUNTIF(Classement!$A:$A,$A1166)&gt;0,"ok","à faire")</f>
        <v/>
      </c>
      <c r="F1166" s="30">
        <f>IF(COUNTIF(Tags!$A:$A,$A1166)&gt;0,"ok","à faire")</f>
        <v/>
      </c>
      <c r="G1166" s="30">
        <f>IF(COUNTIF(Phrases!$A:$A,$A1166)&gt;0,"ok","à faire")</f>
        <v/>
      </c>
      <c r="H1166" s="30">
        <f>IF(COUNTIFS(Phrases!$A:$A,$A1166,Phrases!$I:$I,"&lt;&gt;")&gt;0,"ok","à faire")</f>
        <v/>
      </c>
      <c r="I1166" s="30">
        <f>IF(COUNTIF(Synonymes!$A:$A,$A1166)&gt;0,"ok","")</f>
        <v/>
      </c>
      <c r="J1166" s="30">
        <f>COUNTIF(E1166:H1166,"à faire")</f>
        <v/>
      </c>
    </row>
    <row r="1167">
      <c r="A1167" s="30" t="inlineStr">
        <is>
          <t>stylo</t>
        </is>
      </c>
      <c r="B1167" s="30">
        <f>IFERROR(INDEX(Mots!$B:$B,MATCH($A1167,Mots!$A:$A,0)),"introuvable")</f>
        <v/>
      </c>
      <c r="C1167" s="30">
        <f>IFERROR(INDEX(Mots!$S:$S,MATCH($A1167,Mots!$A:$A,0)),"")</f>
        <v/>
      </c>
      <c r="D1167" s="30">
        <f>IFERROR(COUNTA(INDEX(Mots!$J:$J,MATCH($A1167,Mots!$A:$A,0)):INDEX(Mots!$P:$P,MATCH($A1167,Mots!$A:$A,0))),0)</f>
        <v/>
      </c>
      <c r="E1167" s="30">
        <f>IF(COUNTIF(Classement!$A:$A,$A1167)&gt;0,"ok","à faire")</f>
        <v/>
      </c>
      <c r="F1167" s="30">
        <f>IF(COUNTIF(Tags!$A:$A,$A1167)&gt;0,"ok","à faire")</f>
        <v/>
      </c>
      <c r="G1167" s="30">
        <f>IF(COUNTIF(Phrases!$A:$A,$A1167)&gt;0,"ok","à faire")</f>
        <v/>
      </c>
      <c r="H1167" s="30">
        <f>IF(COUNTIFS(Phrases!$A:$A,$A1167,Phrases!$I:$I,"&lt;&gt;")&gt;0,"ok","à faire")</f>
        <v/>
      </c>
      <c r="I1167" s="30">
        <f>IF(COUNTIF(Synonymes!$A:$A,$A1167)&gt;0,"ok","")</f>
        <v/>
      </c>
      <c r="J1167" s="30">
        <f>COUNTIF(E1167:H1167,"à faire")</f>
        <v/>
      </c>
    </row>
    <row r="1168">
      <c r="A1168" s="30" t="inlineStr">
        <is>
          <t>tableau</t>
        </is>
      </c>
      <c r="B1168" s="30">
        <f>IFERROR(INDEX(Mots!$B:$B,MATCH($A1168,Mots!$A:$A,0)),"introuvable")</f>
        <v/>
      </c>
      <c r="C1168" s="30">
        <f>IFERROR(INDEX(Mots!$S:$S,MATCH($A1168,Mots!$A:$A,0)),"")</f>
        <v/>
      </c>
      <c r="D1168" s="30">
        <f>IFERROR(COUNTA(INDEX(Mots!$J:$J,MATCH($A1168,Mots!$A:$A,0)):INDEX(Mots!$P:$P,MATCH($A1168,Mots!$A:$A,0))),0)</f>
        <v/>
      </c>
      <c r="E1168" s="30">
        <f>IF(COUNTIF(Classement!$A:$A,$A1168)&gt;0,"ok","à faire")</f>
        <v/>
      </c>
      <c r="F1168" s="30">
        <f>IF(COUNTIF(Tags!$A:$A,$A1168)&gt;0,"ok","à faire")</f>
        <v/>
      </c>
      <c r="G1168" s="30">
        <f>IF(COUNTIF(Phrases!$A:$A,$A1168)&gt;0,"ok","à faire")</f>
        <v/>
      </c>
      <c r="H1168" s="30">
        <f>IF(COUNTIFS(Phrases!$A:$A,$A1168,Phrases!$I:$I,"&lt;&gt;")&gt;0,"ok","à faire")</f>
        <v/>
      </c>
      <c r="I1168" s="30">
        <f>IF(COUNTIF(Synonymes!$A:$A,$A1168)&gt;0,"ok","")</f>
        <v/>
      </c>
      <c r="J1168" s="30">
        <f>COUNTIF(E1168:H1168,"à faire")</f>
        <v/>
      </c>
    </row>
    <row r="1169">
      <c r="A1169" s="30" t="inlineStr">
        <is>
          <t>tablier</t>
        </is>
      </c>
      <c r="B1169" s="30">
        <f>IFERROR(INDEX(Mots!$B:$B,MATCH($A1169,Mots!$A:$A,0)),"introuvable")</f>
        <v/>
      </c>
      <c r="C1169" s="30">
        <f>IFERROR(INDEX(Mots!$S:$S,MATCH($A1169,Mots!$A:$A,0)),"")</f>
        <v/>
      </c>
      <c r="D1169" s="30">
        <f>IFERROR(COUNTA(INDEX(Mots!$J:$J,MATCH($A1169,Mots!$A:$A,0)):INDEX(Mots!$P:$P,MATCH($A1169,Mots!$A:$A,0))),0)</f>
        <v/>
      </c>
      <c r="E1169" s="30">
        <f>IF(COUNTIF(Classement!$A:$A,$A1169)&gt;0,"ok","à faire")</f>
        <v/>
      </c>
      <c r="F1169" s="30">
        <f>IF(COUNTIF(Tags!$A:$A,$A1169)&gt;0,"ok","à faire")</f>
        <v/>
      </c>
      <c r="G1169" s="30">
        <f>IF(COUNTIF(Phrases!$A:$A,$A1169)&gt;0,"ok","à faire")</f>
        <v/>
      </c>
      <c r="H1169" s="30">
        <f>IF(COUNTIFS(Phrases!$A:$A,$A1169,Phrases!$I:$I,"&lt;&gt;")&gt;0,"ok","à faire")</f>
        <v/>
      </c>
      <c r="I1169" s="30">
        <f>IF(COUNTIF(Synonymes!$A:$A,$A1169)&gt;0,"ok","")</f>
        <v/>
      </c>
      <c r="J1169" s="30">
        <f>COUNTIF(E1169:H1169,"à faire")</f>
        <v/>
      </c>
    </row>
    <row r="1170">
      <c r="A1170" s="30" t="inlineStr">
        <is>
          <t>tas</t>
        </is>
      </c>
      <c r="B1170" s="30">
        <f>IFERROR(INDEX(Mots!$B:$B,MATCH($A1170,Mots!$A:$A,0)),"introuvable")</f>
        <v/>
      </c>
      <c r="C1170" s="30">
        <f>IFERROR(INDEX(Mots!$S:$S,MATCH($A1170,Mots!$A:$A,0)),"")</f>
        <v/>
      </c>
      <c r="D1170" s="30">
        <f>IFERROR(COUNTA(INDEX(Mots!$J:$J,MATCH($A1170,Mots!$A:$A,0)):INDEX(Mots!$P:$P,MATCH($A1170,Mots!$A:$A,0))),0)</f>
        <v/>
      </c>
      <c r="E1170" s="30">
        <f>IF(COUNTIF(Classement!$A:$A,$A1170)&gt;0,"ok","à faire")</f>
        <v/>
      </c>
      <c r="F1170" s="30">
        <f>IF(COUNTIF(Tags!$A:$A,$A1170)&gt;0,"ok","à faire")</f>
        <v/>
      </c>
      <c r="G1170" s="30">
        <f>IF(COUNTIF(Phrases!$A:$A,$A1170)&gt;0,"ok","à faire")</f>
        <v/>
      </c>
      <c r="H1170" s="30">
        <f>IF(COUNTIFS(Phrases!$A:$A,$A1170,Phrases!$I:$I,"&lt;&gt;")&gt;0,"ok","à faire")</f>
        <v/>
      </c>
      <c r="I1170" s="30">
        <f>IF(COUNTIF(Synonymes!$A:$A,$A1170)&gt;0,"ok","")</f>
        <v/>
      </c>
      <c r="J1170" s="30">
        <f>COUNTIF(E1170:H1170,"à faire")</f>
        <v/>
      </c>
    </row>
    <row r="1171">
      <c r="A1171" s="30" t="inlineStr">
        <is>
          <t>terrain</t>
        </is>
      </c>
      <c r="B1171" s="30">
        <f>IFERROR(INDEX(Mots!$B:$B,MATCH($A1171,Mots!$A:$A,0)),"introuvable")</f>
        <v/>
      </c>
      <c r="C1171" s="30">
        <f>IFERROR(INDEX(Mots!$S:$S,MATCH($A1171,Mots!$A:$A,0)),"")</f>
        <v/>
      </c>
      <c r="D1171" s="30">
        <f>IFERROR(COUNTA(INDEX(Mots!$J:$J,MATCH($A1171,Mots!$A:$A,0)):INDEX(Mots!$P:$P,MATCH($A1171,Mots!$A:$A,0))),0)</f>
        <v/>
      </c>
      <c r="E1171" s="30">
        <f>IF(COUNTIF(Classement!$A:$A,$A1171)&gt;0,"ok","à faire")</f>
        <v/>
      </c>
      <c r="F1171" s="30">
        <f>IF(COUNTIF(Tags!$A:$A,$A1171)&gt;0,"ok","à faire")</f>
        <v/>
      </c>
      <c r="G1171" s="30">
        <f>IF(COUNTIF(Phrases!$A:$A,$A1171)&gt;0,"ok","à faire")</f>
        <v/>
      </c>
      <c r="H1171" s="30">
        <f>IF(COUNTIFS(Phrases!$A:$A,$A1171,Phrases!$I:$I,"&lt;&gt;")&gt;0,"ok","à faire")</f>
        <v/>
      </c>
      <c r="I1171" s="30">
        <f>IF(COUNTIF(Synonymes!$A:$A,$A1171)&gt;0,"ok","")</f>
        <v/>
      </c>
      <c r="J1171" s="30">
        <f>COUNTIF(E1171:H1171,"à faire")</f>
        <v/>
      </c>
    </row>
    <row r="1172">
      <c r="A1172" s="30" t="inlineStr">
        <is>
          <t>territoire</t>
        </is>
      </c>
      <c r="B1172" s="30">
        <f>IFERROR(INDEX(Mots!$B:$B,MATCH($A1172,Mots!$A:$A,0)),"introuvable")</f>
        <v/>
      </c>
      <c r="C1172" s="30">
        <f>IFERROR(INDEX(Mots!$S:$S,MATCH($A1172,Mots!$A:$A,0)),"")</f>
        <v/>
      </c>
      <c r="D1172" s="30">
        <f>IFERROR(COUNTA(INDEX(Mots!$J:$J,MATCH($A1172,Mots!$A:$A,0)):INDEX(Mots!$P:$P,MATCH($A1172,Mots!$A:$A,0))),0)</f>
        <v/>
      </c>
      <c r="E1172" s="30">
        <f>IF(COUNTIF(Classement!$A:$A,$A1172)&gt;0,"ok","à faire")</f>
        <v/>
      </c>
      <c r="F1172" s="30">
        <f>IF(COUNTIF(Tags!$A:$A,$A1172)&gt;0,"ok","à faire")</f>
        <v/>
      </c>
      <c r="G1172" s="30">
        <f>IF(COUNTIF(Phrases!$A:$A,$A1172)&gt;0,"ok","à faire")</f>
        <v/>
      </c>
      <c r="H1172" s="30">
        <f>IF(COUNTIFS(Phrases!$A:$A,$A1172,Phrases!$I:$I,"&lt;&gt;")&gt;0,"ok","à faire")</f>
        <v/>
      </c>
      <c r="I1172" s="30">
        <f>IF(COUNTIF(Synonymes!$A:$A,$A1172)&gt;0,"ok","")</f>
        <v/>
      </c>
      <c r="J1172" s="30">
        <f>COUNTIF(E1172:H1172,"à faire")</f>
        <v/>
      </c>
    </row>
    <row r="1173">
      <c r="A1173" s="30" t="inlineStr">
        <is>
          <t>texte</t>
        </is>
      </c>
      <c r="B1173" s="30">
        <f>IFERROR(INDEX(Mots!$B:$B,MATCH($A1173,Mots!$A:$A,0)),"introuvable")</f>
        <v/>
      </c>
      <c r="C1173" s="30">
        <f>IFERROR(INDEX(Mots!$S:$S,MATCH($A1173,Mots!$A:$A,0)),"")</f>
        <v/>
      </c>
      <c r="D1173" s="30">
        <f>IFERROR(COUNTA(INDEX(Mots!$J:$J,MATCH($A1173,Mots!$A:$A,0)):INDEX(Mots!$P:$P,MATCH($A1173,Mots!$A:$A,0))),0)</f>
        <v/>
      </c>
      <c r="E1173" s="30">
        <f>IF(COUNTIF(Classement!$A:$A,$A1173)&gt;0,"ok","à faire")</f>
        <v/>
      </c>
      <c r="F1173" s="30">
        <f>IF(COUNTIF(Tags!$A:$A,$A1173)&gt;0,"ok","à faire")</f>
        <v/>
      </c>
      <c r="G1173" s="30">
        <f>IF(COUNTIF(Phrases!$A:$A,$A1173)&gt;0,"ok","à faire")</f>
        <v/>
      </c>
      <c r="H1173" s="30">
        <f>IF(COUNTIFS(Phrases!$A:$A,$A1173,Phrases!$I:$I,"&lt;&gt;")&gt;0,"ok","à faire")</f>
        <v/>
      </c>
      <c r="I1173" s="30">
        <f>IF(COUNTIF(Synonymes!$A:$A,$A1173)&gt;0,"ok","")</f>
        <v/>
      </c>
      <c r="J1173" s="30">
        <f>COUNTIF(E1173:H1173,"à faire")</f>
        <v/>
      </c>
    </row>
    <row r="1174">
      <c r="A1174" s="30" t="inlineStr">
        <is>
          <t>thermometre</t>
        </is>
      </c>
      <c r="B1174" s="30">
        <f>IFERROR(INDEX(Mots!$B:$B,MATCH($A1174,Mots!$A:$A,0)),"introuvable")</f>
        <v/>
      </c>
      <c r="C1174" s="30">
        <f>IFERROR(INDEX(Mots!$S:$S,MATCH($A1174,Mots!$A:$A,0)),"")</f>
        <v/>
      </c>
      <c r="D1174" s="30">
        <f>IFERROR(COUNTA(INDEX(Mots!$J:$J,MATCH($A1174,Mots!$A:$A,0)):INDEX(Mots!$P:$P,MATCH($A1174,Mots!$A:$A,0))),0)</f>
        <v/>
      </c>
      <c r="E1174" s="30">
        <f>IF(COUNTIF(Classement!$A:$A,$A1174)&gt;0,"ok","à faire")</f>
        <v/>
      </c>
      <c r="F1174" s="30">
        <f>IF(COUNTIF(Tags!$A:$A,$A1174)&gt;0,"ok","à faire")</f>
        <v/>
      </c>
      <c r="G1174" s="30">
        <f>IF(COUNTIF(Phrases!$A:$A,$A1174)&gt;0,"ok","à faire")</f>
        <v/>
      </c>
      <c r="H1174" s="30">
        <f>IF(COUNTIFS(Phrases!$A:$A,$A1174,Phrases!$I:$I,"&lt;&gt;")&gt;0,"ok","à faire")</f>
        <v/>
      </c>
      <c r="I1174" s="30">
        <f>IF(COUNTIF(Synonymes!$A:$A,$A1174)&gt;0,"ok","")</f>
        <v/>
      </c>
      <c r="J1174" s="30">
        <f>COUNTIF(E1174:H1174,"à faire")</f>
        <v/>
      </c>
    </row>
    <row r="1175">
      <c r="A1175" s="30" t="inlineStr">
        <is>
          <t>timbre</t>
        </is>
      </c>
      <c r="B1175" s="30">
        <f>IFERROR(INDEX(Mots!$B:$B,MATCH($A1175,Mots!$A:$A,0)),"introuvable")</f>
        <v/>
      </c>
      <c r="C1175" s="30">
        <f>IFERROR(INDEX(Mots!$S:$S,MATCH($A1175,Mots!$A:$A,0)),"")</f>
        <v/>
      </c>
      <c r="D1175" s="30">
        <f>IFERROR(COUNTA(INDEX(Mots!$J:$J,MATCH($A1175,Mots!$A:$A,0)):INDEX(Mots!$P:$P,MATCH($A1175,Mots!$A:$A,0))),0)</f>
        <v/>
      </c>
      <c r="E1175" s="30">
        <f>IF(COUNTIF(Classement!$A:$A,$A1175)&gt;0,"ok","à faire")</f>
        <v/>
      </c>
      <c r="F1175" s="30">
        <f>IF(COUNTIF(Tags!$A:$A,$A1175)&gt;0,"ok","à faire")</f>
        <v/>
      </c>
      <c r="G1175" s="30">
        <f>IF(COUNTIF(Phrases!$A:$A,$A1175)&gt;0,"ok","à faire")</f>
        <v/>
      </c>
      <c r="H1175" s="30">
        <f>IF(COUNTIFS(Phrases!$A:$A,$A1175,Phrases!$I:$I,"&lt;&gt;")&gt;0,"ok","à faire")</f>
        <v/>
      </c>
      <c r="I1175" s="30">
        <f>IF(COUNTIF(Synonymes!$A:$A,$A1175)&gt;0,"ok","")</f>
        <v/>
      </c>
      <c r="J1175" s="30">
        <f>COUNTIF(E1175:H1175,"à faire")</f>
        <v/>
      </c>
    </row>
    <row r="1176">
      <c r="A1176" s="30" t="inlineStr">
        <is>
          <t>tiroir</t>
        </is>
      </c>
      <c r="B1176" s="30">
        <f>IFERROR(INDEX(Mots!$B:$B,MATCH($A1176,Mots!$A:$A,0)),"introuvable")</f>
        <v/>
      </c>
      <c r="C1176" s="30">
        <f>IFERROR(INDEX(Mots!$S:$S,MATCH($A1176,Mots!$A:$A,0)),"")</f>
        <v/>
      </c>
      <c r="D1176" s="30">
        <f>IFERROR(COUNTA(INDEX(Mots!$J:$J,MATCH($A1176,Mots!$A:$A,0)):INDEX(Mots!$P:$P,MATCH($A1176,Mots!$A:$A,0))),0)</f>
        <v/>
      </c>
      <c r="E1176" s="30">
        <f>IF(COUNTIF(Classement!$A:$A,$A1176)&gt;0,"ok","à faire")</f>
        <v/>
      </c>
      <c r="F1176" s="30">
        <f>IF(COUNTIF(Tags!$A:$A,$A1176)&gt;0,"ok","à faire")</f>
        <v/>
      </c>
      <c r="G1176" s="30">
        <f>IF(COUNTIF(Phrases!$A:$A,$A1176)&gt;0,"ok","à faire")</f>
        <v/>
      </c>
      <c r="H1176" s="30">
        <f>IF(COUNTIFS(Phrases!$A:$A,$A1176,Phrases!$I:$I,"&lt;&gt;")&gt;0,"ok","à faire")</f>
        <v/>
      </c>
      <c r="I1176" s="30">
        <f>IF(COUNTIF(Synonymes!$A:$A,$A1176)&gt;0,"ok","")</f>
        <v/>
      </c>
      <c r="J1176" s="30">
        <f>COUNTIF(E1176:H1176,"à faire")</f>
        <v/>
      </c>
    </row>
    <row r="1177">
      <c r="A1177" s="30" t="inlineStr">
        <is>
          <t>tissu</t>
        </is>
      </c>
      <c r="B1177" s="30">
        <f>IFERROR(INDEX(Mots!$B:$B,MATCH($A1177,Mots!$A:$A,0)),"introuvable")</f>
        <v/>
      </c>
      <c r="C1177" s="30">
        <f>IFERROR(INDEX(Mots!$S:$S,MATCH($A1177,Mots!$A:$A,0)),"")</f>
        <v/>
      </c>
      <c r="D1177" s="30">
        <f>IFERROR(COUNTA(INDEX(Mots!$J:$J,MATCH($A1177,Mots!$A:$A,0)):INDEX(Mots!$P:$P,MATCH($A1177,Mots!$A:$A,0))),0)</f>
        <v/>
      </c>
      <c r="E1177" s="30">
        <f>IF(COUNTIF(Classement!$A:$A,$A1177)&gt;0,"ok","à faire")</f>
        <v/>
      </c>
      <c r="F1177" s="30">
        <f>IF(COUNTIF(Tags!$A:$A,$A1177)&gt;0,"ok","à faire")</f>
        <v/>
      </c>
      <c r="G1177" s="30">
        <f>IF(COUNTIF(Phrases!$A:$A,$A1177)&gt;0,"ok","à faire")</f>
        <v/>
      </c>
      <c r="H1177" s="30">
        <f>IF(COUNTIFS(Phrases!$A:$A,$A1177,Phrases!$I:$I,"&lt;&gt;")&gt;0,"ok","à faire")</f>
        <v/>
      </c>
      <c r="I1177" s="30">
        <f>IF(COUNTIF(Synonymes!$A:$A,$A1177)&gt;0,"ok","")</f>
        <v/>
      </c>
      <c r="J1177" s="30">
        <f>COUNTIF(E1177:H1177,"à faire")</f>
        <v/>
      </c>
    </row>
    <row r="1178">
      <c r="A1178" s="30" t="inlineStr">
        <is>
          <t>tonneaux</t>
        </is>
      </c>
      <c r="B1178" s="30">
        <f>IFERROR(INDEX(Mots!$B:$B,MATCH($A1178,Mots!$A:$A,0)),"introuvable")</f>
        <v/>
      </c>
      <c r="C1178" s="30">
        <f>IFERROR(INDEX(Mots!$S:$S,MATCH($A1178,Mots!$A:$A,0)),"")</f>
        <v/>
      </c>
      <c r="D1178" s="30">
        <f>IFERROR(COUNTA(INDEX(Mots!$J:$J,MATCH($A1178,Mots!$A:$A,0)):INDEX(Mots!$P:$P,MATCH($A1178,Mots!$A:$A,0))),0)</f>
        <v/>
      </c>
      <c r="E1178" s="30">
        <f>IF(COUNTIF(Classement!$A:$A,$A1178)&gt;0,"ok","à faire")</f>
        <v/>
      </c>
      <c r="F1178" s="30">
        <f>IF(COUNTIF(Tags!$A:$A,$A1178)&gt;0,"ok","à faire")</f>
        <v/>
      </c>
      <c r="G1178" s="30">
        <f>IF(COUNTIF(Phrases!$A:$A,$A1178)&gt;0,"ok","à faire")</f>
        <v/>
      </c>
      <c r="H1178" s="30">
        <f>IF(COUNTIFS(Phrases!$A:$A,$A1178,Phrases!$I:$I,"&lt;&gt;")&gt;0,"ok","à faire")</f>
        <v/>
      </c>
      <c r="I1178" s="30">
        <f>IF(COUNTIF(Synonymes!$A:$A,$A1178)&gt;0,"ok","")</f>
        <v/>
      </c>
      <c r="J1178" s="30">
        <f>COUNTIF(E1178:H1178,"à faire")</f>
        <v/>
      </c>
    </row>
    <row r="1179">
      <c r="A1179" s="30" t="inlineStr">
        <is>
          <t>tonnerre</t>
        </is>
      </c>
      <c r="B1179" s="30">
        <f>IFERROR(INDEX(Mots!$B:$B,MATCH($A1179,Mots!$A:$A,0)),"introuvable")</f>
        <v/>
      </c>
      <c r="C1179" s="30">
        <f>IFERROR(INDEX(Mots!$S:$S,MATCH($A1179,Mots!$A:$A,0)),"")</f>
        <v/>
      </c>
      <c r="D1179" s="30">
        <f>IFERROR(COUNTA(INDEX(Mots!$J:$J,MATCH($A1179,Mots!$A:$A,0)):INDEX(Mots!$P:$P,MATCH($A1179,Mots!$A:$A,0))),0)</f>
        <v/>
      </c>
      <c r="E1179" s="30">
        <f>IF(COUNTIF(Classement!$A:$A,$A1179)&gt;0,"ok","à faire")</f>
        <v/>
      </c>
      <c r="F1179" s="30">
        <f>IF(COUNTIF(Tags!$A:$A,$A1179)&gt;0,"ok","à faire")</f>
        <v/>
      </c>
      <c r="G1179" s="30">
        <f>IF(COUNTIF(Phrases!$A:$A,$A1179)&gt;0,"ok","à faire")</f>
        <v/>
      </c>
      <c r="H1179" s="30">
        <f>IF(COUNTIFS(Phrases!$A:$A,$A1179,Phrases!$I:$I,"&lt;&gt;")&gt;0,"ok","à faire")</f>
        <v/>
      </c>
      <c r="I1179" s="30">
        <f>IF(COUNTIF(Synonymes!$A:$A,$A1179)&gt;0,"ok","")</f>
        <v/>
      </c>
      <c r="J1179" s="30">
        <f>COUNTIF(E1179:H1179,"à faire")</f>
        <v/>
      </c>
    </row>
    <row r="1180">
      <c r="A1180" s="30" t="inlineStr">
        <is>
          <t>total</t>
        </is>
      </c>
      <c r="B1180" s="30">
        <f>IFERROR(INDEX(Mots!$B:$B,MATCH($A1180,Mots!$A:$A,0)),"introuvable")</f>
        <v/>
      </c>
      <c r="C1180" s="30">
        <f>IFERROR(INDEX(Mots!$S:$S,MATCH($A1180,Mots!$A:$A,0)),"")</f>
        <v/>
      </c>
      <c r="D1180" s="30">
        <f>IFERROR(COUNTA(INDEX(Mots!$J:$J,MATCH($A1180,Mots!$A:$A,0)):INDEX(Mots!$P:$P,MATCH($A1180,Mots!$A:$A,0))),0)</f>
        <v/>
      </c>
      <c r="E1180" s="30">
        <f>IF(COUNTIF(Classement!$A:$A,$A1180)&gt;0,"ok","à faire")</f>
        <v/>
      </c>
      <c r="F1180" s="30">
        <f>IF(COUNTIF(Tags!$A:$A,$A1180)&gt;0,"ok","à faire")</f>
        <v/>
      </c>
      <c r="G1180" s="30">
        <f>IF(COUNTIF(Phrases!$A:$A,$A1180)&gt;0,"ok","à faire")</f>
        <v/>
      </c>
      <c r="H1180" s="30">
        <f>IF(COUNTIFS(Phrases!$A:$A,$A1180,Phrases!$I:$I,"&lt;&gt;")&gt;0,"ok","à faire")</f>
        <v/>
      </c>
      <c r="I1180" s="30">
        <f>IF(COUNTIF(Synonymes!$A:$A,$A1180)&gt;0,"ok","")</f>
        <v/>
      </c>
      <c r="J1180" s="30">
        <f>COUNTIF(E1180:H1180,"à faire")</f>
        <v/>
      </c>
    </row>
    <row r="1181">
      <c r="A1181" s="30" t="inlineStr">
        <is>
          <t>tournevis</t>
        </is>
      </c>
      <c r="B1181" s="30">
        <f>IFERROR(INDEX(Mots!$B:$B,MATCH($A1181,Mots!$A:$A,0)),"introuvable")</f>
        <v/>
      </c>
      <c r="C1181" s="30">
        <f>IFERROR(INDEX(Mots!$S:$S,MATCH($A1181,Mots!$A:$A,0)),"")</f>
        <v/>
      </c>
      <c r="D1181" s="30">
        <f>IFERROR(COUNTA(INDEX(Mots!$J:$J,MATCH($A1181,Mots!$A:$A,0)):INDEX(Mots!$P:$P,MATCH($A1181,Mots!$A:$A,0))),0)</f>
        <v/>
      </c>
      <c r="E1181" s="30">
        <f>IF(COUNTIF(Classement!$A:$A,$A1181)&gt;0,"ok","à faire")</f>
        <v/>
      </c>
      <c r="F1181" s="30">
        <f>IF(COUNTIF(Tags!$A:$A,$A1181)&gt;0,"ok","à faire")</f>
        <v/>
      </c>
      <c r="G1181" s="30">
        <f>IF(COUNTIF(Phrases!$A:$A,$A1181)&gt;0,"ok","à faire")</f>
        <v/>
      </c>
      <c r="H1181" s="30">
        <f>IF(COUNTIFS(Phrases!$A:$A,$A1181,Phrases!$I:$I,"&lt;&gt;")&gt;0,"ok","à faire")</f>
        <v/>
      </c>
      <c r="I1181" s="30">
        <f>IF(COUNTIF(Synonymes!$A:$A,$A1181)&gt;0,"ok","")</f>
        <v/>
      </c>
      <c r="J1181" s="30">
        <f>COUNTIF(E1181:H1181,"à faire")</f>
        <v/>
      </c>
    </row>
    <row r="1182">
      <c r="A1182" s="30" t="inlineStr">
        <is>
          <t>trait</t>
        </is>
      </c>
      <c r="B1182" s="30">
        <f>IFERROR(INDEX(Mots!$B:$B,MATCH($A1182,Mots!$A:$A,0)),"introuvable")</f>
        <v/>
      </c>
      <c r="C1182" s="30">
        <f>IFERROR(INDEX(Mots!$S:$S,MATCH($A1182,Mots!$A:$A,0)),"")</f>
        <v/>
      </c>
      <c r="D1182" s="30">
        <f>IFERROR(COUNTA(INDEX(Mots!$J:$J,MATCH($A1182,Mots!$A:$A,0)):INDEX(Mots!$P:$P,MATCH($A1182,Mots!$A:$A,0))),0)</f>
        <v/>
      </c>
      <c r="E1182" s="30">
        <f>IF(COUNTIF(Classement!$A:$A,$A1182)&gt;0,"ok","à faire")</f>
        <v/>
      </c>
      <c r="F1182" s="30">
        <f>IF(COUNTIF(Tags!$A:$A,$A1182)&gt;0,"ok","à faire")</f>
        <v/>
      </c>
      <c r="G1182" s="30">
        <f>IF(COUNTIF(Phrases!$A:$A,$A1182)&gt;0,"ok","à faire")</f>
        <v/>
      </c>
      <c r="H1182" s="30">
        <f>IF(COUNTIFS(Phrases!$A:$A,$A1182,Phrases!$I:$I,"&lt;&gt;")&gt;0,"ok","à faire")</f>
        <v/>
      </c>
      <c r="I1182" s="30">
        <f>IF(COUNTIF(Synonymes!$A:$A,$A1182)&gt;0,"ok","")</f>
        <v/>
      </c>
      <c r="J1182" s="30">
        <f>COUNTIF(E1182:H1182,"à faire")</f>
        <v/>
      </c>
    </row>
    <row r="1183">
      <c r="A1183" s="30" t="inlineStr">
        <is>
          <t>travail</t>
        </is>
      </c>
      <c r="B1183" s="30">
        <f>IFERROR(INDEX(Mots!$B:$B,MATCH($A1183,Mots!$A:$A,0)),"introuvable")</f>
        <v/>
      </c>
      <c r="C1183" s="30">
        <f>IFERROR(INDEX(Mots!$S:$S,MATCH($A1183,Mots!$A:$A,0)),"")</f>
        <v/>
      </c>
      <c r="D1183" s="30">
        <f>IFERROR(COUNTA(INDEX(Mots!$J:$J,MATCH($A1183,Mots!$A:$A,0)):INDEX(Mots!$P:$P,MATCH($A1183,Mots!$A:$A,0))),0)</f>
        <v/>
      </c>
      <c r="E1183" s="30">
        <f>IF(COUNTIF(Classement!$A:$A,$A1183)&gt;0,"ok","à faire")</f>
        <v/>
      </c>
      <c r="F1183" s="30">
        <f>IF(COUNTIF(Tags!$A:$A,$A1183)&gt;0,"ok","à faire")</f>
        <v/>
      </c>
      <c r="G1183" s="30">
        <f>IF(COUNTIF(Phrases!$A:$A,$A1183)&gt;0,"ok","à faire")</f>
        <v/>
      </c>
      <c r="H1183" s="30">
        <f>IF(COUNTIFS(Phrases!$A:$A,$A1183,Phrases!$I:$I,"&lt;&gt;")&gt;0,"ok","à faire")</f>
        <v/>
      </c>
      <c r="I1183" s="30">
        <f>IF(COUNTIF(Synonymes!$A:$A,$A1183)&gt;0,"ok","")</f>
        <v/>
      </c>
      <c r="J1183" s="30">
        <f>COUNTIF(E1183:H1183,"à faire")</f>
        <v/>
      </c>
    </row>
    <row r="1184">
      <c r="A1184" s="30" t="inlineStr">
        <is>
          <t>tronc</t>
        </is>
      </c>
      <c r="B1184" s="30">
        <f>IFERROR(INDEX(Mots!$B:$B,MATCH($A1184,Mots!$A:$A,0)),"introuvable")</f>
        <v/>
      </c>
      <c r="C1184" s="30">
        <f>IFERROR(INDEX(Mots!$S:$S,MATCH($A1184,Mots!$A:$A,0)),"")</f>
        <v/>
      </c>
      <c r="D1184" s="30">
        <f>IFERROR(COUNTA(INDEX(Mots!$J:$J,MATCH($A1184,Mots!$A:$A,0)):INDEX(Mots!$P:$P,MATCH($A1184,Mots!$A:$A,0))),0)</f>
        <v/>
      </c>
      <c r="E1184" s="30">
        <f>IF(COUNTIF(Classement!$A:$A,$A1184)&gt;0,"ok","à faire")</f>
        <v/>
      </c>
      <c r="F1184" s="30">
        <f>IF(COUNTIF(Tags!$A:$A,$A1184)&gt;0,"ok","à faire")</f>
        <v/>
      </c>
      <c r="G1184" s="30">
        <f>IF(COUNTIF(Phrases!$A:$A,$A1184)&gt;0,"ok","à faire")</f>
        <v/>
      </c>
      <c r="H1184" s="30">
        <f>IF(COUNTIFS(Phrases!$A:$A,$A1184,Phrases!$I:$I,"&lt;&gt;")&gt;0,"ok","à faire")</f>
        <v/>
      </c>
      <c r="I1184" s="30">
        <f>IF(COUNTIF(Synonymes!$A:$A,$A1184)&gt;0,"ok","")</f>
        <v/>
      </c>
      <c r="J1184" s="30">
        <f>COUNTIF(E1184:H1184,"à faire")</f>
        <v/>
      </c>
    </row>
    <row r="1185">
      <c r="A1185" s="30" t="inlineStr">
        <is>
          <t>trottoir</t>
        </is>
      </c>
      <c r="B1185" s="30">
        <f>IFERROR(INDEX(Mots!$B:$B,MATCH($A1185,Mots!$A:$A,0)),"introuvable")</f>
        <v/>
      </c>
      <c r="C1185" s="30">
        <f>IFERROR(INDEX(Mots!$S:$S,MATCH($A1185,Mots!$A:$A,0)),"")</f>
        <v/>
      </c>
      <c r="D1185" s="30">
        <f>IFERROR(COUNTA(INDEX(Mots!$J:$J,MATCH($A1185,Mots!$A:$A,0)):INDEX(Mots!$P:$P,MATCH($A1185,Mots!$A:$A,0))),0)</f>
        <v/>
      </c>
      <c r="E1185" s="30">
        <f>IF(COUNTIF(Classement!$A:$A,$A1185)&gt;0,"ok","à faire")</f>
        <v/>
      </c>
      <c r="F1185" s="30">
        <f>IF(COUNTIF(Tags!$A:$A,$A1185)&gt;0,"ok","à faire")</f>
        <v/>
      </c>
      <c r="G1185" s="30">
        <f>IF(COUNTIF(Phrases!$A:$A,$A1185)&gt;0,"ok","à faire")</f>
        <v/>
      </c>
      <c r="H1185" s="30">
        <f>IF(COUNTIFS(Phrases!$A:$A,$A1185,Phrases!$I:$I,"&lt;&gt;")&gt;0,"ok","à faire")</f>
        <v/>
      </c>
      <c r="I1185" s="30">
        <f>IF(COUNTIF(Synonymes!$A:$A,$A1185)&gt;0,"ok","")</f>
        <v/>
      </c>
      <c r="J1185" s="30">
        <f>COUNTIF(E1185:H1185,"à faire")</f>
        <v/>
      </c>
    </row>
    <row r="1186">
      <c r="A1186" s="30" t="inlineStr">
        <is>
          <t>trou</t>
        </is>
      </c>
      <c r="B1186" s="30">
        <f>IFERROR(INDEX(Mots!$B:$B,MATCH($A1186,Mots!$A:$A,0)),"introuvable")</f>
        <v/>
      </c>
      <c r="C1186" s="30">
        <f>IFERROR(INDEX(Mots!$S:$S,MATCH($A1186,Mots!$A:$A,0)),"")</f>
        <v/>
      </c>
      <c r="D1186" s="30">
        <f>IFERROR(COUNTA(INDEX(Mots!$J:$J,MATCH($A1186,Mots!$A:$A,0)):INDEX(Mots!$P:$P,MATCH($A1186,Mots!$A:$A,0))),0)</f>
        <v/>
      </c>
      <c r="E1186" s="30">
        <f>IF(COUNTIF(Classement!$A:$A,$A1186)&gt;0,"ok","à faire")</f>
        <v/>
      </c>
      <c r="F1186" s="30">
        <f>IF(COUNTIF(Tags!$A:$A,$A1186)&gt;0,"ok","à faire")</f>
        <v/>
      </c>
      <c r="G1186" s="30">
        <f>IF(COUNTIF(Phrases!$A:$A,$A1186)&gt;0,"ok","à faire")</f>
        <v/>
      </c>
      <c r="H1186" s="30">
        <f>IF(COUNTIFS(Phrases!$A:$A,$A1186,Phrases!$I:$I,"&lt;&gt;")&gt;0,"ok","à faire")</f>
        <v/>
      </c>
      <c r="I1186" s="30">
        <f>IF(COUNTIF(Synonymes!$A:$A,$A1186)&gt;0,"ok","")</f>
        <v/>
      </c>
      <c r="J1186" s="30">
        <f>COUNTIF(E1186:H1186,"à faire")</f>
        <v/>
      </c>
    </row>
    <row r="1187">
      <c r="A1187" s="30" t="inlineStr">
        <is>
          <t>trousseau</t>
        </is>
      </c>
      <c r="B1187" s="30">
        <f>IFERROR(INDEX(Mots!$B:$B,MATCH($A1187,Mots!$A:$A,0)),"introuvable")</f>
        <v/>
      </c>
      <c r="C1187" s="30">
        <f>IFERROR(INDEX(Mots!$S:$S,MATCH($A1187,Mots!$A:$A,0)),"")</f>
        <v/>
      </c>
      <c r="D1187" s="30">
        <f>IFERROR(COUNTA(INDEX(Mots!$J:$J,MATCH($A1187,Mots!$A:$A,0)):INDEX(Mots!$P:$P,MATCH($A1187,Mots!$A:$A,0))),0)</f>
        <v/>
      </c>
      <c r="E1187" s="30">
        <f>IF(COUNTIF(Classement!$A:$A,$A1187)&gt;0,"ok","à faire")</f>
        <v/>
      </c>
      <c r="F1187" s="30">
        <f>IF(COUNTIF(Tags!$A:$A,$A1187)&gt;0,"ok","à faire")</f>
        <v/>
      </c>
      <c r="G1187" s="30">
        <f>IF(COUNTIF(Phrases!$A:$A,$A1187)&gt;0,"ok","à faire")</f>
        <v/>
      </c>
      <c r="H1187" s="30">
        <f>IF(COUNTIFS(Phrases!$A:$A,$A1187,Phrases!$I:$I,"&lt;&gt;")&gt;0,"ok","à faire")</f>
        <v/>
      </c>
      <c r="I1187" s="30">
        <f>IF(COUNTIF(Synonymes!$A:$A,$A1187)&gt;0,"ok","")</f>
        <v/>
      </c>
      <c r="J1187" s="30">
        <f>COUNTIF(E1187:H1187,"à faire")</f>
        <v/>
      </c>
    </row>
    <row r="1188">
      <c r="A1188" s="30" t="inlineStr">
        <is>
          <t>tube</t>
        </is>
      </c>
      <c r="B1188" s="30">
        <f>IFERROR(INDEX(Mots!$B:$B,MATCH($A1188,Mots!$A:$A,0)),"introuvable")</f>
        <v/>
      </c>
      <c r="C1188" s="30">
        <f>IFERROR(INDEX(Mots!$S:$S,MATCH($A1188,Mots!$A:$A,0)),"")</f>
        <v/>
      </c>
      <c r="D1188" s="30">
        <f>IFERROR(COUNTA(INDEX(Mots!$J:$J,MATCH($A1188,Mots!$A:$A,0)):INDEX(Mots!$P:$P,MATCH($A1188,Mots!$A:$A,0))),0)</f>
        <v/>
      </c>
      <c r="E1188" s="30">
        <f>IF(COUNTIF(Classement!$A:$A,$A1188)&gt;0,"ok","à faire")</f>
        <v/>
      </c>
      <c r="F1188" s="30">
        <f>IF(COUNTIF(Tags!$A:$A,$A1188)&gt;0,"ok","à faire")</f>
        <v/>
      </c>
      <c r="G1188" s="30">
        <f>IF(COUNTIF(Phrases!$A:$A,$A1188)&gt;0,"ok","à faire")</f>
        <v/>
      </c>
      <c r="H1188" s="30">
        <f>IF(COUNTIFS(Phrases!$A:$A,$A1188,Phrases!$I:$I,"&lt;&gt;")&gt;0,"ok","à faire")</f>
        <v/>
      </c>
      <c r="I1188" s="30">
        <f>IF(COUNTIF(Synonymes!$A:$A,$A1188)&gt;0,"ok","")</f>
        <v/>
      </c>
      <c r="J1188" s="30">
        <f>COUNTIF(E1188:H1188,"à faire")</f>
        <v/>
      </c>
    </row>
    <row r="1189">
      <c r="A1189" s="30" t="inlineStr">
        <is>
          <t>tuyau</t>
        </is>
      </c>
      <c r="B1189" s="30">
        <f>IFERROR(INDEX(Mots!$B:$B,MATCH($A1189,Mots!$A:$A,0)),"introuvable")</f>
        <v/>
      </c>
      <c r="C1189" s="30">
        <f>IFERROR(INDEX(Mots!$S:$S,MATCH($A1189,Mots!$A:$A,0)),"")</f>
        <v/>
      </c>
      <c r="D1189" s="30">
        <f>IFERROR(COUNTA(INDEX(Mots!$J:$J,MATCH($A1189,Mots!$A:$A,0)):INDEX(Mots!$P:$P,MATCH($A1189,Mots!$A:$A,0))),0)</f>
        <v/>
      </c>
      <c r="E1189" s="30">
        <f>IF(COUNTIF(Classement!$A:$A,$A1189)&gt;0,"ok","à faire")</f>
        <v/>
      </c>
      <c r="F1189" s="30">
        <f>IF(COUNTIF(Tags!$A:$A,$A1189)&gt;0,"ok","à faire")</f>
        <v/>
      </c>
      <c r="G1189" s="30">
        <f>IF(COUNTIF(Phrases!$A:$A,$A1189)&gt;0,"ok","à faire")</f>
        <v/>
      </c>
      <c r="H1189" s="30">
        <f>IF(COUNTIFS(Phrases!$A:$A,$A1189,Phrases!$I:$I,"&lt;&gt;")&gt;0,"ok","à faire")</f>
        <v/>
      </c>
      <c r="I1189" s="30">
        <f>IF(COUNTIF(Synonymes!$A:$A,$A1189)&gt;0,"ok","")</f>
        <v/>
      </c>
      <c r="J1189" s="30">
        <f>COUNTIF(E1189:H1189,"à faire")</f>
        <v/>
      </c>
    </row>
    <row r="1190">
      <c r="A1190" s="30" t="inlineStr">
        <is>
          <t>type</t>
        </is>
      </c>
      <c r="B1190" s="30">
        <f>IFERROR(INDEX(Mots!$B:$B,MATCH($A1190,Mots!$A:$A,0)),"introuvable")</f>
        <v/>
      </c>
      <c r="C1190" s="30">
        <f>IFERROR(INDEX(Mots!$S:$S,MATCH($A1190,Mots!$A:$A,0)),"")</f>
        <v/>
      </c>
      <c r="D1190" s="30">
        <f>IFERROR(COUNTA(INDEX(Mots!$J:$J,MATCH($A1190,Mots!$A:$A,0)):INDEX(Mots!$P:$P,MATCH($A1190,Mots!$A:$A,0))),0)</f>
        <v/>
      </c>
      <c r="E1190" s="30">
        <f>IF(COUNTIF(Classement!$A:$A,$A1190)&gt;0,"ok","à faire")</f>
        <v/>
      </c>
      <c r="F1190" s="30">
        <f>IF(COUNTIF(Tags!$A:$A,$A1190)&gt;0,"ok","à faire")</f>
        <v/>
      </c>
      <c r="G1190" s="30">
        <f>IF(COUNTIF(Phrases!$A:$A,$A1190)&gt;0,"ok","à faire")</f>
        <v/>
      </c>
      <c r="H1190" s="30">
        <f>IF(COUNTIFS(Phrases!$A:$A,$A1190,Phrases!$I:$I,"&lt;&gt;")&gt;0,"ok","à faire")</f>
        <v/>
      </c>
      <c r="I1190" s="30">
        <f>IF(COUNTIF(Synonymes!$A:$A,$A1190)&gt;0,"ok","")</f>
        <v/>
      </c>
      <c r="J1190" s="30">
        <f>COUNTIF(E1190:H1190,"à faire")</f>
        <v/>
      </c>
    </row>
    <row r="1191">
      <c r="A1191" s="30" t="inlineStr">
        <is>
          <t>vaccin</t>
        </is>
      </c>
      <c r="B1191" s="30">
        <f>IFERROR(INDEX(Mots!$B:$B,MATCH($A1191,Mots!$A:$A,0)),"introuvable")</f>
        <v/>
      </c>
      <c r="C1191" s="30">
        <f>IFERROR(INDEX(Mots!$S:$S,MATCH($A1191,Mots!$A:$A,0)),"")</f>
        <v/>
      </c>
      <c r="D1191" s="30">
        <f>IFERROR(COUNTA(INDEX(Mots!$J:$J,MATCH($A1191,Mots!$A:$A,0)):INDEX(Mots!$P:$P,MATCH($A1191,Mots!$A:$A,0))),0)</f>
        <v/>
      </c>
      <c r="E1191" s="30">
        <f>IF(COUNTIF(Classement!$A:$A,$A1191)&gt;0,"ok","à faire")</f>
        <v/>
      </c>
      <c r="F1191" s="30">
        <f>IF(COUNTIF(Tags!$A:$A,$A1191)&gt;0,"ok","à faire")</f>
        <v/>
      </c>
      <c r="G1191" s="30">
        <f>IF(COUNTIF(Phrases!$A:$A,$A1191)&gt;0,"ok","à faire")</f>
        <v/>
      </c>
      <c r="H1191" s="30">
        <f>IF(COUNTIFS(Phrases!$A:$A,$A1191,Phrases!$I:$I,"&lt;&gt;")&gt;0,"ok","à faire")</f>
        <v/>
      </c>
      <c r="I1191" s="30">
        <f>IF(COUNTIF(Synonymes!$A:$A,$A1191)&gt;0,"ok","")</f>
        <v/>
      </c>
      <c r="J1191" s="30">
        <f>COUNTIF(E1191:H1191,"à faire")</f>
        <v/>
      </c>
    </row>
    <row r="1192">
      <c r="A1192" s="30" t="inlineStr">
        <is>
          <t>vainqueur</t>
        </is>
      </c>
      <c r="B1192" s="30">
        <f>IFERROR(INDEX(Mots!$B:$B,MATCH($A1192,Mots!$A:$A,0)),"introuvable")</f>
        <v/>
      </c>
      <c r="C1192" s="30">
        <f>IFERROR(INDEX(Mots!$S:$S,MATCH($A1192,Mots!$A:$A,0)),"")</f>
        <v/>
      </c>
      <c r="D1192" s="30">
        <f>IFERROR(COUNTA(INDEX(Mots!$J:$J,MATCH($A1192,Mots!$A:$A,0)):INDEX(Mots!$P:$P,MATCH($A1192,Mots!$A:$A,0))),0)</f>
        <v/>
      </c>
      <c r="E1192" s="30">
        <f>IF(COUNTIF(Classement!$A:$A,$A1192)&gt;0,"ok","à faire")</f>
        <v/>
      </c>
      <c r="F1192" s="30">
        <f>IF(COUNTIF(Tags!$A:$A,$A1192)&gt;0,"ok","à faire")</f>
        <v/>
      </c>
      <c r="G1192" s="30">
        <f>IF(COUNTIF(Phrases!$A:$A,$A1192)&gt;0,"ok","à faire")</f>
        <v/>
      </c>
      <c r="H1192" s="30">
        <f>IF(COUNTIFS(Phrases!$A:$A,$A1192,Phrases!$I:$I,"&lt;&gt;")&gt;0,"ok","à faire")</f>
        <v/>
      </c>
      <c r="I1192" s="30">
        <f>IF(COUNTIF(Synonymes!$A:$A,$A1192)&gt;0,"ok","")</f>
        <v/>
      </c>
      <c r="J1192" s="30">
        <f>COUNTIF(E1192:H1192,"à faire")</f>
        <v/>
      </c>
    </row>
    <row r="1193">
      <c r="A1193" s="30" t="inlineStr">
        <is>
          <t>velours</t>
        </is>
      </c>
      <c r="B1193" s="30">
        <f>IFERROR(INDEX(Mots!$B:$B,MATCH($A1193,Mots!$A:$A,0)),"introuvable")</f>
        <v/>
      </c>
      <c r="C1193" s="30">
        <f>IFERROR(INDEX(Mots!$S:$S,MATCH($A1193,Mots!$A:$A,0)),"")</f>
        <v/>
      </c>
      <c r="D1193" s="30">
        <f>IFERROR(COUNTA(INDEX(Mots!$J:$J,MATCH($A1193,Mots!$A:$A,0)):INDEX(Mots!$P:$P,MATCH($A1193,Mots!$A:$A,0))),0)</f>
        <v/>
      </c>
      <c r="E1193" s="30">
        <f>IF(COUNTIF(Classement!$A:$A,$A1193)&gt;0,"ok","à faire")</f>
        <v/>
      </c>
      <c r="F1193" s="30">
        <f>IF(COUNTIF(Tags!$A:$A,$A1193)&gt;0,"ok","à faire")</f>
        <v/>
      </c>
      <c r="G1193" s="30">
        <f>IF(COUNTIF(Phrases!$A:$A,$A1193)&gt;0,"ok","à faire")</f>
        <v/>
      </c>
      <c r="H1193" s="30">
        <f>IF(COUNTIFS(Phrases!$A:$A,$A1193,Phrases!$I:$I,"&lt;&gt;")&gt;0,"ok","à faire")</f>
        <v/>
      </c>
      <c r="I1193" s="30">
        <f>IF(COUNTIF(Synonymes!$A:$A,$A1193)&gt;0,"ok","")</f>
        <v/>
      </c>
      <c r="J1193" s="30">
        <f>COUNTIF(E1193:H1193,"à faire")</f>
        <v/>
      </c>
    </row>
    <row r="1194">
      <c r="A1194" s="30" t="inlineStr">
        <is>
          <t>vent</t>
        </is>
      </c>
      <c r="B1194" s="30">
        <f>IFERROR(INDEX(Mots!$B:$B,MATCH($A1194,Mots!$A:$A,0)),"introuvable")</f>
        <v/>
      </c>
      <c r="C1194" s="30">
        <f>IFERROR(INDEX(Mots!$S:$S,MATCH($A1194,Mots!$A:$A,0)),"")</f>
        <v/>
      </c>
      <c r="D1194" s="30">
        <f>IFERROR(COUNTA(INDEX(Mots!$J:$J,MATCH($A1194,Mots!$A:$A,0)):INDEX(Mots!$P:$P,MATCH($A1194,Mots!$A:$A,0))),0)</f>
        <v/>
      </c>
      <c r="E1194" s="30">
        <f>IF(COUNTIF(Classement!$A:$A,$A1194)&gt;0,"ok","à faire")</f>
        <v/>
      </c>
      <c r="F1194" s="30">
        <f>IF(COUNTIF(Tags!$A:$A,$A1194)&gt;0,"ok","à faire")</f>
        <v/>
      </c>
      <c r="G1194" s="30">
        <f>IF(COUNTIF(Phrases!$A:$A,$A1194)&gt;0,"ok","à faire")</f>
        <v/>
      </c>
      <c r="H1194" s="30">
        <f>IF(COUNTIFS(Phrases!$A:$A,$A1194,Phrases!$I:$I,"&lt;&gt;")&gt;0,"ok","à faire")</f>
        <v/>
      </c>
      <c r="I1194" s="30">
        <f>IF(COUNTIF(Synonymes!$A:$A,$A1194)&gt;0,"ok","")</f>
        <v/>
      </c>
      <c r="J1194" s="30">
        <f>COUNTIF(E1194:H1194,"à faire")</f>
        <v/>
      </c>
    </row>
    <row r="1195">
      <c r="A1195" s="30" t="inlineStr">
        <is>
          <t>verbe</t>
        </is>
      </c>
      <c r="B1195" s="30">
        <f>IFERROR(INDEX(Mots!$B:$B,MATCH($A1195,Mots!$A:$A,0)),"introuvable")</f>
        <v/>
      </c>
      <c r="C1195" s="30">
        <f>IFERROR(INDEX(Mots!$S:$S,MATCH($A1195,Mots!$A:$A,0)),"")</f>
        <v/>
      </c>
      <c r="D1195" s="30">
        <f>IFERROR(COUNTA(INDEX(Mots!$J:$J,MATCH($A1195,Mots!$A:$A,0)):INDEX(Mots!$P:$P,MATCH($A1195,Mots!$A:$A,0))),0)</f>
        <v/>
      </c>
      <c r="E1195" s="30">
        <f>IF(COUNTIF(Classement!$A:$A,$A1195)&gt;0,"ok","à faire")</f>
        <v/>
      </c>
      <c r="F1195" s="30">
        <f>IF(COUNTIF(Tags!$A:$A,$A1195)&gt;0,"ok","à faire")</f>
        <v/>
      </c>
      <c r="G1195" s="30">
        <f>IF(COUNTIF(Phrases!$A:$A,$A1195)&gt;0,"ok","à faire")</f>
        <v/>
      </c>
      <c r="H1195" s="30">
        <f>IF(COUNTIFS(Phrases!$A:$A,$A1195,Phrases!$I:$I,"&lt;&gt;")&gt;0,"ok","à faire")</f>
        <v/>
      </c>
      <c r="I1195" s="30">
        <f>IF(COUNTIF(Synonymes!$A:$A,$A1195)&gt;0,"ok","")</f>
        <v/>
      </c>
      <c r="J1195" s="30">
        <f>COUNTIF(E1195:H1195,"à faire")</f>
        <v/>
      </c>
    </row>
    <row r="1196">
      <c r="A1196" s="30" t="inlineStr">
        <is>
          <t>vetement</t>
        </is>
      </c>
      <c r="B1196" s="30">
        <f>IFERROR(INDEX(Mots!$B:$B,MATCH($A1196,Mots!$A:$A,0)),"introuvable")</f>
        <v/>
      </c>
      <c r="C1196" s="30">
        <f>IFERROR(INDEX(Mots!$S:$S,MATCH($A1196,Mots!$A:$A,0)),"")</f>
        <v/>
      </c>
      <c r="D1196" s="30">
        <f>IFERROR(COUNTA(INDEX(Mots!$J:$J,MATCH($A1196,Mots!$A:$A,0)):INDEX(Mots!$P:$P,MATCH($A1196,Mots!$A:$A,0))),0)</f>
        <v/>
      </c>
      <c r="E1196" s="30">
        <f>IF(COUNTIF(Classement!$A:$A,$A1196)&gt;0,"ok","à faire")</f>
        <v/>
      </c>
      <c r="F1196" s="30">
        <f>IF(COUNTIF(Tags!$A:$A,$A1196)&gt;0,"ok","à faire")</f>
        <v/>
      </c>
      <c r="G1196" s="30">
        <f>IF(COUNTIF(Phrases!$A:$A,$A1196)&gt;0,"ok","à faire")</f>
        <v/>
      </c>
      <c r="H1196" s="30">
        <f>IF(COUNTIFS(Phrases!$A:$A,$A1196,Phrases!$I:$I,"&lt;&gt;")&gt;0,"ok","à faire")</f>
        <v/>
      </c>
      <c r="I1196" s="30">
        <f>IF(COUNTIF(Synonymes!$A:$A,$A1196)&gt;0,"ok","")</f>
        <v/>
      </c>
      <c r="J1196" s="30">
        <f>COUNTIF(E1196:H1196,"à faire")</f>
        <v/>
      </c>
    </row>
    <row r="1197">
      <c r="A1197" s="30" t="inlineStr">
        <is>
          <t>village</t>
        </is>
      </c>
      <c r="B1197" s="30">
        <f>IFERROR(INDEX(Mots!$B:$B,MATCH($A1197,Mots!$A:$A,0)),"introuvable")</f>
        <v/>
      </c>
      <c r="C1197" s="30">
        <f>IFERROR(INDEX(Mots!$S:$S,MATCH($A1197,Mots!$A:$A,0)),"")</f>
        <v/>
      </c>
      <c r="D1197" s="30">
        <f>IFERROR(COUNTA(INDEX(Mots!$J:$J,MATCH($A1197,Mots!$A:$A,0)):INDEX(Mots!$P:$P,MATCH($A1197,Mots!$A:$A,0))),0)</f>
        <v/>
      </c>
      <c r="E1197" s="30">
        <f>IF(COUNTIF(Classement!$A:$A,$A1197)&gt;0,"ok","à faire")</f>
        <v/>
      </c>
      <c r="F1197" s="30">
        <f>IF(COUNTIF(Tags!$A:$A,$A1197)&gt;0,"ok","à faire")</f>
        <v/>
      </c>
      <c r="G1197" s="30">
        <f>IF(COUNTIF(Phrases!$A:$A,$A1197)&gt;0,"ok","à faire")</f>
        <v/>
      </c>
      <c r="H1197" s="30">
        <f>IF(COUNTIFS(Phrases!$A:$A,$A1197,Phrases!$I:$I,"&lt;&gt;")&gt;0,"ok","à faire")</f>
        <v/>
      </c>
      <c r="I1197" s="30">
        <f>IF(COUNTIF(Synonymes!$A:$A,$A1197)&gt;0,"ok","")</f>
        <v/>
      </c>
      <c r="J1197" s="30">
        <f>COUNTIF(E1197:H1197,"à faire")</f>
        <v/>
      </c>
    </row>
    <row r="1198">
      <c r="A1198" s="30" t="inlineStr">
        <is>
          <t>visage</t>
        </is>
      </c>
      <c r="B1198" s="30">
        <f>IFERROR(INDEX(Mots!$B:$B,MATCH($A1198,Mots!$A:$A,0)),"introuvable")</f>
        <v/>
      </c>
      <c r="C1198" s="30">
        <f>IFERROR(INDEX(Mots!$S:$S,MATCH($A1198,Mots!$A:$A,0)),"")</f>
        <v/>
      </c>
      <c r="D1198" s="30">
        <f>IFERROR(COUNTA(INDEX(Mots!$J:$J,MATCH($A1198,Mots!$A:$A,0)):INDEX(Mots!$P:$P,MATCH($A1198,Mots!$A:$A,0))),0)</f>
        <v/>
      </c>
      <c r="E1198" s="30">
        <f>IF(COUNTIF(Classement!$A:$A,$A1198)&gt;0,"ok","à faire")</f>
        <v/>
      </c>
      <c r="F1198" s="30">
        <f>IF(COUNTIF(Tags!$A:$A,$A1198)&gt;0,"ok","à faire")</f>
        <v/>
      </c>
      <c r="G1198" s="30">
        <f>IF(COUNTIF(Phrases!$A:$A,$A1198)&gt;0,"ok","à faire")</f>
        <v/>
      </c>
      <c r="H1198" s="30">
        <f>IF(COUNTIFS(Phrases!$A:$A,$A1198,Phrases!$I:$I,"&lt;&gt;")&gt;0,"ok","à faire")</f>
        <v/>
      </c>
      <c r="I1198" s="30">
        <f>IF(COUNTIF(Synonymes!$A:$A,$A1198)&gt;0,"ok","")</f>
        <v/>
      </c>
      <c r="J1198" s="30">
        <f>COUNTIF(E1198:H1198,"à faire")</f>
        <v/>
      </c>
    </row>
    <row r="1199">
      <c r="A1199" s="30" t="inlineStr">
        <is>
          <t>voisin</t>
        </is>
      </c>
      <c r="B1199" s="30">
        <f>IFERROR(INDEX(Mots!$B:$B,MATCH($A1199,Mots!$A:$A,0)),"introuvable")</f>
        <v/>
      </c>
      <c r="C1199" s="30">
        <f>IFERROR(INDEX(Mots!$S:$S,MATCH($A1199,Mots!$A:$A,0)),"")</f>
        <v/>
      </c>
      <c r="D1199" s="30">
        <f>IFERROR(COUNTA(INDEX(Mots!$J:$J,MATCH($A1199,Mots!$A:$A,0)):INDEX(Mots!$P:$P,MATCH($A1199,Mots!$A:$A,0))),0)</f>
        <v/>
      </c>
      <c r="E1199" s="30">
        <f>IF(COUNTIF(Classement!$A:$A,$A1199)&gt;0,"ok","à faire")</f>
        <v/>
      </c>
      <c r="F1199" s="30">
        <f>IF(COUNTIF(Tags!$A:$A,$A1199)&gt;0,"ok","à faire")</f>
        <v/>
      </c>
      <c r="G1199" s="30">
        <f>IF(COUNTIF(Phrases!$A:$A,$A1199)&gt;0,"ok","à faire")</f>
        <v/>
      </c>
      <c r="H1199" s="30">
        <f>IF(COUNTIFS(Phrases!$A:$A,$A1199,Phrases!$I:$I,"&lt;&gt;")&gt;0,"ok","à faire")</f>
        <v/>
      </c>
      <c r="I1199" s="30">
        <f>IF(COUNTIF(Synonymes!$A:$A,$A1199)&gt;0,"ok","")</f>
        <v/>
      </c>
      <c r="J1199" s="30">
        <f>COUNTIF(E1199:H1199,"à faire")</f>
        <v/>
      </c>
    </row>
    <row r="1200">
      <c r="A1200" s="30" t="inlineStr">
        <is>
          <t>vol</t>
        </is>
      </c>
      <c r="B1200" s="30">
        <f>IFERROR(INDEX(Mots!$B:$B,MATCH($A1200,Mots!$A:$A,0)),"introuvable")</f>
        <v/>
      </c>
      <c r="C1200" s="30">
        <f>IFERROR(INDEX(Mots!$S:$S,MATCH($A1200,Mots!$A:$A,0)),"")</f>
        <v/>
      </c>
      <c r="D1200" s="30">
        <f>IFERROR(COUNTA(INDEX(Mots!$J:$J,MATCH($A1200,Mots!$A:$A,0)):INDEX(Mots!$P:$P,MATCH($A1200,Mots!$A:$A,0))),0)</f>
        <v/>
      </c>
      <c r="E1200" s="30">
        <f>IF(COUNTIF(Classement!$A:$A,$A1200)&gt;0,"ok","à faire")</f>
        <v/>
      </c>
      <c r="F1200" s="30">
        <f>IF(COUNTIF(Tags!$A:$A,$A1200)&gt;0,"ok","à faire")</f>
        <v/>
      </c>
      <c r="G1200" s="30">
        <f>IF(COUNTIF(Phrases!$A:$A,$A1200)&gt;0,"ok","à faire")</f>
        <v/>
      </c>
      <c r="H1200" s="30">
        <f>IF(COUNTIFS(Phrases!$A:$A,$A1200,Phrases!$I:$I,"&lt;&gt;")&gt;0,"ok","à faire")</f>
        <v/>
      </c>
      <c r="I1200" s="30">
        <f>IF(COUNTIF(Synonymes!$A:$A,$A1200)&gt;0,"ok","")</f>
        <v/>
      </c>
      <c r="J1200" s="30">
        <f>COUNTIF(E1200:H1200,"à faire")</f>
        <v/>
      </c>
    </row>
    <row r="1201">
      <c r="A1201" s="30" t="inlineStr">
        <is>
          <t>volume</t>
        </is>
      </c>
      <c r="B1201" s="30">
        <f>IFERROR(INDEX(Mots!$B:$B,MATCH($A1201,Mots!$A:$A,0)),"introuvable")</f>
        <v/>
      </c>
      <c r="C1201" s="30">
        <f>IFERROR(INDEX(Mots!$S:$S,MATCH($A1201,Mots!$A:$A,0)),"")</f>
        <v/>
      </c>
      <c r="D1201" s="30">
        <f>IFERROR(COUNTA(INDEX(Mots!$J:$J,MATCH($A1201,Mots!$A:$A,0)):INDEX(Mots!$P:$P,MATCH($A1201,Mots!$A:$A,0))),0)</f>
        <v/>
      </c>
      <c r="E1201" s="30">
        <f>IF(COUNTIF(Classement!$A:$A,$A1201)&gt;0,"ok","à faire")</f>
        <v/>
      </c>
      <c r="F1201" s="30">
        <f>IF(COUNTIF(Tags!$A:$A,$A1201)&gt;0,"ok","à faire")</f>
        <v/>
      </c>
      <c r="G1201" s="30">
        <f>IF(COUNTIF(Phrases!$A:$A,$A1201)&gt;0,"ok","à faire")</f>
        <v/>
      </c>
      <c r="H1201" s="30">
        <f>IF(COUNTIFS(Phrases!$A:$A,$A1201,Phrases!$I:$I,"&lt;&gt;")&gt;0,"ok","à faire")</f>
        <v/>
      </c>
      <c r="I1201" s="30">
        <f>IF(COUNTIF(Synonymes!$A:$A,$A1201)&gt;0,"ok","")</f>
        <v/>
      </c>
      <c r="J1201" s="30">
        <f>COUNTIF(E1201:H1201,"à faire")</f>
        <v/>
      </c>
    </row>
    <row r="1202">
      <c r="A1202" s="30" t="inlineStr">
        <is>
          <t>voyage</t>
        </is>
      </c>
      <c r="B1202" s="30">
        <f>IFERROR(INDEX(Mots!$B:$B,MATCH($A1202,Mots!$A:$A,0)),"introuvable")</f>
        <v/>
      </c>
      <c r="C1202" s="30">
        <f>IFERROR(INDEX(Mots!$S:$S,MATCH($A1202,Mots!$A:$A,0)),"")</f>
        <v/>
      </c>
      <c r="D1202" s="30">
        <f>IFERROR(COUNTA(INDEX(Mots!$J:$J,MATCH($A1202,Mots!$A:$A,0)):INDEX(Mots!$P:$P,MATCH($A1202,Mots!$A:$A,0))),0)</f>
        <v/>
      </c>
      <c r="E1202" s="30">
        <f>IF(COUNTIF(Classement!$A:$A,$A1202)&gt;0,"ok","à faire")</f>
        <v/>
      </c>
      <c r="F1202" s="30">
        <f>IF(COUNTIF(Tags!$A:$A,$A1202)&gt;0,"ok","à faire")</f>
        <v/>
      </c>
      <c r="G1202" s="30">
        <f>IF(COUNTIF(Phrases!$A:$A,$A1202)&gt;0,"ok","à faire")</f>
        <v/>
      </c>
      <c r="H1202" s="30">
        <f>IF(COUNTIFS(Phrases!$A:$A,$A1202,Phrases!$I:$I,"&lt;&gt;")&gt;0,"ok","à faire")</f>
        <v/>
      </c>
      <c r="I1202" s="30">
        <f>IF(COUNTIF(Synonymes!$A:$A,$A1202)&gt;0,"ok","")</f>
        <v/>
      </c>
      <c r="J1202" s="30">
        <f>COUNTIF(E1202:H1202,"à faire")</f>
        <v/>
      </c>
    </row>
    <row r="1203">
      <c r="A1203" s="30" t="inlineStr">
        <is>
          <t>echelle</t>
        </is>
      </c>
      <c r="B1203" s="30">
        <f>IFERROR(INDEX(Mots!$B:$B,MATCH($A1203,Mots!$A:$A,0)),"introuvable")</f>
        <v/>
      </c>
      <c r="C1203" s="30">
        <f>IFERROR(INDEX(Mots!$S:$S,MATCH($A1203,Mots!$A:$A,0)),"")</f>
        <v/>
      </c>
      <c r="D1203" s="30">
        <f>IFERROR(COUNTA(INDEX(Mots!$J:$J,MATCH($A1203,Mots!$A:$A,0)):INDEX(Mots!$P:$P,MATCH($A1203,Mots!$A:$A,0))),0)</f>
        <v/>
      </c>
      <c r="E1203" s="30">
        <f>IF(COUNTIF(Classement!$A:$A,$A1203)&gt;0,"ok","à faire")</f>
        <v/>
      </c>
      <c r="F1203" s="30">
        <f>IF(COUNTIF(Tags!$A:$A,$A1203)&gt;0,"ok","à faire")</f>
        <v/>
      </c>
      <c r="G1203" s="30">
        <f>IF(COUNTIF(Phrases!$A:$A,$A1203)&gt;0,"ok","à faire")</f>
        <v/>
      </c>
      <c r="H1203" s="30">
        <f>IF(COUNTIFS(Phrases!$A:$A,$A1203,Phrases!$I:$I,"&lt;&gt;")&gt;0,"ok","à faire")</f>
        <v/>
      </c>
      <c r="I1203" s="30">
        <f>IF(COUNTIF(Synonymes!$A:$A,$A1203)&gt;0,"ok","")</f>
        <v/>
      </c>
      <c r="J1203" s="30">
        <f>COUNTIF(E1203:H1203,"à faire")</f>
        <v/>
      </c>
    </row>
    <row r="1204">
      <c r="A1204" s="30" t="inlineStr">
        <is>
          <t>eclair</t>
        </is>
      </c>
      <c r="B1204" s="30">
        <f>IFERROR(INDEX(Mots!$B:$B,MATCH($A1204,Mots!$A:$A,0)),"introuvable")</f>
        <v/>
      </c>
      <c r="C1204" s="30">
        <f>IFERROR(INDEX(Mots!$S:$S,MATCH($A1204,Mots!$A:$A,0)),"")</f>
        <v/>
      </c>
      <c r="D1204" s="30">
        <f>IFERROR(COUNTA(INDEX(Mots!$J:$J,MATCH($A1204,Mots!$A:$A,0)):INDEX(Mots!$P:$P,MATCH($A1204,Mots!$A:$A,0))),0)</f>
        <v/>
      </c>
      <c r="E1204" s="30">
        <f>IF(COUNTIF(Classement!$A:$A,$A1204)&gt;0,"ok","à faire")</f>
        <v/>
      </c>
      <c r="F1204" s="30">
        <f>IF(COUNTIF(Tags!$A:$A,$A1204)&gt;0,"ok","à faire")</f>
        <v/>
      </c>
      <c r="G1204" s="30">
        <f>IF(COUNTIF(Phrases!$A:$A,$A1204)&gt;0,"ok","à faire")</f>
        <v/>
      </c>
      <c r="H1204" s="30">
        <f>IF(COUNTIFS(Phrases!$A:$A,$A1204,Phrases!$I:$I,"&lt;&gt;")&gt;0,"ok","à faire")</f>
        <v/>
      </c>
      <c r="I1204" s="30">
        <f>IF(COUNTIF(Synonymes!$A:$A,$A1204)&gt;0,"ok","")</f>
        <v/>
      </c>
      <c r="J1204" s="30">
        <f>COUNTIF(E1204:H1204,"à faire")</f>
        <v/>
      </c>
    </row>
    <row r="1205">
      <c r="A1205" s="30" t="inlineStr">
        <is>
          <t>ecole</t>
        </is>
      </c>
      <c r="B1205" s="30">
        <f>IFERROR(INDEX(Mots!$B:$B,MATCH($A1205,Mots!$A:$A,0)),"introuvable")</f>
        <v/>
      </c>
      <c r="C1205" s="30">
        <f>IFERROR(INDEX(Mots!$S:$S,MATCH($A1205,Mots!$A:$A,0)),"")</f>
        <v/>
      </c>
      <c r="D1205" s="30">
        <f>IFERROR(COUNTA(INDEX(Mots!$J:$J,MATCH($A1205,Mots!$A:$A,0)):INDEX(Mots!$P:$P,MATCH($A1205,Mots!$A:$A,0))),0)</f>
        <v/>
      </c>
      <c r="E1205" s="30">
        <f>IF(COUNTIF(Classement!$A:$A,$A1205)&gt;0,"ok","à faire")</f>
        <v/>
      </c>
      <c r="F1205" s="30">
        <f>IF(COUNTIF(Tags!$A:$A,$A1205)&gt;0,"ok","à faire")</f>
        <v/>
      </c>
      <c r="G1205" s="30">
        <f>IF(COUNTIF(Phrases!$A:$A,$A1205)&gt;0,"ok","à faire")</f>
        <v/>
      </c>
      <c r="H1205" s="30">
        <f>IF(COUNTIFS(Phrases!$A:$A,$A1205,Phrases!$I:$I,"&lt;&gt;")&gt;0,"ok","à faire")</f>
        <v/>
      </c>
      <c r="I1205" s="30">
        <f>IF(COUNTIF(Synonymes!$A:$A,$A1205)&gt;0,"ok","")</f>
        <v/>
      </c>
      <c r="J1205" s="30">
        <f>COUNTIF(E1205:H1205,"à faire")</f>
        <v/>
      </c>
    </row>
    <row r="1206">
      <c r="A1206" s="30" t="inlineStr">
        <is>
          <t>economie</t>
        </is>
      </c>
      <c r="B1206" s="30">
        <f>IFERROR(INDEX(Mots!$B:$B,MATCH($A1206,Mots!$A:$A,0)),"introuvable")</f>
        <v/>
      </c>
      <c r="C1206" s="30">
        <f>IFERROR(INDEX(Mots!$S:$S,MATCH($A1206,Mots!$A:$A,0)),"")</f>
        <v/>
      </c>
      <c r="D1206" s="30">
        <f>IFERROR(COUNTA(INDEX(Mots!$J:$J,MATCH($A1206,Mots!$A:$A,0)):INDEX(Mots!$P:$P,MATCH($A1206,Mots!$A:$A,0))),0)</f>
        <v/>
      </c>
      <c r="E1206" s="30">
        <f>IF(COUNTIF(Classement!$A:$A,$A1206)&gt;0,"ok","à faire")</f>
        <v/>
      </c>
      <c r="F1206" s="30">
        <f>IF(COUNTIF(Tags!$A:$A,$A1206)&gt;0,"ok","à faire")</f>
        <v/>
      </c>
      <c r="G1206" s="30">
        <f>IF(COUNTIF(Phrases!$A:$A,$A1206)&gt;0,"ok","à faire")</f>
        <v/>
      </c>
      <c r="H1206" s="30">
        <f>IF(COUNTIFS(Phrases!$A:$A,$A1206,Phrases!$I:$I,"&lt;&gt;")&gt;0,"ok","à faire")</f>
        <v/>
      </c>
      <c r="I1206" s="30">
        <f>IF(COUNTIF(Synonymes!$A:$A,$A1206)&gt;0,"ok","")</f>
        <v/>
      </c>
      <c r="J1206" s="30">
        <f>COUNTIF(E1206:H1206,"à faire")</f>
        <v/>
      </c>
    </row>
    <row r="1207">
      <c r="A1207" s="30" t="inlineStr">
        <is>
          <t>ecorce</t>
        </is>
      </c>
      <c r="B1207" s="30">
        <f>IFERROR(INDEX(Mots!$B:$B,MATCH($A1207,Mots!$A:$A,0)),"introuvable")</f>
        <v/>
      </c>
      <c r="C1207" s="30">
        <f>IFERROR(INDEX(Mots!$S:$S,MATCH($A1207,Mots!$A:$A,0)),"")</f>
        <v/>
      </c>
      <c r="D1207" s="30">
        <f>IFERROR(COUNTA(INDEX(Mots!$J:$J,MATCH($A1207,Mots!$A:$A,0)):INDEX(Mots!$P:$P,MATCH($A1207,Mots!$A:$A,0))),0)</f>
        <v/>
      </c>
      <c r="E1207" s="30">
        <f>IF(COUNTIF(Classement!$A:$A,$A1207)&gt;0,"ok","à faire")</f>
        <v/>
      </c>
      <c r="F1207" s="30">
        <f>IF(COUNTIF(Tags!$A:$A,$A1207)&gt;0,"ok","à faire")</f>
        <v/>
      </c>
      <c r="G1207" s="30">
        <f>IF(COUNTIF(Phrases!$A:$A,$A1207)&gt;0,"ok","à faire")</f>
        <v/>
      </c>
      <c r="H1207" s="30">
        <f>IF(COUNTIFS(Phrases!$A:$A,$A1207,Phrases!$I:$I,"&lt;&gt;")&gt;0,"ok","à faire")</f>
        <v/>
      </c>
      <c r="I1207" s="30">
        <f>IF(COUNTIF(Synonymes!$A:$A,$A1207)&gt;0,"ok","")</f>
        <v/>
      </c>
      <c r="J1207" s="30">
        <f>COUNTIF(E1207:H1207,"à faire")</f>
        <v/>
      </c>
    </row>
    <row r="1208">
      <c r="A1208" s="30" t="inlineStr">
        <is>
          <t>ecran</t>
        </is>
      </c>
      <c r="B1208" s="30">
        <f>IFERROR(INDEX(Mots!$B:$B,MATCH($A1208,Mots!$A:$A,0)),"introuvable")</f>
        <v/>
      </c>
      <c r="C1208" s="30">
        <f>IFERROR(INDEX(Mots!$S:$S,MATCH($A1208,Mots!$A:$A,0)),"")</f>
        <v/>
      </c>
      <c r="D1208" s="30">
        <f>IFERROR(COUNTA(INDEX(Mots!$J:$J,MATCH($A1208,Mots!$A:$A,0)):INDEX(Mots!$P:$P,MATCH($A1208,Mots!$A:$A,0))),0)</f>
        <v/>
      </c>
      <c r="E1208" s="30">
        <f>IF(COUNTIF(Classement!$A:$A,$A1208)&gt;0,"ok","à faire")</f>
        <v/>
      </c>
      <c r="F1208" s="30">
        <f>IF(COUNTIF(Tags!$A:$A,$A1208)&gt;0,"ok","à faire")</f>
        <v/>
      </c>
      <c r="G1208" s="30">
        <f>IF(COUNTIF(Phrases!$A:$A,$A1208)&gt;0,"ok","à faire")</f>
        <v/>
      </c>
      <c r="H1208" s="30">
        <f>IF(COUNTIFS(Phrases!$A:$A,$A1208,Phrases!$I:$I,"&lt;&gt;")&gt;0,"ok","à faire")</f>
        <v/>
      </c>
      <c r="I1208" s="30">
        <f>IF(COUNTIF(Synonymes!$A:$A,$A1208)&gt;0,"ok","")</f>
        <v/>
      </c>
      <c r="J1208" s="30">
        <f>COUNTIF(E1208:H1208,"à faire")</f>
        <v/>
      </c>
    </row>
    <row r="1209">
      <c r="A1209" s="30" t="inlineStr">
        <is>
          <t>effort</t>
        </is>
      </c>
      <c r="B1209" s="30">
        <f>IFERROR(INDEX(Mots!$B:$B,MATCH($A1209,Mots!$A:$A,0)),"introuvable")</f>
        <v/>
      </c>
      <c r="C1209" s="30">
        <f>IFERROR(INDEX(Mots!$S:$S,MATCH($A1209,Mots!$A:$A,0)),"")</f>
        <v/>
      </c>
      <c r="D1209" s="30">
        <f>IFERROR(COUNTA(INDEX(Mots!$J:$J,MATCH($A1209,Mots!$A:$A,0)):INDEX(Mots!$P:$P,MATCH($A1209,Mots!$A:$A,0))),0)</f>
        <v/>
      </c>
      <c r="E1209" s="30">
        <f>IF(COUNTIF(Classement!$A:$A,$A1209)&gt;0,"ok","à faire")</f>
        <v/>
      </c>
      <c r="F1209" s="30">
        <f>IF(COUNTIF(Tags!$A:$A,$A1209)&gt;0,"ok","à faire")</f>
        <v/>
      </c>
      <c r="G1209" s="30">
        <f>IF(COUNTIF(Phrases!$A:$A,$A1209)&gt;0,"ok","à faire")</f>
        <v/>
      </c>
      <c r="H1209" s="30">
        <f>IF(COUNTIFS(Phrases!$A:$A,$A1209,Phrases!$I:$I,"&lt;&gt;")&gt;0,"ok","à faire")</f>
        <v/>
      </c>
      <c r="I1209" s="30">
        <f>IF(COUNTIF(Synonymes!$A:$A,$A1209)&gt;0,"ok","")</f>
        <v/>
      </c>
      <c r="J1209" s="30">
        <f>COUNTIF(E1209:H1209,"à faire")</f>
        <v/>
      </c>
    </row>
    <row r="1210">
      <c r="A1210" s="30" t="inlineStr">
        <is>
          <t>eleve</t>
        </is>
      </c>
      <c r="B1210" s="30">
        <f>IFERROR(INDEX(Mots!$B:$B,MATCH($A1210,Mots!$A:$A,0)),"introuvable")</f>
        <v/>
      </c>
      <c r="C1210" s="30">
        <f>IFERROR(INDEX(Mots!$S:$S,MATCH($A1210,Mots!$A:$A,0)),"")</f>
        <v/>
      </c>
      <c r="D1210" s="30">
        <f>IFERROR(COUNTA(INDEX(Mots!$J:$J,MATCH($A1210,Mots!$A:$A,0)):INDEX(Mots!$P:$P,MATCH($A1210,Mots!$A:$A,0))),0)</f>
        <v/>
      </c>
      <c r="E1210" s="30">
        <f>IF(COUNTIF(Classement!$A:$A,$A1210)&gt;0,"ok","à faire")</f>
        <v/>
      </c>
      <c r="F1210" s="30">
        <f>IF(COUNTIF(Tags!$A:$A,$A1210)&gt;0,"ok","à faire")</f>
        <v/>
      </c>
      <c r="G1210" s="30">
        <f>IF(COUNTIF(Phrases!$A:$A,$A1210)&gt;0,"ok","à faire")</f>
        <v/>
      </c>
      <c r="H1210" s="30">
        <f>IF(COUNTIFS(Phrases!$A:$A,$A1210,Phrases!$I:$I,"&lt;&gt;")&gt;0,"ok","à faire")</f>
        <v/>
      </c>
      <c r="I1210" s="30">
        <f>IF(COUNTIF(Synonymes!$A:$A,$A1210)&gt;0,"ok","")</f>
        <v/>
      </c>
      <c r="J1210" s="30">
        <f>COUNTIF(E1210:H1210,"à faire")</f>
        <v/>
      </c>
    </row>
    <row r="1211">
      <c r="A1211" s="30" t="inlineStr">
        <is>
          <t>endroit</t>
        </is>
      </c>
      <c r="B1211" s="30">
        <f>IFERROR(INDEX(Mots!$B:$B,MATCH($A1211,Mots!$A:$A,0)),"introuvable")</f>
        <v/>
      </c>
      <c r="C1211" s="30">
        <f>IFERROR(INDEX(Mots!$S:$S,MATCH($A1211,Mots!$A:$A,0)),"")</f>
        <v/>
      </c>
      <c r="D1211" s="30">
        <f>IFERROR(COUNTA(INDEX(Mots!$J:$J,MATCH($A1211,Mots!$A:$A,0)):INDEX(Mots!$P:$P,MATCH($A1211,Mots!$A:$A,0))),0)</f>
        <v/>
      </c>
      <c r="E1211" s="30">
        <f>IF(COUNTIF(Classement!$A:$A,$A1211)&gt;0,"ok","à faire")</f>
        <v/>
      </c>
      <c r="F1211" s="30">
        <f>IF(COUNTIF(Tags!$A:$A,$A1211)&gt;0,"ok","à faire")</f>
        <v/>
      </c>
      <c r="G1211" s="30">
        <f>IF(COUNTIF(Phrases!$A:$A,$A1211)&gt;0,"ok","à faire")</f>
        <v/>
      </c>
      <c r="H1211" s="30">
        <f>IF(COUNTIFS(Phrases!$A:$A,$A1211,Phrases!$I:$I,"&lt;&gt;")&gt;0,"ok","à faire")</f>
        <v/>
      </c>
      <c r="I1211" s="30">
        <f>IF(COUNTIF(Synonymes!$A:$A,$A1211)&gt;0,"ok","")</f>
        <v/>
      </c>
      <c r="J1211" s="30">
        <f>COUNTIF(E1211:H1211,"à faire")</f>
        <v/>
      </c>
    </row>
    <row r="1212">
      <c r="A1212" s="30" t="inlineStr">
        <is>
          <t>engin</t>
        </is>
      </c>
      <c r="B1212" s="30">
        <f>IFERROR(INDEX(Mots!$B:$B,MATCH($A1212,Mots!$A:$A,0)),"introuvable")</f>
        <v/>
      </c>
      <c r="C1212" s="30">
        <f>IFERROR(INDEX(Mots!$S:$S,MATCH($A1212,Mots!$A:$A,0)),"")</f>
        <v/>
      </c>
      <c r="D1212" s="30">
        <f>IFERROR(COUNTA(INDEX(Mots!$J:$J,MATCH($A1212,Mots!$A:$A,0)):INDEX(Mots!$P:$P,MATCH($A1212,Mots!$A:$A,0))),0)</f>
        <v/>
      </c>
      <c r="E1212" s="30">
        <f>IF(COUNTIF(Classement!$A:$A,$A1212)&gt;0,"ok","à faire")</f>
        <v/>
      </c>
      <c r="F1212" s="30">
        <f>IF(COUNTIF(Tags!$A:$A,$A1212)&gt;0,"ok","à faire")</f>
        <v/>
      </c>
      <c r="G1212" s="30">
        <f>IF(COUNTIF(Phrases!$A:$A,$A1212)&gt;0,"ok","à faire")</f>
        <v/>
      </c>
      <c r="H1212" s="30">
        <f>IF(COUNTIFS(Phrases!$A:$A,$A1212,Phrases!$I:$I,"&lt;&gt;")&gt;0,"ok","à faire")</f>
        <v/>
      </c>
      <c r="I1212" s="30">
        <f>IF(COUNTIF(Synonymes!$A:$A,$A1212)&gt;0,"ok","")</f>
        <v/>
      </c>
      <c r="J1212" s="30">
        <f>COUNTIF(E1212:H1212,"à faire")</f>
        <v/>
      </c>
    </row>
    <row r="1213">
      <c r="A1213" s="30" t="inlineStr">
        <is>
          <t>ennui</t>
        </is>
      </c>
      <c r="B1213" s="30">
        <f>IFERROR(INDEX(Mots!$B:$B,MATCH($A1213,Mots!$A:$A,0)),"introuvable")</f>
        <v/>
      </c>
      <c r="C1213" s="30">
        <f>IFERROR(INDEX(Mots!$S:$S,MATCH($A1213,Mots!$A:$A,0)),"")</f>
        <v/>
      </c>
      <c r="D1213" s="30">
        <f>IFERROR(COUNTA(INDEX(Mots!$J:$J,MATCH($A1213,Mots!$A:$A,0)):INDEX(Mots!$P:$P,MATCH($A1213,Mots!$A:$A,0))),0)</f>
        <v/>
      </c>
      <c r="E1213" s="30">
        <f>IF(COUNTIF(Classement!$A:$A,$A1213)&gt;0,"ok","à faire")</f>
        <v/>
      </c>
      <c r="F1213" s="30">
        <f>IF(COUNTIF(Tags!$A:$A,$A1213)&gt;0,"ok","à faire")</f>
        <v/>
      </c>
      <c r="G1213" s="30">
        <f>IF(COUNTIF(Phrases!$A:$A,$A1213)&gt;0,"ok","à faire")</f>
        <v/>
      </c>
      <c r="H1213" s="30">
        <f>IF(COUNTIFS(Phrases!$A:$A,$A1213,Phrases!$I:$I,"&lt;&gt;")&gt;0,"ok","à faire")</f>
        <v/>
      </c>
      <c r="I1213" s="30">
        <f>IF(COUNTIF(Synonymes!$A:$A,$A1213)&gt;0,"ok","")</f>
        <v/>
      </c>
      <c r="J1213" s="30">
        <f>COUNTIF(E1213:H1213,"à faire")</f>
        <v/>
      </c>
    </row>
    <row r="1214">
      <c r="A1214" s="30" t="inlineStr">
        <is>
          <t>entraide</t>
        </is>
      </c>
      <c r="B1214" s="30">
        <f>IFERROR(INDEX(Mots!$B:$B,MATCH($A1214,Mots!$A:$A,0)),"introuvable")</f>
        <v/>
      </c>
      <c r="C1214" s="30">
        <f>IFERROR(INDEX(Mots!$S:$S,MATCH($A1214,Mots!$A:$A,0)),"")</f>
        <v/>
      </c>
      <c r="D1214" s="30">
        <f>IFERROR(COUNTA(INDEX(Mots!$J:$J,MATCH($A1214,Mots!$A:$A,0)):INDEX(Mots!$P:$P,MATCH($A1214,Mots!$A:$A,0))),0)</f>
        <v/>
      </c>
      <c r="E1214" s="30">
        <f>IF(COUNTIF(Classement!$A:$A,$A1214)&gt;0,"ok","à faire")</f>
        <v/>
      </c>
      <c r="F1214" s="30">
        <f>IF(COUNTIF(Tags!$A:$A,$A1214)&gt;0,"ok","à faire")</f>
        <v/>
      </c>
      <c r="G1214" s="30">
        <f>IF(COUNTIF(Phrases!$A:$A,$A1214)&gt;0,"ok","à faire")</f>
        <v/>
      </c>
      <c r="H1214" s="30">
        <f>IF(COUNTIFS(Phrases!$A:$A,$A1214,Phrases!$I:$I,"&lt;&gt;")&gt;0,"ok","à faire")</f>
        <v/>
      </c>
      <c r="I1214" s="30">
        <f>IF(COUNTIF(Synonymes!$A:$A,$A1214)&gt;0,"ok","")</f>
        <v/>
      </c>
      <c r="J1214" s="30">
        <f>COUNTIF(E1214:H1214,"à faire")</f>
        <v/>
      </c>
    </row>
    <row r="1215">
      <c r="A1215" s="30" t="inlineStr">
        <is>
          <t>entretien</t>
        </is>
      </c>
      <c r="B1215" s="30">
        <f>IFERROR(INDEX(Mots!$B:$B,MATCH($A1215,Mots!$A:$A,0)),"introuvable")</f>
        <v/>
      </c>
      <c r="C1215" s="30">
        <f>IFERROR(INDEX(Mots!$S:$S,MATCH($A1215,Mots!$A:$A,0)),"")</f>
        <v/>
      </c>
      <c r="D1215" s="30">
        <f>IFERROR(COUNTA(INDEX(Mots!$J:$J,MATCH($A1215,Mots!$A:$A,0)):INDEX(Mots!$P:$P,MATCH($A1215,Mots!$A:$A,0))),0)</f>
        <v/>
      </c>
      <c r="E1215" s="30">
        <f>IF(COUNTIF(Classement!$A:$A,$A1215)&gt;0,"ok","à faire")</f>
        <v/>
      </c>
      <c r="F1215" s="30">
        <f>IF(COUNTIF(Tags!$A:$A,$A1215)&gt;0,"ok","à faire")</f>
        <v/>
      </c>
      <c r="G1215" s="30">
        <f>IF(COUNTIF(Phrases!$A:$A,$A1215)&gt;0,"ok","à faire")</f>
        <v/>
      </c>
      <c r="H1215" s="30">
        <f>IF(COUNTIFS(Phrases!$A:$A,$A1215,Phrases!$I:$I,"&lt;&gt;")&gt;0,"ok","à faire")</f>
        <v/>
      </c>
      <c r="I1215" s="30">
        <f>IF(COUNTIF(Synonymes!$A:$A,$A1215)&gt;0,"ok","")</f>
        <v/>
      </c>
      <c r="J1215" s="30">
        <f>COUNTIF(E1215:H1215,"à faire")</f>
        <v/>
      </c>
    </row>
    <row r="1216">
      <c r="A1216" s="30" t="inlineStr">
        <is>
          <t>enveloppe</t>
        </is>
      </c>
      <c r="B1216" s="30">
        <f>IFERROR(INDEX(Mots!$B:$B,MATCH($A1216,Mots!$A:$A,0)),"introuvable")</f>
        <v/>
      </c>
      <c r="C1216" s="30">
        <f>IFERROR(INDEX(Mots!$S:$S,MATCH($A1216,Mots!$A:$A,0)),"")</f>
        <v/>
      </c>
      <c r="D1216" s="30">
        <f>IFERROR(COUNTA(INDEX(Mots!$J:$J,MATCH($A1216,Mots!$A:$A,0)):INDEX(Mots!$P:$P,MATCH($A1216,Mots!$A:$A,0))),0)</f>
        <v/>
      </c>
      <c r="E1216" s="30">
        <f>IF(COUNTIF(Classement!$A:$A,$A1216)&gt;0,"ok","à faire")</f>
        <v/>
      </c>
      <c r="F1216" s="30">
        <f>IF(COUNTIF(Tags!$A:$A,$A1216)&gt;0,"ok","à faire")</f>
        <v/>
      </c>
      <c r="G1216" s="30">
        <f>IF(COUNTIF(Phrases!$A:$A,$A1216)&gt;0,"ok","à faire")</f>
        <v/>
      </c>
      <c r="H1216" s="30">
        <f>IF(COUNTIFS(Phrases!$A:$A,$A1216,Phrases!$I:$I,"&lt;&gt;")&gt;0,"ok","à faire")</f>
        <v/>
      </c>
      <c r="I1216" s="30">
        <f>IF(COUNTIF(Synonymes!$A:$A,$A1216)&gt;0,"ok","")</f>
        <v/>
      </c>
      <c r="J1216" s="30">
        <f>COUNTIF(E1216:H1216,"à faire")</f>
        <v/>
      </c>
    </row>
    <row r="1217">
      <c r="A1217" s="30" t="inlineStr">
        <is>
          <t>envie</t>
        </is>
      </c>
      <c r="B1217" s="30">
        <f>IFERROR(INDEX(Mots!$B:$B,MATCH($A1217,Mots!$A:$A,0)),"introuvable")</f>
        <v/>
      </c>
      <c r="C1217" s="30">
        <f>IFERROR(INDEX(Mots!$S:$S,MATCH($A1217,Mots!$A:$A,0)),"")</f>
        <v/>
      </c>
      <c r="D1217" s="30">
        <f>IFERROR(COUNTA(INDEX(Mots!$J:$J,MATCH($A1217,Mots!$A:$A,0)):INDEX(Mots!$P:$P,MATCH($A1217,Mots!$A:$A,0))),0)</f>
        <v/>
      </c>
      <c r="E1217" s="30">
        <f>IF(COUNTIF(Classement!$A:$A,$A1217)&gt;0,"ok","à faire")</f>
        <v/>
      </c>
      <c r="F1217" s="30">
        <f>IF(COUNTIF(Tags!$A:$A,$A1217)&gt;0,"ok","à faire")</f>
        <v/>
      </c>
      <c r="G1217" s="30">
        <f>IF(COUNTIF(Phrases!$A:$A,$A1217)&gt;0,"ok","à faire")</f>
        <v/>
      </c>
      <c r="H1217" s="30">
        <f>IF(COUNTIFS(Phrases!$A:$A,$A1217,Phrases!$I:$I,"&lt;&gt;")&gt;0,"ok","à faire")</f>
        <v/>
      </c>
      <c r="I1217" s="30">
        <f>IF(COUNTIF(Synonymes!$A:$A,$A1217)&gt;0,"ok","")</f>
        <v/>
      </c>
      <c r="J1217" s="30">
        <f>COUNTIF(E1217:H1217,"à faire")</f>
        <v/>
      </c>
    </row>
    <row r="1218">
      <c r="A1218" s="30" t="inlineStr">
        <is>
          <t>environnement</t>
        </is>
      </c>
      <c r="B1218" s="30">
        <f>IFERROR(INDEX(Mots!$B:$B,MATCH($A1218,Mots!$A:$A,0)),"introuvable")</f>
        <v/>
      </c>
      <c r="C1218" s="30">
        <f>IFERROR(INDEX(Mots!$S:$S,MATCH($A1218,Mots!$A:$A,0)),"")</f>
        <v/>
      </c>
      <c r="D1218" s="30">
        <f>IFERROR(COUNTA(INDEX(Mots!$J:$J,MATCH($A1218,Mots!$A:$A,0)):INDEX(Mots!$P:$P,MATCH($A1218,Mots!$A:$A,0))),0)</f>
        <v/>
      </c>
      <c r="E1218" s="30">
        <f>IF(COUNTIF(Classement!$A:$A,$A1218)&gt;0,"ok","à faire")</f>
        <v/>
      </c>
      <c r="F1218" s="30">
        <f>IF(COUNTIF(Tags!$A:$A,$A1218)&gt;0,"ok","à faire")</f>
        <v/>
      </c>
      <c r="G1218" s="30">
        <f>IF(COUNTIF(Phrases!$A:$A,$A1218)&gt;0,"ok","à faire")</f>
        <v/>
      </c>
      <c r="H1218" s="30">
        <f>IF(COUNTIFS(Phrases!$A:$A,$A1218,Phrases!$I:$I,"&lt;&gt;")&gt;0,"ok","à faire")</f>
        <v/>
      </c>
      <c r="I1218" s="30">
        <f>IF(COUNTIF(Synonymes!$A:$A,$A1218)&gt;0,"ok","")</f>
        <v/>
      </c>
      <c r="J1218" s="30">
        <f>COUNTIF(E1218:H1218,"à faire")</f>
        <v/>
      </c>
    </row>
    <row r="1219">
      <c r="A1219" s="30" t="inlineStr">
        <is>
          <t>epice</t>
        </is>
      </c>
      <c r="B1219" s="30">
        <f>IFERROR(INDEX(Mots!$B:$B,MATCH($A1219,Mots!$A:$A,0)),"introuvable")</f>
        <v/>
      </c>
      <c r="C1219" s="30">
        <f>IFERROR(INDEX(Mots!$S:$S,MATCH($A1219,Mots!$A:$A,0)),"")</f>
        <v/>
      </c>
      <c r="D1219" s="30">
        <f>IFERROR(COUNTA(INDEX(Mots!$J:$J,MATCH($A1219,Mots!$A:$A,0)):INDEX(Mots!$P:$P,MATCH($A1219,Mots!$A:$A,0))),0)</f>
        <v/>
      </c>
      <c r="E1219" s="30">
        <f>IF(COUNTIF(Classement!$A:$A,$A1219)&gt;0,"ok","à faire")</f>
        <v/>
      </c>
      <c r="F1219" s="30">
        <f>IF(COUNTIF(Tags!$A:$A,$A1219)&gt;0,"ok","à faire")</f>
        <v/>
      </c>
      <c r="G1219" s="30">
        <f>IF(COUNTIF(Phrases!$A:$A,$A1219)&gt;0,"ok","à faire")</f>
        <v/>
      </c>
      <c r="H1219" s="30">
        <f>IF(COUNTIFS(Phrases!$A:$A,$A1219,Phrases!$I:$I,"&lt;&gt;")&gt;0,"ok","à faire")</f>
        <v/>
      </c>
      <c r="I1219" s="30">
        <f>IF(COUNTIF(Synonymes!$A:$A,$A1219)&gt;0,"ok","")</f>
        <v/>
      </c>
      <c r="J1219" s="30">
        <f>COUNTIF(E1219:H1219,"à faire")</f>
        <v/>
      </c>
    </row>
    <row r="1220">
      <c r="A1220" s="30" t="inlineStr">
        <is>
          <t>erreur</t>
        </is>
      </c>
      <c r="B1220" s="30">
        <f>IFERROR(INDEX(Mots!$B:$B,MATCH($A1220,Mots!$A:$A,0)),"introuvable")</f>
        <v/>
      </c>
      <c r="C1220" s="30">
        <f>IFERROR(INDEX(Mots!$S:$S,MATCH($A1220,Mots!$A:$A,0)),"")</f>
        <v/>
      </c>
      <c r="D1220" s="30">
        <f>IFERROR(COUNTA(INDEX(Mots!$J:$J,MATCH($A1220,Mots!$A:$A,0)):INDEX(Mots!$P:$P,MATCH($A1220,Mots!$A:$A,0))),0)</f>
        <v/>
      </c>
      <c r="E1220" s="30">
        <f>IF(COUNTIF(Classement!$A:$A,$A1220)&gt;0,"ok","à faire")</f>
        <v/>
      </c>
      <c r="F1220" s="30">
        <f>IF(COUNTIF(Tags!$A:$A,$A1220)&gt;0,"ok","à faire")</f>
        <v/>
      </c>
      <c r="G1220" s="30">
        <f>IF(COUNTIF(Phrases!$A:$A,$A1220)&gt;0,"ok","à faire")</f>
        <v/>
      </c>
      <c r="H1220" s="30">
        <f>IF(COUNTIFS(Phrases!$A:$A,$A1220,Phrases!$I:$I,"&lt;&gt;")&gt;0,"ok","à faire")</f>
        <v/>
      </c>
      <c r="I1220" s="30">
        <f>IF(COUNTIF(Synonymes!$A:$A,$A1220)&gt;0,"ok","")</f>
        <v/>
      </c>
      <c r="J1220" s="30">
        <f>COUNTIF(E1220:H1220,"à faire")</f>
        <v/>
      </c>
    </row>
    <row r="1221">
      <c r="A1221" s="30" t="inlineStr">
        <is>
          <t>ciseaux</t>
        </is>
      </c>
      <c r="B1221" s="30">
        <f>IFERROR(INDEX(Mots!$B:$B,MATCH($A1221,Mots!$A:$A,0)),"introuvable")</f>
        <v/>
      </c>
      <c r="C1221" s="30">
        <f>IFERROR(INDEX(Mots!$S:$S,MATCH($A1221,Mots!$A:$A,0)),"")</f>
        <v/>
      </c>
      <c r="D1221" s="30">
        <f>IFERROR(COUNTA(INDEX(Mots!$J:$J,MATCH($A1221,Mots!$A:$A,0)):INDEX(Mots!$P:$P,MATCH($A1221,Mots!$A:$A,0))),0)</f>
        <v/>
      </c>
      <c r="E1221" s="30">
        <f>IF(COUNTIF(Classement!$A:$A,$A1221)&gt;0,"ok","à faire")</f>
        <v/>
      </c>
      <c r="F1221" s="30">
        <f>IF(COUNTIF(Tags!$A:$A,$A1221)&gt;0,"ok","à faire")</f>
        <v/>
      </c>
      <c r="G1221" s="30">
        <f>IF(COUNTIF(Phrases!$A:$A,$A1221)&gt;0,"ok","à faire")</f>
        <v/>
      </c>
      <c r="H1221" s="30">
        <f>IF(COUNTIFS(Phrases!$A:$A,$A1221,Phrases!$I:$I,"&lt;&gt;")&gt;0,"ok","à faire")</f>
        <v/>
      </c>
      <c r="I1221" s="30">
        <f>IF(COUNTIF(Synonymes!$A:$A,$A1221)&gt;0,"ok","")</f>
        <v/>
      </c>
      <c r="J1221" s="30">
        <f>COUNTIF(E1221:H1221,"à faire")</f>
        <v/>
      </c>
    </row>
    <row r="1222">
      <c r="A1222" s="30" t="inlineStr">
        <is>
          <t>gens</t>
        </is>
      </c>
      <c r="B1222" s="30">
        <f>IFERROR(INDEX(Mots!$B:$B,MATCH($A1222,Mots!$A:$A,0)),"introuvable")</f>
        <v/>
      </c>
      <c r="C1222" s="30">
        <f>IFERROR(INDEX(Mots!$S:$S,MATCH($A1222,Mots!$A:$A,0)),"")</f>
        <v/>
      </c>
      <c r="D1222" s="30">
        <f>IFERROR(COUNTA(INDEX(Mots!$J:$J,MATCH($A1222,Mots!$A:$A,0)):INDEX(Mots!$P:$P,MATCH($A1222,Mots!$A:$A,0))),0)</f>
        <v/>
      </c>
      <c r="E1222" s="30">
        <f>IF(COUNTIF(Classement!$A:$A,$A1222)&gt;0,"ok","à faire")</f>
        <v/>
      </c>
      <c r="F1222" s="30">
        <f>IF(COUNTIF(Tags!$A:$A,$A1222)&gt;0,"ok","à faire")</f>
        <v/>
      </c>
      <c r="G1222" s="30">
        <f>IF(COUNTIF(Phrases!$A:$A,$A1222)&gt;0,"ok","à faire")</f>
        <v/>
      </c>
      <c r="H1222" s="30">
        <f>IF(COUNTIFS(Phrases!$A:$A,$A1222,Phrases!$I:$I,"&lt;&gt;")&gt;0,"ok","à faire")</f>
        <v/>
      </c>
      <c r="I1222" s="30">
        <f>IF(COUNTIF(Synonymes!$A:$A,$A1222)&gt;0,"ok","")</f>
        <v/>
      </c>
      <c r="J1222" s="30">
        <f>COUNTIF(E1222:H1222,"à faire")</f>
        <v/>
      </c>
    </row>
    <row r="1223">
      <c r="A1223" s="30" t="inlineStr">
        <is>
          <t>o_jumelles</t>
        </is>
      </c>
      <c r="B1223" s="30">
        <f>IFERROR(INDEX(Mots!$B:$B,MATCH($A1223,Mots!$A:$A,0)),"introuvable")</f>
        <v/>
      </c>
      <c r="C1223" s="30">
        <f>IFERROR(INDEX(Mots!$S:$S,MATCH($A1223,Mots!$A:$A,0)),"")</f>
        <v/>
      </c>
      <c r="D1223" s="30">
        <f>IFERROR(COUNTA(INDEX(Mots!$J:$J,MATCH($A1223,Mots!$A:$A,0)):INDEX(Mots!$P:$P,MATCH($A1223,Mots!$A:$A,0))),0)</f>
        <v/>
      </c>
      <c r="E1223" s="30">
        <f>IF(COUNTIF(Classement!$A:$A,$A1223)&gt;0,"ok","à faire")</f>
        <v/>
      </c>
      <c r="F1223" s="30">
        <f>IF(COUNTIF(Tags!$A:$A,$A1223)&gt;0,"ok","à faire")</f>
        <v/>
      </c>
      <c r="G1223" s="30">
        <f>IF(COUNTIF(Phrases!$A:$A,$A1223)&gt;0,"ok","à faire")</f>
        <v/>
      </c>
      <c r="H1223" s="30">
        <f>IF(COUNTIFS(Phrases!$A:$A,$A1223,Phrases!$I:$I,"&lt;&gt;")&gt;0,"ok","à faire")</f>
        <v/>
      </c>
      <c r="I1223" s="30">
        <f>IF(COUNTIF(Synonymes!$A:$A,$A1223)&gt;0,"ok","")</f>
        <v/>
      </c>
      <c r="J1223" s="30">
        <f>COUNTIF(E1223:H1223,"à faire")</f>
        <v/>
      </c>
    </row>
    <row r="1224">
      <c r="A1224" s="30" t="inlineStr">
        <is>
          <t>lunettes</t>
        </is>
      </c>
      <c r="B1224" s="30">
        <f>IFERROR(INDEX(Mots!$B:$B,MATCH($A1224,Mots!$A:$A,0)),"introuvable")</f>
        <v/>
      </c>
      <c r="C1224" s="30">
        <f>IFERROR(INDEX(Mots!$S:$S,MATCH($A1224,Mots!$A:$A,0)),"")</f>
        <v/>
      </c>
      <c r="D1224" s="30">
        <f>IFERROR(COUNTA(INDEX(Mots!$J:$J,MATCH($A1224,Mots!$A:$A,0)):INDEX(Mots!$P:$P,MATCH($A1224,Mots!$A:$A,0))),0)</f>
        <v/>
      </c>
      <c r="E1224" s="30">
        <f>IF(COUNTIF(Classement!$A:$A,$A1224)&gt;0,"ok","à faire")</f>
        <v/>
      </c>
      <c r="F1224" s="30">
        <f>IF(COUNTIF(Tags!$A:$A,$A1224)&gt;0,"ok","à faire")</f>
        <v/>
      </c>
      <c r="G1224" s="30">
        <f>IF(COUNTIF(Phrases!$A:$A,$A1224)&gt;0,"ok","à faire")</f>
        <v/>
      </c>
      <c r="H1224" s="30">
        <f>IF(COUNTIFS(Phrases!$A:$A,$A1224,Phrases!$I:$I,"&lt;&gt;")&gt;0,"ok","à faire")</f>
        <v/>
      </c>
      <c r="I1224" s="30">
        <f>IF(COUNTIF(Synonymes!$A:$A,$A1224)&gt;0,"ok","")</f>
        <v/>
      </c>
      <c r="J1224" s="30">
        <f>COUNTIF(E1224:H1224,"à faire")</f>
        <v/>
      </c>
    </row>
    <row r="1225">
      <c r="A1225" s="30" t="inlineStr">
        <is>
          <t>vacances</t>
        </is>
      </c>
      <c r="B1225" s="30">
        <f>IFERROR(INDEX(Mots!$B:$B,MATCH($A1225,Mots!$A:$A,0)),"introuvable")</f>
        <v/>
      </c>
      <c r="C1225" s="30">
        <f>IFERROR(INDEX(Mots!$S:$S,MATCH($A1225,Mots!$A:$A,0)),"")</f>
        <v/>
      </c>
      <c r="D1225" s="30">
        <f>IFERROR(COUNTA(INDEX(Mots!$J:$J,MATCH($A1225,Mots!$A:$A,0)):INDEX(Mots!$P:$P,MATCH($A1225,Mots!$A:$A,0))),0)</f>
        <v/>
      </c>
      <c r="E1225" s="30">
        <f>IF(COUNTIF(Classement!$A:$A,$A1225)&gt;0,"ok","à faire")</f>
        <v/>
      </c>
      <c r="F1225" s="30">
        <f>IF(COUNTIF(Tags!$A:$A,$A1225)&gt;0,"ok","à faire")</f>
        <v/>
      </c>
      <c r="G1225" s="30">
        <f>IF(COUNTIF(Phrases!$A:$A,$A1225)&gt;0,"ok","à faire")</f>
        <v/>
      </c>
      <c r="H1225" s="30">
        <f>IF(COUNTIFS(Phrases!$A:$A,$A1225,Phrases!$I:$I,"&lt;&gt;")&gt;0,"ok","à faire")</f>
        <v/>
      </c>
      <c r="I1225" s="30">
        <f>IF(COUNTIF(Synonymes!$A:$A,$A1225)&gt;0,"ok","")</f>
        <v/>
      </c>
      <c r="J1225" s="30">
        <f>COUNTIF(E1225:H1225,"à faire")</f>
        <v/>
      </c>
    </row>
    <row r="1226">
      <c r="A1226" s="30" t="inlineStr">
        <is>
          <t>espace</t>
        </is>
      </c>
      <c r="B1226" s="30">
        <f>IFERROR(INDEX(Mots!$B:$B,MATCH($A1226,Mots!$A:$A,0)),"introuvable")</f>
        <v/>
      </c>
      <c r="C1226" s="30">
        <f>IFERROR(INDEX(Mots!$S:$S,MATCH($A1226,Mots!$A:$A,0)),"")</f>
        <v/>
      </c>
      <c r="D1226" s="30">
        <f>IFERROR(COUNTA(INDEX(Mots!$J:$J,MATCH($A1226,Mots!$A:$A,0)):INDEX(Mots!$P:$P,MATCH($A1226,Mots!$A:$A,0))),0)</f>
        <v/>
      </c>
      <c r="E1226" s="30">
        <f>IF(COUNTIF(Classement!$A:$A,$A1226)&gt;0,"ok","à faire")</f>
        <v/>
      </c>
      <c r="F1226" s="30">
        <f>IF(COUNTIF(Tags!$A:$A,$A1226)&gt;0,"ok","à faire")</f>
        <v/>
      </c>
      <c r="G1226" s="30">
        <f>IF(COUNTIF(Phrases!$A:$A,$A1226)&gt;0,"ok","à faire")</f>
        <v/>
      </c>
      <c r="H1226" s="30">
        <f>IF(COUNTIFS(Phrases!$A:$A,$A1226,Phrases!$I:$I,"&lt;&gt;")&gt;0,"ok","à faire")</f>
        <v/>
      </c>
      <c r="I1226" s="30">
        <f>IF(COUNTIF(Synonymes!$A:$A,$A1226)&gt;0,"ok","")</f>
        <v/>
      </c>
      <c r="J1226" s="30">
        <f>COUNTIF(E1226:H1226,"à faire")</f>
        <v/>
      </c>
    </row>
    <row r="1227">
      <c r="A1227" s="30" t="inlineStr">
        <is>
          <t>etagere</t>
        </is>
      </c>
      <c r="B1227" s="30">
        <f>IFERROR(INDEX(Mots!$B:$B,MATCH($A1227,Mots!$A:$A,0)),"introuvable")</f>
        <v/>
      </c>
      <c r="C1227" s="30">
        <f>IFERROR(INDEX(Mots!$S:$S,MATCH($A1227,Mots!$A:$A,0)),"")</f>
        <v/>
      </c>
      <c r="D1227" s="30">
        <f>IFERROR(COUNTA(INDEX(Mots!$J:$J,MATCH($A1227,Mots!$A:$A,0)):INDEX(Mots!$P:$P,MATCH($A1227,Mots!$A:$A,0))),0)</f>
        <v/>
      </c>
      <c r="E1227" s="30">
        <f>IF(COUNTIF(Classement!$A:$A,$A1227)&gt;0,"ok","à faire")</f>
        <v/>
      </c>
      <c r="F1227" s="30">
        <f>IF(COUNTIF(Tags!$A:$A,$A1227)&gt;0,"ok","à faire")</f>
        <v/>
      </c>
      <c r="G1227" s="30">
        <f>IF(COUNTIF(Phrases!$A:$A,$A1227)&gt;0,"ok","à faire")</f>
        <v/>
      </c>
      <c r="H1227" s="30">
        <f>IF(COUNTIFS(Phrases!$A:$A,$A1227,Phrases!$I:$I,"&lt;&gt;")&gt;0,"ok","à faire")</f>
        <v/>
      </c>
      <c r="I1227" s="30">
        <f>IF(COUNTIF(Synonymes!$A:$A,$A1227)&gt;0,"ok","")</f>
        <v/>
      </c>
      <c r="J1227" s="30">
        <f>COUNTIF(E1227:H1227,"à faire")</f>
        <v/>
      </c>
    </row>
    <row r="1228">
      <c r="A1228" s="30" t="inlineStr">
        <is>
          <t>etoile</t>
        </is>
      </c>
      <c r="B1228" s="30">
        <f>IFERROR(INDEX(Mots!$B:$B,MATCH($A1228,Mots!$A:$A,0)),"introuvable")</f>
        <v/>
      </c>
      <c r="C1228" s="30">
        <f>IFERROR(INDEX(Mots!$S:$S,MATCH($A1228,Mots!$A:$A,0)),"")</f>
        <v/>
      </c>
      <c r="D1228" s="30">
        <f>IFERROR(COUNTA(INDEX(Mots!$J:$J,MATCH($A1228,Mots!$A:$A,0)):INDEX(Mots!$P:$P,MATCH($A1228,Mots!$A:$A,0))),0)</f>
        <v/>
      </c>
      <c r="E1228" s="30">
        <f>IF(COUNTIF(Classement!$A:$A,$A1228)&gt;0,"ok","à faire")</f>
        <v/>
      </c>
      <c r="F1228" s="30">
        <f>IF(COUNTIF(Tags!$A:$A,$A1228)&gt;0,"ok","à faire")</f>
        <v/>
      </c>
      <c r="G1228" s="30">
        <f>IF(COUNTIF(Phrases!$A:$A,$A1228)&gt;0,"ok","à faire")</f>
        <v/>
      </c>
      <c r="H1228" s="30">
        <f>IF(COUNTIFS(Phrases!$A:$A,$A1228,Phrases!$I:$I,"&lt;&gt;")&gt;0,"ok","à faire")</f>
        <v/>
      </c>
      <c r="I1228" s="30">
        <f>IF(COUNTIF(Synonymes!$A:$A,$A1228)&gt;0,"ok","")</f>
        <v/>
      </c>
      <c r="J1228" s="30">
        <f>COUNTIF(E1228:H1228,"à faire")</f>
        <v/>
      </c>
    </row>
    <row r="1229">
      <c r="A1229" s="30" t="inlineStr">
        <is>
          <t>v_lever</t>
        </is>
      </c>
      <c r="B1229" s="30">
        <f>IFERROR(INDEX(Mots!$B:$B,MATCH($A1229,Mots!$A:$A,0)),"introuvable")</f>
        <v/>
      </c>
      <c r="C1229" s="30">
        <f>IFERROR(INDEX(Mots!$S:$S,MATCH($A1229,Mots!$A:$A,0)),"")</f>
        <v/>
      </c>
      <c r="D1229" s="30">
        <f>IFERROR(COUNTA(INDEX(Mots!$J:$J,MATCH($A1229,Mots!$A:$A,0)):INDEX(Mots!$P:$P,MATCH($A1229,Mots!$A:$A,0))),0)</f>
        <v/>
      </c>
      <c r="E1229" s="30">
        <f>IF(COUNTIF(Classement!$A:$A,$A1229)&gt;0,"ok","à faire")</f>
        <v/>
      </c>
      <c r="F1229" s="30">
        <f>IF(COUNTIF(Tags!$A:$A,$A1229)&gt;0,"ok","à faire")</f>
        <v/>
      </c>
      <c r="G1229" s="30">
        <f>IF(COUNTIF(Phrases!$A:$A,$A1229)&gt;0,"ok","à faire")</f>
        <v/>
      </c>
      <c r="H1229" s="30">
        <f>IF(COUNTIFS(Phrases!$A:$A,$A1229,Phrases!$I:$I,"&lt;&gt;")&gt;0,"ok","à faire")</f>
        <v/>
      </c>
      <c r="I1229" s="30">
        <f>IF(COUNTIF(Synonymes!$A:$A,$A1229)&gt;0,"ok","")</f>
        <v/>
      </c>
      <c r="J1229" s="30">
        <f>COUNTIF(E1229:H1229,"à faire")</f>
        <v/>
      </c>
    </row>
    <row r="1230">
      <c r="A1230" s="30" t="inlineStr">
        <is>
          <t>excursion</t>
        </is>
      </c>
      <c r="B1230" s="30">
        <f>IFERROR(INDEX(Mots!$B:$B,MATCH($A1230,Mots!$A:$A,0)),"introuvable")</f>
        <v/>
      </c>
      <c r="C1230" s="30">
        <f>IFERROR(INDEX(Mots!$S:$S,MATCH($A1230,Mots!$A:$A,0)),"")</f>
        <v/>
      </c>
      <c r="D1230" s="30">
        <f>IFERROR(COUNTA(INDEX(Mots!$J:$J,MATCH($A1230,Mots!$A:$A,0)):INDEX(Mots!$P:$P,MATCH($A1230,Mots!$A:$A,0))),0)</f>
        <v/>
      </c>
      <c r="E1230" s="30">
        <f>IF(COUNTIF(Classement!$A:$A,$A1230)&gt;0,"ok","à faire")</f>
        <v/>
      </c>
      <c r="F1230" s="30">
        <f>IF(COUNTIF(Tags!$A:$A,$A1230)&gt;0,"ok","à faire")</f>
        <v/>
      </c>
      <c r="G1230" s="30">
        <f>IF(COUNTIF(Phrases!$A:$A,$A1230)&gt;0,"ok","à faire")</f>
        <v/>
      </c>
      <c r="H1230" s="30">
        <f>IF(COUNTIFS(Phrases!$A:$A,$A1230,Phrases!$I:$I,"&lt;&gt;")&gt;0,"ok","à faire")</f>
        <v/>
      </c>
      <c r="I1230" s="30">
        <f>IF(COUNTIF(Synonymes!$A:$A,$A1230)&gt;0,"ok","")</f>
        <v/>
      </c>
      <c r="J1230" s="30">
        <f>COUNTIF(E1230:H1230,"à faire")</f>
        <v/>
      </c>
    </row>
    <row r="1231">
      <c r="A1231" s="30" t="inlineStr">
        <is>
          <t>exemple</t>
        </is>
      </c>
      <c r="B1231" s="30">
        <f>IFERROR(INDEX(Mots!$B:$B,MATCH($A1231,Mots!$A:$A,0)),"introuvable")</f>
        <v/>
      </c>
      <c r="C1231" s="30">
        <f>IFERROR(INDEX(Mots!$S:$S,MATCH($A1231,Mots!$A:$A,0)),"")</f>
        <v/>
      </c>
      <c r="D1231" s="30">
        <f>IFERROR(COUNTA(INDEX(Mots!$J:$J,MATCH($A1231,Mots!$A:$A,0)):INDEX(Mots!$P:$P,MATCH($A1231,Mots!$A:$A,0))),0)</f>
        <v/>
      </c>
      <c r="E1231" s="30">
        <f>IF(COUNTIF(Classement!$A:$A,$A1231)&gt;0,"ok","à faire")</f>
        <v/>
      </c>
      <c r="F1231" s="30">
        <f>IF(COUNTIF(Tags!$A:$A,$A1231)&gt;0,"ok","à faire")</f>
        <v/>
      </c>
      <c r="G1231" s="30">
        <f>IF(COUNTIF(Phrases!$A:$A,$A1231)&gt;0,"ok","à faire")</f>
        <v/>
      </c>
      <c r="H1231" s="30">
        <f>IF(COUNTIFS(Phrases!$A:$A,$A1231,Phrases!$I:$I,"&lt;&gt;")&gt;0,"ok","à faire")</f>
        <v/>
      </c>
      <c r="I1231" s="30">
        <f>IF(COUNTIF(Synonymes!$A:$A,$A1231)&gt;0,"ok","")</f>
        <v/>
      </c>
      <c r="J1231" s="30">
        <f>COUNTIF(E1231:H1231,"à faire")</f>
        <v/>
      </c>
    </row>
    <row r="1232">
      <c r="A1232" s="30" t="inlineStr">
        <is>
          <t>histoire</t>
        </is>
      </c>
      <c r="B1232" s="30">
        <f>IFERROR(INDEX(Mots!$B:$B,MATCH($A1232,Mots!$A:$A,0)),"introuvable")</f>
        <v/>
      </c>
      <c r="C1232" s="30">
        <f>IFERROR(INDEX(Mots!$S:$S,MATCH($A1232,Mots!$A:$A,0)),"")</f>
        <v/>
      </c>
      <c r="D1232" s="30">
        <f>IFERROR(COUNTA(INDEX(Mots!$J:$J,MATCH($A1232,Mots!$A:$A,0)):INDEX(Mots!$P:$P,MATCH($A1232,Mots!$A:$A,0))),0)</f>
        <v/>
      </c>
      <c r="E1232" s="30">
        <f>IF(COUNTIF(Classement!$A:$A,$A1232)&gt;0,"ok","à faire")</f>
        <v/>
      </c>
      <c r="F1232" s="30">
        <f>IF(COUNTIF(Tags!$A:$A,$A1232)&gt;0,"ok","à faire")</f>
        <v/>
      </c>
      <c r="G1232" s="30">
        <f>IF(COUNTIF(Phrases!$A:$A,$A1232)&gt;0,"ok","à faire")</f>
        <v/>
      </c>
      <c r="H1232" s="30">
        <f>IF(COUNTIFS(Phrases!$A:$A,$A1232,Phrases!$I:$I,"&lt;&gt;")&gt;0,"ok","à faire")</f>
        <v/>
      </c>
      <c r="I1232" s="30">
        <f>IF(COUNTIF(Synonymes!$A:$A,$A1232)&gt;0,"ok","")</f>
        <v/>
      </c>
      <c r="J1232" s="30">
        <f>COUNTIF(E1232:H1232,"à faire")</f>
        <v/>
      </c>
    </row>
    <row r="1233">
      <c r="A1233" s="30" t="inlineStr">
        <is>
          <t>horizon</t>
        </is>
      </c>
      <c r="B1233" s="30">
        <f>IFERROR(INDEX(Mots!$B:$B,MATCH($A1233,Mots!$A:$A,0)),"introuvable")</f>
        <v/>
      </c>
      <c r="C1233" s="30">
        <f>IFERROR(INDEX(Mots!$S:$S,MATCH($A1233,Mots!$A:$A,0)),"")</f>
        <v/>
      </c>
      <c r="D1233" s="30">
        <f>IFERROR(COUNTA(INDEX(Mots!$J:$J,MATCH($A1233,Mots!$A:$A,0)):INDEX(Mots!$P:$P,MATCH($A1233,Mots!$A:$A,0))),0)</f>
        <v/>
      </c>
      <c r="E1233" s="30">
        <f>IF(COUNTIF(Classement!$A:$A,$A1233)&gt;0,"ok","à faire")</f>
        <v/>
      </c>
      <c r="F1233" s="30">
        <f>IF(COUNTIF(Tags!$A:$A,$A1233)&gt;0,"ok","à faire")</f>
        <v/>
      </c>
      <c r="G1233" s="30">
        <f>IF(COUNTIF(Phrases!$A:$A,$A1233)&gt;0,"ok","à faire")</f>
        <v/>
      </c>
      <c r="H1233" s="30">
        <f>IF(COUNTIFS(Phrases!$A:$A,$A1233,Phrases!$I:$I,"&lt;&gt;")&gt;0,"ok","à faire")</f>
        <v/>
      </c>
      <c r="I1233" s="30">
        <f>IF(COUNTIF(Synonymes!$A:$A,$A1233)&gt;0,"ok","")</f>
        <v/>
      </c>
      <c r="J1233" s="30">
        <f>COUNTIF(E1233:H1233,"à faire")</f>
        <v/>
      </c>
    </row>
    <row r="1234">
      <c r="A1234" s="30" t="inlineStr">
        <is>
          <t>idee</t>
        </is>
      </c>
      <c r="B1234" s="30">
        <f>IFERROR(INDEX(Mots!$B:$B,MATCH($A1234,Mots!$A:$A,0)),"introuvable")</f>
        <v/>
      </c>
      <c r="C1234" s="30">
        <f>IFERROR(INDEX(Mots!$S:$S,MATCH($A1234,Mots!$A:$A,0)),"")</f>
        <v/>
      </c>
      <c r="D1234" s="30">
        <f>IFERROR(COUNTA(INDEX(Mots!$J:$J,MATCH($A1234,Mots!$A:$A,0)):INDEX(Mots!$P:$P,MATCH($A1234,Mots!$A:$A,0))),0)</f>
        <v/>
      </c>
      <c r="E1234" s="30">
        <f>IF(COUNTIF(Classement!$A:$A,$A1234)&gt;0,"ok","à faire")</f>
        <v/>
      </c>
      <c r="F1234" s="30">
        <f>IF(COUNTIF(Tags!$A:$A,$A1234)&gt;0,"ok","à faire")</f>
        <v/>
      </c>
      <c r="G1234" s="30">
        <f>IF(COUNTIF(Phrases!$A:$A,$A1234)&gt;0,"ok","à faire")</f>
        <v/>
      </c>
      <c r="H1234" s="30">
        <f>IF(COUNTIFS(Phrases!$A:$A,$A1234,Phrases!$I:$I,"&lt;&gt;")&gt;0,"ok","à faire")</f>
        <v/>
      </c>
      <c r="I1234" s="30">
        <f>IF(COUNTIF(Synonymes!$A:$A,$A1234)&gt;0,"ok","")</f>
        <v/>
      </c>
      <c r="J1234" s="30">
        <f>COUNTIF(E1234:H1234,"à faire")</f>
        <v/>
      </c>
    </row>
    <row r="1235">
      <c r="A1235" s="30" t="inlineStr">
        <is>
          <t>ile</t>
        </is>
      </c>
      <c r="B1235" s="30">
        <f>IFERROR(INDEX(Mots!$B:$B,MATCH($A1235,Mots!$A:$A,0)),"introuvable")</f>
        <v/>
      </c>
      <c r="C1235" s="30">
        <f>IFERROR(INDEX(Mots!$S:$S,MATCH($A1235,Mots!$A:$A,0)),"")</f>
        <v/>
      </c>
      <c r="D1235" s="30">
        <f>IFERROR(COUNTA(INDEX(Mots!$J:$J,MATCH($A1235,Mots!$A:$A,0)):INDEX(Mots!$P:$P,MATCH($A1235,Mots!$A:$A,0))),0)</f>
        <v/>
      </c>
      <c r="E1235" s="30">
        <f>IF(COUNTIF(Classement!$A:$A,$A1235)&gt;0,"ok","à faire")</f>
        <v/>
      </c>
      <c r="F1235" s="30">
        <f>IF(COUNTIF(Tags!$A:$A,$A1235)&gt;0,"ok","à faire")</f>
        <v/>
      </c>
      <c r="G1235" s="30">
        <f>IF(COUNTIF(Phrases!$A:$A,$A1235)&gt;0,"ok","à faire")</f>
        <v/>
      </c>
      <c r="H1235" s="30">
        <f>IF(COUNTIFS(Phrases!$A:$A,$A1235,Phrases!$I:$I,"&lt;&gt;")&gt;0,"ok","à faire")</f>
        <v/>
      </c>
      <c r="I1235" s="30">
        <f>IF(COUNTIF(Synonymes!$A:$A,$A1235)&gt;0,"ok","")</f>
        <v/>
      </c>
      <c r="J1235" s="30">
        <f>COUNTIF(E1235:H1235,"à faire")</f>
        <v/>
      </c>
    </row>
    <row r="1236">
      <c r="A1236" s="30" t="inlineStr">
        <is>
          <t>image</t>
        </is>
      </c>
      <c r="B1236" s="30">
        <f>IFERROR(INDEX(Mots!$B:$B,MATCH($A1236,Mots!$A:$A,0)),"introuvable")</f>
        <v/>
      </c>
      <c r="C1236" s="30">
        <f>IFERROR(INDEX(Mots!$S:$S,MATCH($A1236,Mots!$A:$A,0)),"")</f>
        <v/>
      </c>
      <c r="D1236" s="30">
        <f>IFERROR(COUNTA(INDEX(Mots!$J:$J,MATCH($A1236,Mots!$A:$A,0)):INDEX(Mots!$P:$P,MATCH($A1236,Mots!$A:$A,0))),0)</f>
        <v/>
      </c>
      <c r="E1236" s="30">
        <f>IF(COUNTIF(Classement!$A:$A,$A1236)&gt;0,"ok","à faire")</f>
        <v/>
      </c>
      <c r="F1236" s="30">
        <f>IF(COUNTIF(Tags!$A:$A,$A1236)&gt;0,"ok","à faire")</f>
        <v/>
      </c>
      <c r="G1236" s="30">
        <f>IF(COUNTIF(Phrases!$A:$A,$A1236)&gt;0,"ok","à faire")</f>
        <v/>
      </c>
      <c r="H1236" s="30">
        <f>IF(COUNTIFS(Phrases!$A:$A,$A1236,Phrases!$I:$I,"&lt;&gt;")&gt;0,"ok","à faire")</f>
        <v/>
      </c>
      <c r="I1236" s="30">
        <f>IF(COUNTIF(Synonymes!$A:$A,$A1236)&gt;0,"ok","")</f>
        <v/>
      </c>
      <c r="J1236" s="30">
        <f>COUNTIF(E1236:H1236,"à faire")</f>
        <v/>
      </c>
    </row>
    <row r="1237">
      <c r="A1237" s="30" t="inlineStr">
        <is>
          <t>immeuble</t>
        </is>
      </c>
      <c r="B1237" s="30">
        <f>IFERROR(INDEX(Mots!$B:$B,MATCH($A1237,Mots!$A:$A,0)),"introuvable")</f>
        <v/>
      </c>
      <c r="C1237" s="30">
        <f>IFERROR(INDEX(Mots!$S:$S,MATCH($A1237,Mots!$A:$A,0)),"")</f>
        <v/>
      </c>
      <c r="D1237" s="30">
        <f>IFERROR(COUNTA(INDEX(Mots!$J:$J,MATCH($A1237,Mots!$A:$A,0)):INDEX(Mots!$P:$P,MATCH($A1237,Mots!$A:$A,0))),0)</f>
        <v/>
      </c>
      <c r="E1237" s="30">
        <f>IF(COUNTIF(Classement!$A:$A,$A1237)&gt;0,"ok","à faire")</f>
        <v/>
      </c>
      <c r="F1237" s="30">
        <f>IF(COUNTIF(Tags!$A:$A,$A1237)&gt;0,"ok","à faire")</f>
        <v/>
      </c>
      <c r="G1237" s="30">
        <f>IF(COUNTIF(Phrases!$A:$A,$A1237)&gt;0,"ok","à faire")</f>
        <v/>
      </c>
      <c r="H1237" s="30">
        <f>IF(COUNTIFS(Phrases!$A:$A,$A1237,Phrases!$I:$I,"&lt;&gt;")&gt;0,"ok","à faire")</f>
        <v/>
      </c>
      <c r="I1237" s="30">
        <f>IF(COUNTIF(Synonymes!$A:$A,$A1237)&gt;0,"ok","")</f>
        <v/>
      </c>
      <c r="J1237" s="30">
        <f>COUNTIF(E1237:H1237,"à faire")</f>
        <v/>
      </c>
    </row>
    <row r="1238">
      <c r="A1238" s="30" t="inlineStr">
        <is>
          <t>information</t>
        </is>
      </c>
      <c r="B1238" s="30">
        <f>IFERROR(INDEX(Mots!$B:$B,MATCH($A1238,Mots!$A:$A,0)),"introuvable")</f>
        <v/>
      </c>
      <c r="C1238" s="30">
        <f>IFERROR(INDEX(Mots!$S:$S,MATCH($A1238,Mots!$A:$A,0)),"")</f>
        <v/>
      </c>
      <c r="D1238" s="30">
        <f>IFERROR(COUNTA(INDEX(Mots!$J:$J,MATCH($A1238,Mots!$A:$A,0)):INDEX(Mots!$P:$P,MATCH($A1238,Mots!$A:$A,0))),0)</f>
        <v/>
      </c>
      <c r="E1238" s="30">
        <f>IF(COUNTIF(Classement!$A:$A,$A1238)&gt;0,"ok","à faire")</f>
        <v/>
      </c>
      <c r="F1238" s="30">
        <f>IF(COUNTIF(Tags!$A:$A,$A1238)&gt;0,"ok","à faire")</f>
        <v/>
      </c>
      <c r="G1238" s="30">
        <f>IF(COUNTIF(Phrases!$A:$A,$A1238)&gt;0,"ok","à faire")</f>
        <v/>
      </c>
      <c r="H1238" s="30">
        <f>IF(COUNTIFS(Phrases!$A:$A,$A1238,Phrases!$I:$I,"&lt;&gt;")&gt;0,"ok","à faire")</f>
        <v/>
      </c>
      <c r="I1238" s="30">
        <f>IF(COUNTIF(Synonymes!$A:$A,$A1238)&gt;0,"ok","")</f>
        <v/>
      </c>
      <c r="J1238" s="30">
        <f>COUNTIF(E1238:H1238,"à faire")</f>
        <v/>
      </c>
    </row>
    <row r="1239">
      <c r="A1239" s="30" t="inlineStr">
        <is>
          <t>inquietude</t>
        </is>
      </c>
      <c r="B1239" s="30">
        <f>IFERROR(INDEX(Mots!$B:$B,MATCH($A1239,Mots!$A:$A,0)),"introuvable")</f>
        <v/>
      </c>
      <c r="C1239" s="30">
        <f>IFERROR(INDEX(Mots!$S:$S,MATCH($A1239,Mots!$A:$A,0)),"")</f>
        <v/>
      </c>
      <c r="D1239" s="30">
        <f>IFERROR(COUNTA(INDEX(Mots!$J:$J,MATCH($A1239,Mots!$A:$A,0)):INDEX(Mots!$P:$P,MATCH($A1239,Mots!$A:$A,0))),0)</f>
        <v/>
      </c>
      <c r="E1239" s="30">
        <f>IF(COUNTIF(Classement!$A:$A,$A1239)&gt;0,"ok","à faire")</f>
        <v/>
      </c>
      <c r="F1239" s="30">
        <f>IF(COUNTIF(Tags!$A:$A,$A1239)&gt;0,"ok","à faire")</f>
        <v/>
      </c>
      <c r="G1239" s="30">
        <f>IF(COUNTIF(Phrases!$A:$A,$A1239)&gt;0,"ok","à faire")</f>
        <v/>
      </c>
      <c r="H1239" s="30">
        <f>IF(COUNTIFS(Phrases!$A:$A,$A1239,Phrases!$I:$I,"&lt;&gt;")&gt;0,"ok","à faire")</f>
        <v/>
      </c>
      <c r="I1239" s="30">
        <f>IF(COUNTIF(Synonymes!$A:$A,$A1239)&gt;0,"ok","")</f>
        <v/>
      </c>
      <c r="J1239" s="30">
        <f>COUNTIF(E1239:H1239,"à faire")</f>
        <v/>
      </c>
    </row>
    <row r="1240">
      <c r="A1240" s="30" t="inlineStr">
        <is>
          <t>instant</t>
        </is>
      </c>
      <c r="B1240" s="30">
        <f>IFERROR(INDEX(Mots!$B:$B,MATCH($A1240,Mots!$A:$A,0)),"introuvable")</f>
        <v/>
      </c>
      <c r="C1240" s="30">
        <f>IFERROR(INDEX(Mots!$S:$S,MATCH($A1240,Mots!$A:$A,0)),"")</f>
        <v/>
      </c>
      <c r="D1240" s="30">
        <f>IFERROR(COUNTA(INDEX(Mots!$J:$J,MATCH($A1240,Mots!$A:$A,0)):INDEX(Mots!$P:$P,MATCH($A1240,Mots!$A:$A,0))),0)</f>
        <v/>
      </c>
      <c r="E1240" s="30">
        <f>IF(COUNTIF(Classement!$A:$A,$A1240)&gt;0,"ok","à faire")</f>
        <v/>
      </c>
      <c r="F1240" s="30">
        <f>IF(COUNTIF(Tags!$A:$A,$A1240)&gt;0,"ok","à faire")</f>
        <v/>
      </c>
      <c r="G1240" s="30">
        <f>IF(COUNTIF(Phrases!$A:$A,$A1240)&gt;0,"ok","à faire")</f>
        <v/>
      </c>
      <c r="H1240" s="30">
        <f>IF(COUNTIFS(Phrases!$A:$A,$A1240,Phrases!$I:$I,"&lt;&gt;")&gt;0,"ok","à faire")</f>
        <v/>
      </c>
      <c r="I1240" s="30">
        <f>IF(COUNTIF(Synonymes!$A:$A,$A1240)&gt;0,"ok","")</f>
        <v/>
      </c>
      <c r="J1240" s="30">
        <f>COUNTIF(E1240:H1240,"à faire")</f>
        <v/>
      </c>
    </row>
    <row r="1241">
      <c r="A1241" s="30" t="inlineStr">
        <is>
          <t>invitation</t>
        </is>
      </c>
      <c r="B1241" s="30">
        <f>IFERROR(INDEX(Mots!$B:$B,MATCH($A1241,Mots!$A:$A,0)),"introuvable")</f>
        <v/>
      </c>
      <c r="C1241" s="30">
        <f>IFERROR(INDEX(Mots!$S:$S,MATCH($A1241,Mots!$A:$A,0)),"")</f>
        <v/>
      </c>
      <c r="D1241" s="30">
        <f>IFERROR(COUNTA(INDEX(Mots!$J:$J,MATCH($A1241,Mots!$A:$A,0)):INDEX(Mots!$P:$P,MATCH($A1241,Mots!$A:$A,0))),0)</f>
        <v/>
      </c>
      <c r="E1241" s="30">
        <f>IF(COUNTIF(Classement!$A:$A,$A1241)&gt;0,"ok","à faire")</f>
        <v/>
      </c>
      <c r="F1241" s="30">
        <f>IF(COUNTIF(Tags!$A:$A,$A1241)&gt;0,"ok","à faire")</f>
        <v/>
      </c>
      <c r="G1241" s="30">
        <f>IF(COUNTIF(Phrases!$A:$A,$A1241)&gt;0,"ok","à faire")</f>
        <v/>
      </c>
      <c r="H1241" s="30">
        <f>IF(COUNTIFS(Phrases!$A:$A,$A1241,Phrases!$I:$I,"&lt;&gt;")&gt;0,"ok","à faire")</f>
        <v/>
      </c>
      <c r="I1241" s="30">
        <f>IF(COUNTIF(Synonymes!$A:$A,$A1241)&gt;0,"ok","")</f>
        <v/>
      </c>
      <c r="J1241" s="30">
        <f>COUNTIF(E1241:H1241,"à faire")</f>
        <v/>
      </c>
    </row>
    <row r="1242">
      <c r="A1242" s="30" t="inlineStr">
        <is>
          <t>invite</t>
        </is>
      </c>
      <c r="B1242" s="30">
        <f>IFERROR(INDEX(Mots!$B:$B,MATCH($A1242,Mots!$A:$A,0)),"introuvable")</f>
        <v/>
      </c>
      <c r="C1242" s="30">
        <f>IFERROR(INDEX(Mots!$S:$S,MATCH($A1242,Mots!$A:$A,0)),"")</f>
        <v/>
      </c>
      <c r="D1242" s="30">
        <f>IFERROR(COUNTA(INDEX(Mots!$J:$J,MATCH($A1242,Mots!$A:$A,0)):INDEX(Mots!$P:$P,MATCH($A1242,Mots!$A:$A,0))),0)</f>
        <v/>
      </c>
      <c r="E1242" s="30">
        <f>IF(COUNTIF(Classement!$A:$A,$A1242)&gt;0,"ok","à faire")</f>
        <v/>
      </c>
      <c r="F1242" s="30">
        <f>IF(COUNTIF(Tags!$A:$A,$A1242)&gt;0,"ok","à faire")</f>
        <v/>
      </c>
      <c r="G1242" s="30">
        <f>IF(COUNTIF(Phrases!$A:$A,$A1242)&gt;0,"ok","à faire")</f>
        <v/>
      </c>
      <c r="H1242" s="30">
        <f>IF(COUNTIFS(Phrases!$A:$A,$A1242,Phrases!$I:$I,"&lt;&gt;")&gt;0,"ok","à faire")</f>
        <v/>
      </c>
      <c r="I1242" s="30">
        <f>IF(COUNTIF(Synonymes!$A:$A,$A1242)&gt;0,"ok","")</f>
        <v/>
      </c>
      <c r="J1242" s="30">
        <f>COUNTIF(E1242:H1242,"à faire")</f>
        <v/>
      </c>
    </row>
    <row r="1243">
      <c r="A1243" s="30" t="inlineStr">
        <is>
          <t>v_lire</t>
        </is>
      </c>
      <c r="B1243" s="30">
        <f>IFERROR(INDEX(Mots!$B:$B,MATCH($A1243,Mots!$A:$A,0)),"introuvable")</f>
        <v/>
      </c>
      <c r="C1243" s="30">
        <f>IFERROR(INDEX(Mots!$S:$S,MATCH($A1243,Mots!$A:$A,0)),"")</f>
        <v/>
      </c>
      <c r="D1243" s="30">
        <f>IFERROR(COUNTA(INDEX(Mots!$J:$J,MATCH($A1243,Mots!$A:$A,0)):INDEX(Mots!$P:$P,MATCH($A1243,Mots!$A:$A,0))),0)</f>
        <v/>
      </c>
      <c r="E1243" s="30">
        <f>IF(COUNTIF(Classement!$A:$A,$A1243)&gt;0,"ok","à faire")</f>
        <v/>
      </c>
      <c r="F1243" s="30">
        <f>IF(COUNTIF(Tags!$A:$A,$A1243)&gt;0,"ok","à faire")</f>
        <v/>
      </c>
      <c r="G1243" s="30">
        <f>IF(COUNTIF(Phrases!$A:$A,$A1243)&gt;0,"ok","à faire")</f>
        <v/>
      </c>
      <c r="H1243" s="30">
        <f>IF(COUNTIFS(Phrases!$A:$A,$A1243,Phrases!$I:$I,"&lt;&gt;")&gt;0,"ok","à faire")</f>
        <v/>
      </c>
      <c r="I1243" s="30">
        <f>IF(COUNTIF(Synonymes!$A:$A,$A1243)&gt;0,"ok","")</f>
        <v/>
      </c>
      <c r="J1243" s="30">
        <f>COUNTIF(E1243:H1243,"à faire")</f>
        <v/>
      </c>
    </row>
    <row r="1244">
      <c r="A1244" s="30" t="inlineStr">
        <is>
          <t>objet</t>
        </is>
      </c>
      <c r="B1244" s="30">
        <f>IFERROR(INDEX(Mots!$B:$B,MATCH($A1244,Mots!$A:$A,0)),"introuvable")</f>
        <v/>
      </c>
      <c r="C1244" s="30">
        <f>IFERROR(INDEX(Mots!$S:$S,MATCH($A1244,Mots!$A:$A,0)),"")</f>
        <v/>
      </c>
      <c r="D1244" s="30">
        <f>IFERROR(COUNTA(INDEX(Mots!$J:$J,MATCH($A1244,Mots!$A:$A,0)):INDEX(Mots!$P:$P,MATCH($A1244,Mots!$A:$A,0))),0)</f>
        <v/>
      </c>
      <c r="E1244" s="30">
        <f>IF(COUNTIF(Classement!$A:$A,$A1244)&gt;0,"ok","à faire")</f>
        <v/>
      </c>
      <c r="F1244" s="30">
        <f>IF(COUNTIF(Tags!$A:$A,$A1244)&gt;0,"ok","à faire")</f>
        <v/>
      </c>
      <c r="G1244" s="30">
        <f>IF(COUNTIF(Phrases!$A:$A,$A1244)&gt;0,"ok","à faire")</f>
        <v/>
      </c>
      <c r="H1244" s="30">
        <f>IF(COUNTIFS(Phrases!$A:$A,$A1244,Phrases!$I:$I,"&lt;&gt;")&gt;0,"ok","à faire")</f>
        <v/>
      </c>
      <c r="I1244" s="30">
        <f>IF(COUNTIF(Synonymes!$A:$A,$A1244)&gt;0,"ok","")</f>
        <v/>
      </c>
      <c r="J1244" s="30">
        <f>COUNTIF(E1244:H1244,"à faire")</f>
        <v/>
      </c>
    </row>
    <row r="1245">
      <c r="A1245" s="30" t="inlineStr">
        <is>
          <t>odeur</t>
        </is>
      </c>
      <c r="B1245" s="30">
        <f>IFERROR(INDEX(Mots!$B:$B,MATCH($A1245,Mots!$A:$A,0)),"introuvable")</f>
        <v/>
      </c>
      <c r="C1245" s="30">
        <f>IFERROR(INDEX(Mots!$S:$S,MATCH($A1245,Mots!$A:$A,0)),"")</f>
        <v/>
      </c>
      <c r="D1245" s="30">
        <f>IFERROR(COUNTA(INDEX(Mots!$J:$J,MATCH($A1245,Mots!$A:$A,0)):INDEX(Mots!$P:$P,MATCH($A1245,Mots!$A:$A,0))),0)</f>
        <v/>
      </c>
      <c r="E1245" s="30">
        <f>IF(COUNTIF(Classement!$A:$A,$A1245)&gt;0,"ok","à faire")</f>
        <v/>
      </c>
      <c r="F1245" s="30">
        <f>IF(COUNTIF(Tags!$A:$A,$A1245)&gt;0,"ok","à faire")</f>
        <v/>
      </c>
      <c r="G1245" s="30">
        <f>IF(COUNTIF(Phrases!$A:$A,$A1245)&gt;0,"ok","à faire")</f>
        <v/>
      </c>
      <c r="H1245" s="30">
        <f>IF(COUNTIFS(Phrases!$A:$A,$A1245,Phrases!$I:$I,"&lt;&gt;")&gt;0,"ok","à faire")</f>
        <v/>
      </c>
      <c r="I1245" s="30">
        <f>IF(COUNTIF(Synonymes!$A:$A,$A1245)&gt;0,"ok","")</f>
        <v/>
      </c>
      <c r="J1245" s="30">
        <f>COUNTIF(E1245:H1245,"à faire")</f>
        <v/>
      </c>
    </row>
    <row r="1246">
      <c r="A1246" s="30" t="inlineStr">
        <is>
          <t>oeuvre</t>
        </is>
      </c>
      <c r="B1246" s="30">
        <f>IFERROR(INDEX(Mots!$B:$B,MATCH($A1246,Mots!$A:$A,0)),"introuvable")</f>
        <v/>
      </c>
      <c r="C1246" s="30">
        <f>IFERROR(INDEX(Mots!$S:$S,MATCH($A1246,Mots!$A:$A,0)),"")</f>
        <v/>
      </c>
      <c r="D1246" s="30">
        <f>IFERROR(COUNTA(INDEX(Mots!$J:$J,MATCH($A1246,Mots!$A:$A,0)):INDEX(Mots!$P:$P,MATCH($A1246,Mots!$A:$A,0))),0)</f>
        <v/>
      </c>
      <c r="E1246" s="30">
        <f>IF(COUNTIF(Classement!$A:$A,$A1246)&gt;0,"ok","à faire")</f>
        <v/>
      </c>
      <c r="F1246" s="30">
        <f>IF(COUNTIF(Tags!$A:$A,$A1246)&gt;0,"ok","à faire")</f>
        <v/>
      </c>
      <c r="G1246" s="30">
        <f>IF(COUNTIF(Phrases!$A:$A,$A1246)&gt;0,"ok","à faire")</f>
        <v/>
      </c>
      <c r="H1246" s="30">
        <f>IF(COUNTIFS(Phrases!$A:$A,$A1246,Phrases!$I:$I,"&lt;&gt;")&gt;0,"ok","à faire")</f>
        <v/>
      </c>
      <c r="I1246" s="30">
        <f>IF(COUNTIF(Synonymes!$A:$A,$A1246)&gt;0,"ok","")</f>
        <v/>
      </c>
      <c r="J1246" s="30">
        <f>COUNTIF(E1246:H1246,"à faire")</f>
        <v/>
      </c>
    </row>
    <row r="1247">
      <c r="A1247" s="30" t="inlineStr">
        <is>
          <t>loin</t>
        </is>
      </c>
      <c r="B1247" s="30">
        <f>IFERROR(INDEX(Mots!$B:$B,MATCH($A1247,Mots!$A:$A,0)),"introuvable")</f>
        <v/>
      </c>
      <c r="C1247" s="30">
        <f>IFERROR(INDEX(Mots!$S:$S,MATCH($A1247,Mots!$A:$A,0)),"")</f>
        <v/>
      </c>
      <c r="D1247" s="30">
        <f>IFERROR(COUNTA(INDEX(Mots!$J:$J,MATCH($A1247,Mots!$A:$A,0)):INDEX(Mots!$P:$P,MATCH($A1247,Mots!$A:$A,0))),0)</f>
        <v/>
      </c>
      <c r="E1247" s="30">
        <f>IF(COUNTIF(Classement!$A:$A,$A1247)&gt;0,"ok","à faire")</f>
        <v/>
      </c>
      <c r="F1247" s="30">
        <f>IF(COUNTIF(Tags!$A:$A,$A1247)&gt;0,"ok","à faire")</f>
        <v/>
      </c>
      <c r="G1247" s="30">
        <f>IF(COUNTIF(Phrases!$A:$A,$A1247)&gt;0,"ok","à faire")</f>
        <v/>
      </c>
      <c r="H1247" s="30">
        <f>IF(COUNTIFS(Phrases!$A:$A,$A1247,Phrases!$I:$I,"&lt;&gt;")&gt;0,"ok","à faire")</f>
        <v/>
      </c>
      <c r="I1247" s="30">
        <f>IF(COUNTIF(Synonymes!$A:$A,$A1247)&gt;0,"ok","")</f>
        <v/>
      </c>
      <c r="J1247" s="30">
        <f>COUNTIF(E1247:H1247,"à faire")</f>
        <v/>
      </c>
    </row>
    <row r="1248">
      <c r="A1248" s="30" t="inlineStr">
        <is>
          <t>oiseau</t>
        </is>
      </c>
      <c r="B1248" s="30">
        <f>IFERROR(INDEX(Mots!$B:$B,MATCH($A1248,Mots!$A:$A,0)),"introuvable")</f>
        <v/>
      </c>
      <c r="C1248" s="30">
        <f>IFERROR(INDEX(Mots!$S:$S,MATCH($A1248,Mots!$A:$A,0)),"")</f>
        <v/>
      </c>
      <c r="D1248" s="30">
        <f>IFERROR(COUNTA(INDEX(Mots!$J:$J,MATCH($A1248,Mots!$A:$A,0)):INDEX(Mots!$P:$P,MATCH($A1248,Mots!$A:$A,0))),0)</f>
        <v/>
      </c>
      <c r="E1248" s="30">
        <f>IF(COUNTIF(Classement!$A:$A,$A1248)&gt;0,"ok","à faire")</f>
        <v/>
      </c>
      <c r="F1248" s="30">
        <f>IF(COUNTIF(Tags!$A:$A,$A1248)&gt;0,"ok","à faire")</f>
        <v/>
      </c>
      <c r="G1248" s="30">
        <f>IF(COUNTIF(Phrases!$A:$A,$A1248)&gt;0,"ok","à faire")</f>
        <v/>
      </c>
      <c r="H1248" s="30">
        <f>IF(COUNTIFS(Phrases!$A:$A,$A1248,Phrases!$I:$I,"&lt;&gt;")&gt;0,"ok","à faire")</f>
        <v/>
      </c>
      <c r="I1248" s="30">
        <f>IF(COUNTIF(Synonymes!$A:$A,$A1248)&gt;0,"ok","")</f>
        <v/>
      </c>
      <c r="J1248" s="30">
        <f>COUNTIF(E1248:H1248,"à faire")</f>
        <v/>
      </c>
    </row>
    <row r="1249">
      <c r="A1249" s="30" t="inlineStr">
        <is>
          <t>ombre</t>
        </is>
      </c>
      <c r="B1249" s="30">
        <f>IFERROR(INDEX(Mots!$B:$B,MATCH($A1249,Mots!$A:$A,0)),"introuvable")</f>
        <v/>
      </c>
      <c r="C1249" s="30">
        <f>IFERROR(INDEX(Mots!$S:$S,MATCH($A1249,Mots!$A:$A,0)),"")</f>
        <v/>
      </c>
      <c r="D1249" s="30">
        <f>IFERROR(COUNTA(INDEX(Mots!$J:$J,MATCH($A1249,Mots!$A:$A,0)):INDEX(Mots!$P:$P,MATCH($A1249,Mots!$A:$A,0))),0)</f>
        <v/>
      </c>
      <c r="E1249" s="30">
        <f>IF(COUNTIF(Classement!$A:$A,$A1249)&gt;0,"ok","à faire")</f>
        <v/>
      </c>
      <c r="F1249" s="30">
        <f>IF(COUNTIF(Tags!$A:$A,$A1249)&gt;0,"ok","à faire")</f>
        <v/>
      </c>
      <c r="G1249" s="30">
        <f>IF(COUNTIF(Phrases!$A:$A,$A1249)&gt;0,"ok","à faire")</f>
        <v/>
      </c>
      <c r="H1249" s="30">
        <f>IF(COUNTIFS(Phrases!$A:$A,$A1249,Phrases!$I:$I,"&lt;&gt;")&gt;0,"ok","à faire")</f>
        <v/>
      </c>
      <c r="I1249" s="30">
        <f>IF(COUNTIF(Synonymes!$A:$A,$A1249)&gt;0,"ok","")</f>
        <v/>
      </c>
      <c r="J1249" s="30">
        <f>COUNTIF(E1249:H1249,"à faire")</f>
        <v/>
      </c>
    </row>
    <row r="1250">
      <c r="A1250" s="30" t="inlineStr">
        <is>
          <t>longtemps</t>
        </is>
      </c>
      <c r="B1250" s="30">
        <f>IFERROR(INDEX(Mots!$B:$B,MATCH($A1250,Mots!$A:$A,0)),"introuvable")</f>
        <v/>
      </c>
      <c r="C1250" s="30">
        <f>IFERROR(INDEX(Mots!$S:$S,MATCH($A1250,Mots!$A:$A,0)),"")</f>
        <v/>
      </c>
      <c r="D1250" s="30">
        <f>IFERROR(COUNTA(INDEX(Mots!$J:$J,MATCH($A1250,Mots!$A:$A,0)):INDEX(Mots!$P:$P,MATCH($A1250,Mots!$A:$A,0))),0)</f>
        <v/>
      </c>
      <c r="E1250" s="30">
        <f>IF(COUNTIF(Classement!$A:$A,$A1250)&gt;0,"ok","à faire")</f>
        <v/>
      </c>
      <c r="F1250" s="30">
        <f>IF(COUNTIF(Tags!$A:$A,$A1250)&gt;0,"ok","à faire")</f>
        <v/>
      </c>
      <c r="G1250" s="30">
        <f>IF(COUNTIF(Phrases!$A:$A,$A1250)&gt;0,"ok","à faire")</f>
        <v/>
      </c>
      <c r="H1250" s="30">
        <f>IF(COUNTIFS(Phrases!$A:$A,$A1250,Phrases!$I:$I,"&lt;&gt;")&gt;0,"ok","à faire")</f>
        <v/>
      </c>
      <c r="I1250" s="30">
        <f>IF(COUNTIF(Synonymes!$A:$A,$A1250)&gt;0,"ok","")</f>
        <v/>
      </c>
      <c r="J1250" s="30">
        <f>COUNTIF(E1250:H1250,"à faire")</f>
        <v/>
      </c>
    </row>
    <row r="1251">
      <c r="A1251" s="30" t="inlineStr">
        <is>
          <t>orage</t>
        </is>
      </c>
      <c r="B1251" s="30">
        <f>IFERROR(INDEX(Mots!$B:$B,MATCH($A1251,Mots!$A:$A,0)),"introuvable")</f>
        <v/>
      </c>
      <c r="C1251" s="30">
        <f>IFERROR(INDEX(Mots!$S:$S,MATCH($A1251,Mots!$A:$A,0)),"")</f>
        <v/>
      </c>
      <c r="D1251" s="30">
        <f>IFERROR(COUNTA(INDEX(Mots!$J:$J,MATCH($A1251,Mots!$A:$A,0)):INDEX(Mots!$P:$P,MATCH($A1251,Mots!$A:$A,0))),0)</f>
        <v/>
      </c>
      <c r="E1251" s="30">
        <f>IF(COUNTIF(Classement!$A:$A,$A1251)&gt;0,"ok","à faire")</f>
        <v/>
      </c>
      <c r="F1251" s="30">
        <f>IF(COUNTIF(Tags!$A:$A,$A1251)&gt;0,"ok","à faire")</f>
        <v/>
      </c>
      <c r="G1251" s="30">
        <f>IF(COUNTIF(Phrases!$A:$A,$A1251)&gt;0,"ok","à faire")</f>
        <v/>
      </c>
      <c r="H1251" s="30">
        <f>IF(COUNTIFS(Phrases!$A:$A,$A1251,Phrases!$I:$I,"&lt;&gt;")&gt;0,"ok","à faire")</f>
        <v/>
      </c>
      <c r="I1251" s="30">
        <f>IF(COUNTIF(Synonymes!$A:$A,$A1251)&gt;0,"ok","")</f>
        <v/>
      </c>
      <c r="J1251" s="30">
        <f>COUNTIF(E1251:H1251,"à faire")</f>
        <v/>
      </c>
    </row>
    <row r="1252">
      <c r="A1252" s="30" t="inlineStr">
        <is>
          <t>ordonnance</t>
        </is>
      </c>
      <c r="B1252" s="30">
        <f>IFERROR(INDEX(Mots!$B:$B,MATCH($A1252,Mots!$A:$A,0)),"introuvable")</f>
        <v/>
      </c>
      <c r="C1252" s="30">
        <f>IFERROR(INDEX(Mots!$S:$S,MATCH($A1252,Mots!$A:$A,0)),"")</f>
        <v/>
      </c>
      <c r="D1252" s="30">
        <f>IFERROR(COUNTA(INDEX(Mots!$J:$J,MATCH($A1252,Mots!$A:$A,0)):INDEX(Mots!$P:$P,MATCH($A1252,Mots!$A:$A,0))),0)</f>
        <v/>
      </c>
      <c r="E1252" s="30">
        <f>IF(COUNTIF(Classement!$A:$A,$A1252)&gt;0,"ok","à faire")</f>
        <v/>
      </c>
      <c r="F1252" s="30">
        <f>IF(COUNTIF(Tags!$A:$A,$A1252)&gt;0,"ok","à faire")</f>
        <v/>
      </c>
      <c r="G1252" s="30">
        <f>IF(COUNTIF(Phrases!$A:$A,$A1252)&gt;0,"ok","à faire")</f>
        <v/>
      </c>
      <c r="H1252" s="30">
        <f>IF(COUNTIFS(Phrases!$A:$A,$A1252,Phrases!$I:$I,"&lt;&gt;")&gt;0,"ok","à faire")</f>
        <v/>
      </c>
      <c r="I1252" s="30">
        <f>IF(COUNTIF(Synonymes!$A:$A,$A1252)&gt;0,"ok","")</f>
        <v/>
      </c>
      <c r="J1252" s="30">
        <f>COUNTIF(E1252:H1252,"à faire")</f>
        <v/>
      </c>
    </row>
    <row r="1253">
      <c r="A1253" s="30" t="inlineStr">
        <is>
          <t>outil</t>
        </is>
      </c>
      <c r="B1253" s="30">
        <f>IFERROR(INDEX(Mots!$B:$B,MATCH($A1253,Mots!$A:$A,0)),"introuvable")</f>
        <v/>
      </c>
      <c r="C1253" s="30">
        <f>IFERROR(INDEX(Mots!$S:$S,MATCH($A1253,Mots!$A:$A,0)),"")</f>
        <v/>
      </c>
      <c r="D1253" s="30">
        <f>IFERROR(COUNTA(INDEX(Mots!$J:$J,MATCH($A1253,Mots!$A:$A,0)):INDEX(Mots!$P:$P,MATCH($A1253,Mots!$A:$A,0))),0)</f>
        <v/>
      </c>
      <c r="E1253" s="30">
        <f>IF(COUNTIF(Classement!$A:$A,$A1253)&gt;0,"ok","à faire")</f>
        <v/>
      </c>
      <c r="F1253" s="30">
        <f>IF(COUNTIF(Tags!$A:$A,$A1253)&gt;0,"ok","à faire")</f>
        <v/>
      </c>
      <c r="G1253" s="30">
        <f>IF(COUNTIF(Phrases!$A:$A,$A1253)&gt;0,"ok","à faire")</f>
        <v/>
      </c>
      <c r="H1253" s="30">
        <f>IF(COUNTIFS(Phrases!$A:$A,$A1253,Phrases!$I:$I,"&lt;&gt;")&gt;0,"ok","à faire")</f>
        <v/>
      </c>
      <c r="I1253" s="30">
        <f>IF(COUNTIF(Synonymes!$A:$A,$A1253)&gt;0,"ok","")</f>
        <v/>
      </c>
      <c r="J1253" s="30">
        <f>COUNTIF(E1253:H1253,"à faire")</f>
        <v/>
      </c>
    </row>
    <row r="1254">
      <c r="A1254" s="30" t="inlineStr">
        <is>
          <t>unite</t>
        </is>
      </c>
      <c r="B1254" s="30">
        <f>IFERROR(INDEX(Mots!$B:$B,MATCH($A1254,Mots!$A:$A,0)),"introuvable")</f>
        <v/>
      </c>
      <c r="C1254" s="30">
        <f>IFERROR(INDEX(Mots!$S:$S,MATCH($A1254,Mots!$A:$A,0)),"")</f>
        <v/>
      </c>
      <c r="D1254" s="30">
        <f>IFERROR(COUNTA(INDEX(Mots!$J:$J,MATCH($A1254,Mots!$A:$A,0)):INDEX(Mots!$P:$P,MATCH($A1254,Mots!$A:$A,0))),0)</f>
        <v/>
      </c>
      <c r="E1254" s="30">
        <f>IF(COUNTIF(Classement!$A:$A,$A1254)&gt;0,"ok","à faire")</f>
        <v/>
      </c>
      <c r="F1254" s="30">
        <f>IF(COUNTIF(Tags!$A:$A,$A1254)&gt;0,"ok","à faire")</f>
        <v/>
      </c>
      <c r="G1254" s="30">
        <f>IF(COUNTIF(Phrases!$A:$A,$A1254)&gt;0,"ok","à faire")</f>
        <v/>
      </c>
      <c r="H1254" s="30">
        <f>IF(COUNTIFS(Phrases!$A:$A,$A1254,Phrases!$I:$I,"&lt;&gt;")&gt;0,"ok","à faire")</f>
        <v/>
      </c>
      <c r="I1254" s="30">
        <f>IF(COUNTIF(Synonymes!$A:$A,$A1254)&gt;0,"ok","")</f>
        <v/>
      </c>
      <c r="J1254" s="30">
        <f>COUNTIF(E1254:H1254,"à faire")</f>
        <v/>
      </c>
    </row>
    <row r="1255">
      <c r="A1255" s="30" t="inlineStr">
        <is>
          <t>usage</t>
        </is>
      </c>
      <c r="B1255" s="30">
        <f>IFERROR(INDEX(Mots!$B:$B,MATCH($A1255,Mots!$A:$A,0)),"introuvable")</f>
        <v/>
      </c>
      <c r="C1255" s="30">
        <f>IFERROR(INDEX(Mots!$S:$S,MATCH($A1255,Mots!$A:$A,0)),"")</f>
        <v/>
      </c>
      <c r="D1255" s="30">
        <f>IFERROR(COUNTA(INDEX(Mots!$J:$J,MATCH($A1255,Mots!$A:$A,0)):INDEX(Mots!$P:$P,MATCH($A1255,Mots!$A:$A,0))),0)</f>
        <v/>
      </c>
      <c r="E1255" s="30">
        <f>IF(COUNTIF(Classement!$A:$A,$A1255)&gt;0,"ok","à faire")</f>
        <v/>
      </c>
      <c r="F1255" s="30">
        <f>IF(COUNTIF(Tags!$A:$A,$A1255)&gt;0,"ok","à faire")</f>
        <v/>
      </c>
      <c r="G1255" s="30">
        <f>IF(COUNTIF(Phrases!$A:$A,$A1255)&gt;0,"ok","à faire")</f>
        <v/>
      </c>
      <c r="H1255" s="30">
        <f>IF(COUNTIFS(Phrases!$A:$A,$A1255,Phrases!$I:$I,"&lt;&gt;")&gt;0,"ok","à faire")</f>
        <v/>
      </c>
      <c r="I1255" s="30">
        <f>IF(COUNTIF(Synonymes!$A:$A,$A1255)&gt;0,"ok","")</f>
        <v/>
      </c>
      <c r="J1255" s="30">
        <f>COUNTIF(E1255:H1255,"à faire")</f>
        <v/>
      </c>
    </row>
    <row r="1256">
      <c r="A1256" s="30" t="inlineStr">
        <is>
          <t>usine</t>
        </is>
      </c>
      <c r="B1256" s="30">
        <f>IFERROR(INDEX(Mots!$B:$B,MATCH($A1256,Mots!$A:$A,0)),"introuvable")</f>
        <v/>
      </c>
      <c r="C1256" s="30">
        <f>IFERROR(INDEX(Mots!$S:$S,MATCH($A1256,Mots!$A:$A,0)),"")</f>
        <v/>
      </c>
      <c r="D1256" s="30">
        <f>IFERROR(COUNTA(INDEX(Mots!$J:$J,MATCH($A1256,Mots!$A:$A,0)):INDEX(Mots!$P:$P,MATCH($A1256,Mots!$A:$A,0))),0)</f>
        <v/>
      </c>
      <c r="E1256" s="30">
        <f>IF(COUNTIF(Classement!$A:$A,$A1256)&gt;0,"ok","à faire")</f>
        <v/>
      </c>
      <c r="F1256" s="30">
        <f>IF(COUNTIF(Tags!$A:$A,$A1256)&gt;0,"ok","à faire")</f>
        <v/>
      </c>
      <c r="G1256" s="30">
        <f>IF(COUNTIF(Phrases!$A:$A,$A1256)&gt;0,"ok","à faire")</f>
        <v/>
      </c>
      <c r="H1256" s="30">
        <f>IF(COUNTIFS(Phrases!$A:$A,$A1256,Phrases!$I:$I,"&lt;&gt;")&gt;0,"ok","à faire")</f>
        <v/>
      </c>
      <c r="I1256" s="30">
        <f>IF(COUNTIF(Synonymes!$A:$A,$A1256)&gt;0,"ok","")</f>
        <v/>
      </c>
      <c r="J1256" s="30">
        <f>COUNTIF(E1256:H1256,"à faire")</f>
        <v/>
      </c>
    </row>
    <row r="1257">
      <c r="A1257" s="30" t="inlineStr">
        <is>
          <t>mal</t>
        </is>
      </c>
      <c r="B1257" s="30">
        <f>IFERROR(INDEX(Mots!$B:$B,MATCH($A1257,Mots!$A:$A,0)),"introuvable")</f>
        <v/>
      </c>
      <c r="C1257" s="30">
        <f>IFERROR(INDEX(Mots!$S:$S,MATCH($A1257,Mots!$A:$A,0)),"")</f>
        <v/>
      </c>
      <c r="D1257" s="30">
        <f>IFERROR(COUNTA(INDEX(Mots!$J:$J,MATCH($A1257,Mots!$A:$A,0)):INDEX(Mots!$P:$P,MATCH($A1257,Mots!$A:$A,0))),0)</f>
        <v/>
      </c>
      <c r="E1257" s="30">
        <f>IF(COUNTIF(Classement!$A:$A,$A1257)&gt;0,"ok","à faire")</f>
        <v/>
      </c>
      <c r="F1257" s="30">
        <f>IF(COUNTIF(Tags!$A:$A,$A1257)&gt;0,"ok","à faire")</f>
        <v/>
      </c>
      <c r="G1257" s="30">
        <f>IF(COUNTIF(Phrases!$A:$A,$A1257)&gt;0,"ok","à faire")</f>
        <v/>
      </c>
      <c r="H1257" s="30">
        <f>IF(COUNTIFS(Phrases!$A:$A,$A1257,Phrases!$I:$I,"&lt;&gt;")&gt;0,"ok","à faire")</f>
        <v/>
      </c>
      <c r="I1257" s="30">
        <f>IF(COUNTIF(Synonymes!$A:$A,$A1257)&gt;0,"ok","")</f>
        <v/>
      </c>
      <c r="J1257" s="30">
        <f>COUNTIF(E1257:H1257,"à faire")</f>
        <v/>
      </c>
    </row>
    <row r="1258">
      <c r="A1258" s="30" t="inlineStr">
        <is>
          <t>a_malin</t>
        </is>
      </c>
      <c r="B1258" s="30">
        <f>IFERROR(INDEX(Mots!$B:$B,MATCH($A1258,Mots!$A:$A,0)),"introuvable")</f>
        <v/>
      </c>
      <c r="C1258" s="30">
        <f>IFERROR(INDEX(Mots!$S:$S,MATCH($A1258,Mots!$A:$A,0)),"")</f>
        <v/>
      </c>
      <c r="D1258" s="30">
        <f>IFERROR(COUNTA(INDEX(Mots!$J:$J,MATCH($A1258,Mots!$A:$A,0)):INDEX(Mots!$P:$P,MATCH($A1258,Mots!$A:$A,0))),0)</f>
        <v/>
      </c>
      <c r="E1258" s="30">
        <f>IF(COUNTIF(Classement!$A:$A,$A1258)&gt;0,"ok","à faire")</f>
        <v/>
      </c>
      <c r="F1258" s="30">
        <f>IF(COUNTIF(Tags!$A:$A,$A1258)&gt;0,"ok","à faire")</f>
        <v/>
      </c>
      <c r="G1258" s="30">
        <f>IF(COUNTIF(Phrases!$A:$A,$A1258)&gt;0,"ok","à faire")</f>
        <v/>
      </c>
      <c r="H1258" s="30">
        <f>IF(COUNTIFS(Phrases!$A:$A,$A1258,Phrases!$I:$I,"&lt;&gt;")&gt;0,"ok","à faire")</f>
        <v/>
      </c>
      <c r="I1258" s="30">
        <f>IF(COUNTIF(Synonymes!$A:$A,$A1258)&gt;0,"ok","")</f>
        <v/>
      </c>
      <c r="J1258" s="30">
        <f>COUNTIF(E1258:H1258,"à faire")</f>
        <v/>
      </c>
    </row>
    <row r="1259">
      <c r="A1259" s="30" t="inlineStr">
        <is>
          <t>v_manger</t>
        </is>
      </c>
      <c r="B1259" s="30">
        <f>IFERROR(INDEX(Mots!$B:$B,MATCH($A1259,Mots!$A:$A,0)),"introuvable")</f>
        <v/>
      </c>
      <c r="C1259" s="30">
        <f>IFERROR(INDEX(Mots!$S:$S,MATCH($A1259,Mots!$A:$A,0)),"")</f>
        <v/>
      </c>
      <c r="D1259" s="30">
        <f>IFERROR(COUNTA(INDEX(Mots!$J:$J,MATCH($A1259,Mots!$A:$A,0)):INDEX(Mots!$P:$P,MATCH($A1259,Mots!$A:$A,0))),0)</f>
        <v/>
      </c>
      <c r="E1259" s="30">
        <f>IF(COUNTIF(Classement!$A:$A,$A1259)&gt;0,"ok","à faire")</f>
        <v/>
      </c>
      <c r="F1259" s="30">
        <f>IF(COUNTIF(Tags!$A:$A,$A1259)&gt;0,"ok","à faire")</f>
        <v/>
      </c>
      <c r="G1259" s="30">
        <f>IF(COUNTIF(Phrases!$A:$A,$A1259)&gt;0,"ok","à faire")</f>
        <v/>
      </c>
      <c r="H1259" s="30">
        <f>IF(COUNTIFS(Phrases!$A:$A,$A1259,Phrases!$I:$I,"&lt;&gt;")&gt;0,"ok","à faire")</f>
        <v/>
      </c>
      <c r="I1259" s="30">
        <f>IF(COUNTIF(Synonymes!$A:$A,$A1259)&gt;0,"ok","")</f>
        <v/>
      </c>
      <c r="J1259" s="30">
        <f>COUNTIF(E1259:H1259,"à faire")</f>
        <v/>
      </c>
    </row>
    <row r="1260">
      <c r="A1260" s="30" t="inlineStr">
        <is>
          <t>v_marcher</t>
        </is>
      </c>
      <c r="B1260" s="30">
        <f>IFERROR(INDEX(Mots!$B:$B,MATCH($A1260,Mots!$A:$A,0)),"introuvable")</f>
        <v/>
      </c>
      <c r="C1260" s="30">
        <f>IFERROR(INDEX(Mots!$S:$S,MATCH($A1260,Mots!$A:$A,0)),"")</f>
        <v/>
      </c>
      <c r="D1260" s="30">
        <f>IFERROR(COUNTA(INDEX(Mots!$J:$J,MATCH($A1260,Mots!$A:$A,0)):INDEX(Mots!$P:$P,MATCH($A1260,Mots!$A:$A,0))),0)</f>
        <v/>
      </c>
      <c r="E1260" s="30">
        <f>IF(COUNTIF(Classement!$A:$A,$A1260)&gt;0,"ok","à faire")</f>
        <v/>
      </c>
      <c r="F1260" s="30">
        <f>IF(COUNTIF(Tags!$A:$A,$A1260)&gt;0,"ok","à faire")</f>
        <v/>
      </c>
      <c r="G1260" s="30">
        <f>IF(COUNTIF(Phrases!$A:$A,$A1260)&gt;0,"ok","à faire")</f>
        <v/>
      </c>
      <c r="H1260" s="30">
        <f>IF(COUNTIFS(Phrases!$A:$A,$A1260,Phrases!$I:$I,"&lt;&gt;")&gt;0,"ok","à faire")</f>
        <v/>
      </c>
      <c r="I1260" s="30">
        <f>IF(COUNTIF(Synonymes!$A:$A,$A1260)&gt;0,"ok","")</f>
        <v/>
      </c>
      <c r="J1260" s="30">
        <f>COUNTIF(E1260:H1260,"à faire")</f>
        <v/>
      </c>
    </row>
    <row r="1261">
      <c r="A1261" s="30" t="inlineStr">
        <is>
          <t>masculin</t>
        </is>
      </c>
      <c r="B1261" s="30">
        <f>IFERROR(INDEX(Mots!$B:$B,MATCH($A1261,Mots!$A:$A,0)),"introuvable")</f>
        <v/>
      </c>
      <c r="C1261" s="30">
        <f>IFERROR(INDEX(Mots!$S:$S,MATCH($A1261,Mots!$A:$A,0)),"")</f>
        <v/>
      </c>
      <c r="D1261" s="30">
        <f>IFERROR(COUNTA(INDEX(Mots!$J:$J,MATCH($A1261,Mots!$A:$A,0)):INDEX(Mots!$P:$P,MATCH($A1261,Mots!$A:$A,0))),0)</f>
        <v/>
      </c>
      <c r="E1261" s="30">
        <f>IF(COUNTIF(Classement!$A:$A,$A1261)&gt;0,"ok","à faire")</f>
        <v/>
      </c>
      <c r="F1261" s="30">
        <f>IF(COUNTIF(Tags!$A:$A,$A1261)&gt;0,"ok","à faire")</f>
        <v/>
      </c>
      <c r="G1261" s="30">
        <f>IF(COUNTIF(Phrases!$A:$A,$A1261)&gt;0,"ok","à faire")</f>
        <v/>
      </c>
      <c r="H1261" s="30">
        <f>IF(COUNTIFS(Phrases!$A:$A,$A1261,Phrases!$I:$I,"&lt;&gt;")&gt;0,"ok","à faire")</f>
        <v/>
      </c>
      <c r="I1261" s="30">
        <f>IF(COUNTIF(Synonymes!$A:$A,$A1261)&gt;0,"ok","")</f>
        <v/>
      </c>
      <c r="J1261" s="30">
        <f>COUNTIF(E1261:H1261,"à faire")</f>
        <v/>
      </c>
    </row>
    <row r="1262">
      <c r="A1262" s="30" t="inlineStr">
        <is>
          <t>v_mentir</t>
        </is>
      </c>
      <c r="B1262" s="30">
        <f>IFERROR(INDEX(Mots!$B:$B,MATCH($A1262,Mots!$A:$A,0)),"introuvable")</f>
        <v/>
      </c>
      <c r="C1262" s="30">
        <f>IFERROR(INDEX(Mots!$S:$S,MATCH($A1262,Mots!$A:$A,0)),"")</f>
        <v/>
      </c>
      <c r="D1262" s="30">
        <f>IFERROR(COUNTA(INDEX(Mots!$J:$J,MATCH($A1262,Mots!$A:$A,0)):INDEX(Mots!$P:$P,MATCH($A1262,Mots!$A:$A,0))),0)</f>
        <v/>
      </c>
      <c r="E1262" s="30">
        <f>IF(COUNTIF(Classement!$A:$A,$A1262)&gt;0,"ok","à faire")</f>
        <v/>
      </c>
      <c r="F1262" s="30">
        <f>IF(COUNTIF(Tags!$A:$A,$A1262)&gt;0,"ok","à faire")</f>
        <v/>
      </c>
      <c r="G1262" s="30">
        <f>IF(COUNTIF(Phrases!$A:$A,$A1262)&gt;0,"ok","à faire")</f>
        <v/>
      </c>
      <c r="H1262" s="30">
        <f>IF(COUNTIFS(Phrases!$A:$A,$A1262,Phrases!$I:$I,"&lt;&gt;")&gt;0,"ok","à faire")</f>
        <v/>
      </c>
      <c r="I1262" s="30">
        <f>IF(COUNTIF(Synonymes!$A:$A,$A1262)&gt;0,"ok","")</f>
        <v/>
      </c>
      <c r="J1262" s="30">
        <f>COUNTIF(E1262:H1262,"à faire")</f>
        <v/>
      </c>
    </row>
    <row r="1263">
      <c r="A1263" s="30" t="inlineStr">
        <is>
          <t>merveilleux</t>
        </is>
      </c>
      <c r="B1263" s="30">
        <f>IFERROR(INDEX(Mots!$B:$B,MATCH($A1263,Mots!$A:$A,0)),"introuvable")</f>
        <v/>
      </c>
      <c r="C1263" s="30">
        <f>IFERROR(INDEX(Mots!$S:$S,MATCH($A1263,Mots!$A:$A,0)),"")</f>
        <v/>
      </c>
      <c r="D1263" s="30">
        <f>IFERROR(COUNTA(INDEX(Mots!$J:$J,MATCH($A1263,Mots!$A:$A,0)):INDEX(Mots!$P:$P,MATCH($A1263,Mots!$A:$A,0))),0)</f>
        <v/>
      </c>
      <c r="E1263" s="30">
        <f>IF(COUNTIF(Classement!$A:$A,$A1263)&gt;0,"ok","à faire")</f>
        <v/>
      </c>
      <c r="F1263" s="30">
        <f>IF(COUNTIF(Tags!$A:$A,$A1263)&gt;0,"ok","à faire")</f>
        <v/>
      </c>
      <c r="G1263" s="30">
        <f>IF(COUNTIF(Phrases!$A:$A,$A1263)&gt;0,"ok","à faire")</f>
        <v/>
      </c>
      <c r="H1263" s="30">
        <f>IF(COUNTIFS(Phrases!$A:$A,$A1263,Phrases!$I:$I,"&lt;&gt;")&gt;0,"ok","à faire")</f>
        <v/>
      </c>
      <c r="I1263" s="30">
        <f>IF(COUNTIF(Synonymes!$A:$A,$A1263)&gt;0,"ok","")</f>
        <v/>
      </c>
      <c r="J1263" s="30">
        <f>COUNTIF(E1263:H1263,"à faire")</f>
        <v/>
      </c>
    </row>
    <row r="1264">
      <c r="A1264" s="30" t="inlineStr">
        <is>
          <t>v_monter</t>
        </is>
      </c>
      <c r="B1264" s="30">
        <f>IFERROR(INDEX(Mots!$B:$B,MATCH($A1264,Mots!$A:$A,0)),"introuvable")</f>
        <v/>
      </c>
      <c r="C1264" s="30">
        <f>IFERROR(INDEX(Mots!$S:$S,MATCH($A1264,Mots!$A:$A,0)),"")</f>
        <v/>
      </c>
      <c r="D1264" s="30">
        <f>IFERROR(COUNTA(INDEX(Mots!$J:$J,MATCH($A1264,Mots!$A:$A,0)):INDEX(Mots!$P:$P,MATCH($A1264,Mots!$A:$A,0))),0)</f>
        <v/>
      </c>
      <c r="E1264" s="30">
        <f>IF(COUNTIF(Classement!$A:$A,$A1264)&gt;0,"ok","à faire")</f>
        <v/>
      </c>
      <c r="F1264" s="30">
        <f>IF(COUNTIF(Tags!$A:$A,$A1264)&gt;0,"ok","à faire")</f>
        <v/>
      </c>
      <c r="G1264" s="30">
        <f>IF(COUNTIF(Phrases!$A:$A,$A1264)&gt;0,"ok","à faire")</f>
        <v/>
      </c>
      <c r="H1264" s="30">
        <f>IF(COUNTIFS(Phrases!$A:$A,$A1264,Phrases!$I:$I,"&lt;&gt;")&gt;0,"ok","à faire")</f>
        <v/>
      </c>
      <c r="I1264" s="30">
        <f>IF(COUNTIF(Synonymes!$A:$A,$A1264)&gt;0,"ok","")</f>
        <v/>
      </c>
      <c r="J1264" s="30">
        <f>COUNTIF(E1264:H1264,"à faire")</f>
        <v/>
      </c>
    </row>
    <row r="1265">
      <c r="A1265" s="30" t="inlineStr">
        <is>
          <t>v_montrer</t>
        </is>
      </c>
      <c r="B1265" s="30">
        <f>IFERROR(INDEX(Mots!$B:$B,MATCH($A1265,Mots!$A:$A,0)),"introuvable")</f>
        <v/>
      </c>
      <c r="C1265" s="30">
        <f>IFERROR(INDEX(Mots!$S:$S,MATCH($A1265,Mots!$A:$A,0)),"")</f>
        <v/>
      </c>
      <c r="D1265" s="30">
        <f>IFERROR(COUNTA(INDEX(Mots!$J:$J,MATCH($A1265,Mots!$A:$A,0)):INDEX(Mots!$P:$P,MATCH($A1265,Mots!$A:$A,0))),0)</f>
        <v/>
      </c>
      <c r="E1265" s="30">
        <f>IF(COUNTIF(Classement!$A:$A,$A1265)&gt;0,"ok","à faire")</f>
        <v/>
      </c>
      <c r="F1265" s="30">
        <f>IF(COUNTIF(Tags!$A:$A,$A1265)&gt;0,"ok","à faire")</f>
        <v/>
      </c>
      <c r="G1265" s="30">
        <f>IF(COUNTIF(Phrases!$A:$A,$A1265)&gt;0,"ok","à faire")</f>
        <v/>
      </c>
      <c r="H1265" s="30">
        <f>IF(COUNTIFS(Phrases!$A:$A,$A1265,Phrases!$I:$I,"&lt;&gt;")&gt;0,"ok","à faire")</f>
        <v/>
      </c>
      <c r="I1265" s="30">
        <f>IF(COUNTIF(Synonymes!$A:$A,$A1265)&gt;0,"ok","")</f>
        <v/>
      </c>
      <c r="J1265" s="30">
        <f>COUNTIF(E1265:H1265,"à faire")</f>
        <v/>
      </c>
    </row>
    <row r="1266">
      <c r="A1266" s="30" t="inlineStr">
        <is>
          <t>v_nager</t>
        </is>
      </c>
      <c r="B1266" s="30">
        <f>IFERROR(INDEX(Mots!$B:$B,MATCH($A1266,Mots!$A:$A,0)),"introuvable")</f>
        <v/>
      </c>
      <c r="C1266" s="30">
        <f>IFERROR(INDEX(Mots!$S:$S,MATCH($A1266,Mots!$A:$A,0)),"")</f>
        <v/>
      </c>
      <c r="D1266" s="30">
        <f>IFERROR(COUNTA(INDEX(Mots!$J:$J,MATCH($A1266,Mots!$A:$A,0)):INDEX(Mots!$P:$P,MATCH($A1266,Mots!$A:$A,0))),0)</f>
        <v/>
      </c>
      <c r="E1266" s="30">
        <f>IF(COUNTIF(Classement!$A:$A,$A1266)&gt;0,"ok","à faire")</f>
        <v/>
      </c>
      <c r="F1266" s="30">
        <f>IF(COUNTIF(Tags!$A:$A,$A1266)&gt;0,"ok","à faire")</f>
        <v/>
      </c>
      <c r="G1266" s="30">
        <f>IF(COUNTIF(Phrases!$A:$A,$A1266)&gt;0,"ok","à faire")</f>
        <v/>
      </c>
      <c r="H1266" s="30">
        <f>IF(COUNTIFS(Phrases!$A:$A,$A1266,Phrases!$I:$I,"&lt;&gt;")&gt;0,"ok","à faire")</f>
        <v/>
      </c>
      <c r="I1266" s="30">
        <f>IF(COUNTIF(Synonymes!$A:$A,$A1266)&gt;0,"ok","")</f>
        <v/>
      </c>
      <c r="J1266" s="30">
        <f>COUNTIF(E1266:H1266,"à faire")</f>
        <v/>
      </c>
    </row>
    <row r="1267">
      <c r="A1267" s="30" t="inlineStr">
        <is>
          <t>v_nettoyer</t>
        </is>
      </c>
      <c r="B1267" s="30">
        <f>IFERROR(INDEX(Mots!$B:$B,MATCH($A1267,Mots!$A:$A,0)),"introuvable")</f>
        <v/>
      </c>
      <c r="C1267" s="30">
        <f>IFERROR(INDEX(Mots!$S:$S,MATCH($A1267,Mots!$A:$A,0)),"")</f>
        <v/>
      </c>
      <c r="D1267" s="30">
        <f>IFERROR(COUNTA(INDEX(Mots!$J:$J,MATCH($A1267,Mots!$A:$A,0)):INDEX(Mots!$P:$P,MATCH($A1267,Mots!$A:$A,0))),0)</f>
        <v/>
      </c>
      <c r="E1267" s="30">
        <f>IF(COUNTIF(Classement!$A:$A,$A1267)&gt;0,"ok","à faire")</f>
        <v/>
      </c>
      <c r="F1267" s="30">
        <f>IF(COUNTIF(Tags!$A:$A,$A1267)&gt;0,"ok","à faire")</f>
        <v/>
      </c>
      <c r="G1267" s="30">
        <f>IF(COUNTIF(Phrases!$A:$A,$A1267)&gt;0,"ok","à faire")</f>
        <v/>
      </c>
      <c r="H1267" s="30">
        <f>IF(COUNTIFS(Phrases!$A:$A,$A1267,Phrases!$I:$I,"&lt;&gt;")&gt;0,"ok","à faire")</f>
        <v/>
      </c>
      <c r="I1267" s="30">
        <f>IF(COUNTIF(Synonymes!$A:$A,$A1267)&gt;0,"ok","")</f>
        <v/>
      </c>
      <c r="J1267" s="30">
        <f>COUNTIF(E1267:H1267,"à faire")</f>
        <v/>
      </c>
    </row>
    <row r="1268">
      <c r="A1268" s="30" t="inlineStr">
        <is>
          <t>a_nombreux</t>
        </is>
      </c>
      <c r="B1268" s="30">
        <f>IFERROR(INDEX(Mots!$B:$B,MATCH($A1268,Mots!$A:$A,0)),"introuvable")</f>
        <v/>
      </c>
      <c r="C1268" s="30">
        <f>IFERROR(INDEX(Mots!$S:$S,MATCH($A1268,Mots!$A:$A,0)),"")</f>
        <v/>
      </c>
      <c r="D1268" s="30">
        <f>IFERROR(COUNTA(INDEX(Mots!$J:$J,MATCH($A1268,Mots!$A:$A,0)):INDEX(Mots!$P:$P,MATCH($A1268,Mots!$A:$A,0))),0)</f>
        <v/>
      </c>
      <c r="E1268" s="30">
        <f>IF(COUNTIF(Classement!$A:$A,$A1268)&gt;0,"ok","à faire")</f>
        <v/>
      </c>
      <c r="F1268" s="30">
        <f>IF(COUNTIF(Tags!$A:$A,$A1268)&gt;0,"ok","à faire")</f>
        <v/>
      </c>
      <c r="G1268" s="30">
        <f>IF(COUNTIF(Phrases!$A:$A,$A1268)&gt;0,"ok","à faire")</f>
        <v/>
      </c>
      <c r="H1268" s="30">
        <f>IF(COUNTIFS(Phrases!$A:$A,$A1268,Phrases!$I:$I,"&lt;&gt;")&gt;0,"ok","à faire")</f>
        <v/>
      </c>
      <c r="I1268" s="30">
        <f>IF(COUNTIF(Synonymes!$A:$A,$A1268)&gt;0,"ok","")</f>
        <v/>
      </c>
      <c r="J1268" s="30">
        <f>COUNTIF(E1268:H1268,"à faire")</f>
        <v/>
      </c>
    </row>
    <row r="1269">
      <c r="A1269" s="30" t="inlineStr">
        <is>
          <t>nu</t>
        </is>
      </c>
      <c r="B1269" s="30">
        <f>IFERROR(INDEX(Mots!$B:$B,MATCH($A1269,Mots!$A:$A,0)),"introuvable")</f>
        <v/>
      </c>
      <c r="C1269" s="30">
        <f>IFERROR(INDEX(Mots!$S:$S,MATCH($A1269,Mots!$A:$A,0)),"")</f>
        <v/>
      </c>
      <c r="D1269" s="30">
        <f>IFERROR(COUNTA(INDEX(Mots!$J:$J,MATCH($A1269,Mots!$A:$A,0)):INDEX(Mots!$P:$P,MATCH($A1269,Mots!$A:$A,0))),0)</f>
        <v/>
      </c>
      <c r="E1269" s="30">
        <f>IF(COUNTIF(Classement!$A:$A,$A1269)&gt;0,"ok","à faire")</f>
        <v/>
      </c>
      <c r="F1269" s="30">
        <f>IF(COUNTIF(Tags!$A:$A,$A1269)&gt;0,"ok","à faire")</f>
        <v/>
      </c>
      <c r="G1269" s="30">
        <f>IF(COUNTIF(Phrases!$A:$A,$A1269)&gt;0,"ok","à faire")</f>
        <v/>
      </c>
      <c r="H1269" s="30">
        <f>IF(COUNTIFS(Phrases!$A:$A,$A1269,Phrases!$I:$I,"&lt;&gt;")&gt;0,"ok","à faire")</f>
        <v/>
      </c>
      <c r="I1269" s="30">
        <f>IF(COUNTIF(Synonymes!$A:$A,$A1269)&gt;0,"ok","")</f>
        <v/>
      </c>
      <c r="J1269" s="30">
        <f>COUNTIF(E1269:H1269,"à faire")</f>
        <v/>
      </c>
    </row>
    <row r="1270">
      <c r="A1270" s="30" t="inlineStr">
        <is>
          <t>v_ordonner</t>
        </is>
      </c>
      <c r="B1270" s="30">
        <f>IFERROR(INDEX(Mots!$B:$B,MATCH($A1270,Mots!$A:$A,0)),"introuvable")</f>
        <v/>
      </c>
      <c r="C1270" s="30">
        <f>IFERROR(INDEX(Mots!$S:$S,MATCH($A1270,Mots!$A:$A,0)),"")</f>
        <v/>
      </c>
      <c r="D1270" s="30">
        <f>IFERROR(COUNTA(INDEX(Mots!$J:$J,MATCH($A1270,Mots!$A:$A,0)):INDEX(Mots!$P:$P,MATCH($A1270,Mots!$A:$A,0))),0)</f>
        <v/>
      </c>
      <c r="E1270" s="30">
        <f>IF(COUNTIF(Classement!$A:$A,$A1270)&gt;0,"ok","à faire")</f>
        <v/>
      </c>
      <c r="F1270" s="30">
        <f>IF(COUNTIF(Tags!$A:$A,$A1270)&gt;0,"ok","à faire")</f>
        <v/>
      </c>
      <c r="G1270" s="30">
        <f>IF(COUNTIF(Phrases!$A:$A,$A1270)&gt;0,"ok","à faire")</f>
        <v/>
      </c>
      <c r="H1270" s="30">
        <f>IF(COUNTIFS(Phrases!$A:$A,$A1270,Phrases!$I:$I,"&lt;&gt;")&gt;0,"ok","à faire")</f>
        <v/>
      </c>
      <c r="I1270" s="30">
        <f>IF(COUNTIF(Synonymes!$A:$A,$A1270)&gt;0,"ok","")</f>
        <v/>
      </c>
      <c r="J1270" s="30">
        <f>COUNTIF(E1270:H1270,"à faire")</f>
        <v/>
      </c>
    </row>
    <row r="1271">
      <c r="A1271" s="30" t="inlineStr">
        <is>
          <t>v_oublier</t>
        </is>
      </c>
      <c r="B1271" s="30">
        <f>IFERROR(INDEX(Mots!$B:$B,MATCH($A1271,Mots!$A:$A,0)),"introuvable")</f>
        <v/>
      </c>
      <c r="C1271" s="30">
        <f>IFERROR(INDEX(Mots!$S:$S,MATCH($A1271,Mots!$A:$A,0)),"")</f>
        <v/>
      </c>
      <c r="D1271" s="30">
        <f>IFERROR(COUNTA(INDEX(Mots!$J:$J,MATCH($A1271,Mots!$A:$A,0)):INDEX(Mots!$P:$P,MATCH($A1271,Mots!$A:$A,0))),0)</f>
        <v/>
      </c>
      <c r="E1271" s="30">
        <f>IF(COUNTIF(Classement!$A:$A,$A1271)&gt;0,"ok","à faire")</f>
        <v/>
      </c>
      <c r="F1271" s="30">
        <f>IF(COUNTIF(Tags!$A:$A,$A1271)&gt;0,"ok","à faire")</f>
        <v/>
      </c>
      <c r="G1271" s="30">
        <f>IF(COUNTIF(Phrases!$A:$A,$A1271)&gt;0,"ok","à faire")</f>
        <v/>
      </c>
      <c r="H1271" s="30">
        <f>IF(COUNTIFS(Phrases!$A:$A,$A1271,Phrases!$I:$I,"&lt;&gt;")&gt;0,"ok","à faire")</f>
        <v/>
      </c>
      <c r="I1271" s="30">
        <f>IF(COUNTIF(Synonymes!$A:$A,$A1271)&gt;0,"ok","")</f>
        <v/>
      </c>
      <c r="J1271" s="30">
        <f>COUNTIF(E1271:H1271,"à faire")</f>
        <v/>
      </c>
    </row>
    <row r="1272">
      <c r="A1272" s="30" t="inlineStr">
        <is>
          <t>v_ouvrir</t>
        </is>
      </c>
      <c r="B1272" s="30">
        <f>IFERROR(INDEX(Mots!$B:$B,MATCH($A1272,Mots!$A:$A,0)),"introuvable")</f>
        <v/>
      </c>
      <c r="C1272" s="30">
        <f>IFERROR(INDEX(Mots!$S:$S,MATCH($A1272,Mots!$A:$A,0)),"")</f>
        <v/>
      </c>
      <c r="D1272" s="30">
        <f>IFERROR(COUNTA(INDEX(Mots!$J:$J,MATCH($A1272,Mots!$A:$A,0)):INDEX(Mots!$P:$P,MATCH($A1272,Mots!$A:$A,0))),0)</f>
        <v/>
      </c>
      <c r="E1272" s="30">
        <f>IF(COUNTIF(Classement!$A:$A,$A1272)&gt;0,"ok","à faire")</f>
        <v/>
      </c>
      <c r="F1272" s="30">
        <f>IF(COUNTIF(Tags!$A:$A,$A1272)&gt;0,"ok","à faire")</f>
        <v/>
      </c>
      <c r="G1272" s="30">
        <f>IF(COUNTIF(Phrases!$A:$A,$A1272)&gt;0,"ok","à faire")</f>
        <v/>
      </c>
      <c r="H1272" s="30">
        <f>IF(COUNTIFS(Phrases!$A:$A,$A1272,Phrases!$I:$I,"&lt;&gt;")&gt;0,"ok","à faire")</f>
        <v/>
      </c>
      <c r="I1272" s="30">
        <f>IF(COUNTIF(Synonymes!$A:$A,$A1272)&gt;0,"ok","")</f>
        <v/>
      </c>
      <c r="J1272" s="30">
        <f>COUNTIF(E1272:H1272,"à faire")</f>
        <v/>
      </c>
    </row>
    <row r="1273">
      <c r="A1273" s="30" t="inlineStr">
        <is>
          <t>pareil</t>
        </is>
      </c>
      <c r="B1273" s="30">
        <f>IFERROR(INDEX(Mots!$B:$B,MATCH($A1273,Mots!$A:$A,0)),"introuvable")</f>
        <v/>
      </c>
      <c r="C1273" s="30">
        <f>IFERROR(INDEX(Mots!$S:$S,MATCH($A1273,Mots!$A:$A,0)),"")</f>
        <v/>
      </c>
      <c r="D1273" s="30">
        <f>IFERROR(COUNTA(INDEX(Mots!$J:$J,MATCH($A1273,Mots!$A:$A,0)):INDEX(Mots!$P:$P,MATCH($A1273,Mots!$A:$A,0))),0)</f>
        <v/>
      </c>
      <c r="E1273" s="30">
        <f>IF(COUNTIF(Classement!$A:$A,$A1273)&gt;0,"ok","à faire")</f>
        <v/>
      </c>
      <c r="F1273" s="30">
        <f>IF(COUNTIF(Tags!$A:$A,$A1273)&gt;0,"ok","à faire")</f>
        <v/>
      </c>
      <c r="G1273" s="30">
        <f>IF(COUNTIF(Phrases!$A:$A,$A1273)&gt;0,"ok","à faire")</f>
        <v/>
      </c>
      <c r="H1273" s="30">
        <f>IF(COUNTIFS(Phrases!$A:$A,$A1273,Phrases!$I:$I,"&lt;&gt;")&gt;0,"ok","à faire")</f>
        <v/>
      </c>
      <c r="I1273" s="30">
        <f>IF(COUNTIF(Synonymes!$A:$A,$A1273)&gt;0,"ok","")</f>
        <v/>
      </c>
      <c r="J1273" s="30">
        <f>COUNTIF(E1273:H1273,"à faire")</f>
        <v/>
      </c>
    </row>
    <row r="1274">
      <c r="A1274" s="30" t="inlineStr">
        <is>
          <t>v_parler</t>
        </is>
      </c>
      <c r="B1274" s="30">
        <f>IFERROR(INDEX(Mots!$B:$B,MATCH($A1274,Mots!$A:$A,0)),"introuvable")</f>
        <v/>
      </c>
      <c r="C1274" s="30">
        <f>IFERROR(INDEX(Mots!$S:$S,MATCH($A1274,Mots!$A:$A,0)),"")</f>
        <v/>
      </c>
      <c r="D1274" s="30">
        <f>IFERROR(COUNTA(INDEX(Mots!$J:$J,MATCH($A1274,Mots!$A:$A,0)):INDEX(Mots!$P:$P,MATCH($A1274,Mots!$A:$A,0))),0)</f>
        <v/>
      </c>
      <c r="E1274" s="30">
        <f>IF(COUNTIF(Classement!$A:$A,$A1274)&gt;0,"ok","à faire")</f>
        <v/>
      </c>
      <c r="F1274" s="30">
        <f>IF(COUNTIF(Tags!$A:$A,$A1274)&gt;0,"ok","à faire")</f>
        <v/>
      </c>
      <c r="G1274" s="30">
        <f>IF(COUNTIF(Phrases!$A:$A,$A1274)&gt;0,"ok","à faire")</f>
        <v/>
      </c>
      <c r="H1274" s="30">
        <f>IF(COUNTIFS(Phrases!$A:$A,$A1274,Phrases!$I:$I,"&lt;&gt;")&gt;0,"ok","à faire")</f>
        <v/>
      </c>
      <c r="I1274" s="30">
        <f>IF(COUNTIF(Synonymes!$A:$A,$A1274)&gt;0,"ok","")</f>
        <v/>
      </c>
      <c r="J1274" s="30">
        <f>COUNTIF(E1274:H1274,"à faire")</f>
        <v/>
      </c>
    </row>
    <row r="1275">
      <c r="A1275" s="30" t="inlineStr">
        <is>
          <t>v_partir</t>
        </is>
      </c>
      <c r="B1275" s="30">
        <f>IFERROR(INDEX(Mots!$B:$B,MATCH($A1275,Mots!$A:$A,0)),"introuvable")</f>
        <v/>
      </c>
      <c r="C1275" s="30">
        <f>IFERROR(INDEX(Mots!$S:$S,MATCH($A1275,Mots!$A:$A,0)),"")</f>
        <v/>
      </c>
      <c r="D1275" s="30">
        <f>IFERROR(COUNTA(INDEX(Mots!$J:$J,MATCH($A1275,Mots!$A:$A,0)):INDEX(Mots!$P:$P,MATCH($A1275,Mots!$A:$A,0))),0)</f>
        <v/>
      </c>
      <c r="E1275" s="30">
        <f>IF(COUNTIF(Classement!$A:$A,$A1275)&gt;0,"ok","à faire")</f>
        <v/>
      </c>
      <c r="F1275" s="30">
        <f>IF(COUNTIF(Tags!$A:$A,$A1275)&gt;0,"ok","à faire")</f>
        <v/>
      </c>
      <c r="G1275" s="30">
        <f>IF(COUNTIF(Phrases!$A:$A,$A1275)&gt;0,"ok","à faire")</f>
        <v/>
      </c>
      <c r="H1275" s="30">
        <f>IF(COUNTIFS(Phrases!$A:$A,$A1275,Phrases!$I:$I,"&lt;&gt;")&gt;0,"ok","à faire")</f>
        <v/>
      </c>
      <c r="I1275" s="30">
        <f>IF(COUNTIF(Synonymes!$A:$A,$A1275)&gt;0,"ok","")</f>
        <v/>
      </c>
      <c r="J1275" s="30">
        <f>COUNTIF(E1275:H1275,"à faire")</f>
        <v/>
      </c>
    </row>
    <row r="1276">
      <c r="A1276" s="30" t="inlineStr">
        <is>
          <t>adv_partout</t>
        </is>
      </c>
      <c r="B1276" s="30">
        <f>IFERROR(INDEX(Mots!$B:$B,MATCH($A1276,Mots!$A:$A,0)),"introuvable")</f>
        <v/>
      </c>
      <c r="C1276" s="30">
        <f>IFERROR(INDEX(Mots!$S:$S,MATCH($A1276,Mots!$A:$A,0)),"")</f>
        <v/>
      </c>
      <c r="D1276" s="30">
        <f>IFERROR(COUNTA(INDEX(Mots!$J:$J,MATCH($A1276,Mots!$A:$A,0)):INDEX(Mots!$P:$P,MATCH($A1276,Mots!$A:$A,0))),0)</f>
        <v/>
      </c>
      <c r="E1276" s="30">
        <f>IF(COUNTIF(Classement!$A:$A,$A1276)&gt;0,"ok","à faire")</f>
        <v/>
      </c>
      <c r="F1276" s="30">
        <f>IF(COUNTIF(Tags!$A:$A,$A1276)&gt;0,"ok","à faire")</f>
        <v/>
      </c>
      <c r="G1276" s="30">
        <f>IF(COUNTIF(Phrases!$A:$A,$A1276)&gt;0,"ok","à faire")</f>
        <v/>
      </c>
      <c r="H1276" s="30">
        <f>IF(COUNTIFS(Phrases!$A:$A,$A1276,Phrases!$I:$I,"&lt;&gt;")&gt;0,"ok","à faire")</f>
        <v/>
      </c>
      <c r="I1276" s="30">
        <f>IF(COUNTIF(Synonymes!$A:$A,$A1276)&gt;0,"ok","")</f>
        <v/>
      </c>
      <c r="J1276" s="30">
        <f>COUNTIF(E1276:H1276,"à faire")</f>
        <v/>
      </c>
    </row>
    <row r="1277">
      <c r="A1277" s="30" t="inlineStr">
        <is>
          <t>v_payer</t>
        </is>
      </c>
      <c r="B1277" s="30">
        <f>IFERROR(INDEX(Mots!$B:$B,MATCH($A1277,Mots!$A:$A,0)),"introuvable")</f>
        <v/>
      </c>
      <c r="C1277" s="30">
        <f>IFERROR(INDEX(Mots!$S:$S,MATCH($A1277,Mots!$A:$A,0)),"")</f>
        <v/>
      </c>
      <c r="D1277" s="30">
        <f>IFERROR(COUNTA(INDEX(Mots!$J:$J,MATCH($A1277,Mots!$A:$A,0)):INDEX(Mots!$P:$P,MATCH($A1277,Mots!$A:$A,0))),0)</f>
        <v/>
      </c>
      <c r="E1277" s="30">
        <f>IF(COUNTIF(Classement!$A:$A,$A1277)&gt;0,"ok","à faire")</f>
        <v/>
      </c>
      <c r="F1277" s="30">
        <f>IF(COUNTIF(Tags!$A:$A,$A1277)&gt;0,"ok","à faire")</f>
        <v/>
      </c>
      <c r="G1277" s="30">
        <f>IF(COUNTIF(Phrases!$A:$A,$A1277)&gt;0,"ok","à faire")</f>
        <v/>
      </c>
      <c r="H1277" s="30">
        <f>IF(COUNTIFS(Phrases!$A:$A,$A1277,Phrases!$I:$I,"&lt;&gt;")&gt;0,"ok","à faire")</f>
        <v/>
      </c>
      <c r="I1277" s="30">
        <f>IF(COUNTIF(Synonymes!$A:$A,$A1277)&gt;0,"ok","")</f>
        <v/>
      </c>
      <c r="J1277" s="30">
        <f>COUNTIF(E1277:H1277,"à faire")</f>
        <v/>
      </c>
    </row>
    <row r="1278">
      <c r="A1278" s="30" t="inlineStr">
        <is>
          <t>v_penser</t>
        </is>
      </c>
      <c r="B1278" s="30">
        <f>IFERROR(INDEX(Mots!$B:$B,MATCH($A1278,Mots!$A:$A,0)),"introuvable")</f>
        <v/>
      </c>
      <c r="C1278" s="30">
        <f>IFERROR(INDEX(Mots!$S:$S,MATCH($A1278,Mots!$A:$A,0)),"")</f>
        <v/>
      </c>
      <c r="D1278" s="30">
        <f>IFERROR(COUNTA(INDEX(Mots!$J:$J,MATCH($A1278,Mots!$A:$A,0)):INDEX(Mots!$P:$P,MATCH($A1278,Mots!$A:$A,0))),0)</f>
        <v/>
      </c>
      <c r="E1278" s="30">
        <f>IF(COUNTIF(Classement!$A:$A,$A1278)&gt;0,"ok","à faire")</f>
        <v/>
      </c>
      <c r="F1278" s="30">
        <f>IF(COUNTIF(Tags!$A:$A,$A1278)&gt;0,"ok","à faire")</f>
        <v/>
      </c>
      <c r="G1278" s="30">
        <f>IF(COUNTIF(Phrases!$A:$A,$A1278)&gt;0,"ok","à faire")</f>
        <v/>
      </c>
      <c r="H1278" s="30">
        <f>IF(COUNTIFS(Phrases!$A:$A,$A1278,Phrases!$I:$I,"&lt;&gt;")&gt;0,"ok","à faire")</f>
        <v/>
      </c>
      <c r="I1278" s="30">
        <f>IF(COUNTIF(Synonymes!$A:$A,$A1278)&gt;0,"ok","")</f>
        <v/>
      </c>
      <c r="J1278" s="30">
        <f>COUNTIF(E1278:H1278,"à faire")</f>
        <v/>
      </c>
    </row>
    <row r="1279">
      <c r="A1279" s="30" t="inlineStr">
        <is>
          <t>v_perdre</t>
        </is>
      </c>
      <c r="B1279" s="30">
        <f>IFERROR(INDEX(Mots!$B:$B,MATCH($A1279,Mots!$A:$A,0)),"introuvable")</f>
        <v/>
      </c>
      <c r="C1279" s="30">
        <f>IFERROR(INDEX(Mots!$S:$S,MATCH($A1279,Mots!$A:$A,0)),"")</f>
        <v/>
      </c>
      <c r="D1279" s="30">
        <f>IFERROR(COUNTA(INDEX(Mots!$J:$J,MATCH($A1279,Mots!$A:$A,0)):INDEX(Mots!$P:$P,MATCH($A1279,Mots!$A:$A,0))),0)</f>
        <v/>
      </c>
      <c r="E1279" s="30">
        <f>IF(COUNTIF(Classement!$A:$A,$A1279)&gt;0,"ok","à faire")</f>
        <v/>
      </c>
      <c r="F1279" s="30">
        <f>IF(COUNTIF(Tags!$A:$A,$A1279)&gt;0,"ok","à faire")</f>
        <v/>
      </c>
      <c r="G1279" s="30">
        <f>IF(COUNTIF(Phrases!$A:$A,$A1279)&gt;0,"ok","à faire")</f>
        <v/>
      </c>
      <c r="H1279" s="30">
        <f>IF(COUNTIFS(Phrases!$A:$A,$A1279,Phrases!$I:$I,"&lt;&gt;")&gt;0,"ok","à faire")</f>
        <v/>
      </c>
      <c r="I1279" s="30">
        <f>IF(COUNTIF(Synonymes!$A:$A,$A1279)&gt;0,"ok","")</f>
        <v/>
      </c>
      <c r="J1279" s="30">
        <f>COUNTIF(E1279:H1279,"à faire")</f>
        <v/>
      </c>
    </row>
    <row r="1280">
      <c r="A1280" s="30" t="inlineStr">
        <is>
          <t>peu</t>
        </is>
      </c>
      <c r="B1280" s="30">
        <f>IFERROR(INDEX(Mots!$B:$B,MATCH($A1280,Mots!$A:$A,0)),"introuvable")</f>
        <v/>
      </c>
      <c r="C1280" s="30">
        <f>IFERROR(INDEX(Mots!$S:$S,MATCH($A1280,Mots!$A:$A,0)),"")</f>
        <v/>
      </c>
      <c r="D1280" s="30">
        <f>IFERROR(COUNTA(INDEX(Mots!$J:$J,MATCH($A1280,Mots!$A:$A,0)):INDEX(Mots!$P:$P,MATCH($A1280,Mots!$A:$A,0))),0)</f>
        <v/>
      </c>
      <c r="E1280" s="30">
        <f>IF(COUNTIF(Classement!$A:$A,$A1280)&gt;0,"ok","à faire")</f>
        <v/>
      </c>
      <c r="F1280" s="30">
        <f>IF(COUNTIF(Tags!$A:$A,$A1280)&gt;0,"ok","à faire")</f>
        <v/>
      </c>
      <c r="G1280" s="30">
        <f>IF(COUNTIF(Phrases!$A:$A,$A1280)&gt;0,"ok","à faire")</f>
        <v/>
      </c>
      <c r="H1280" s="30">
        <f>IF(COUNTIFS(Phrases!$A:$A,$A1280,Phrases!$I:$I,"&lt;&gt;")&gt;0,"ok","à faire")</f>
        <v/>
      </c>
      <c r="I1280" s="30">
        <f>IF(COUNTIF(Synonymes!$A:$A,$A1280)&gt;0,"ok","")</f>
        <v/>
      </c>
      <c r="J1280" s="30">
        <f>COUNTIF(E1280:H1280,"à faire")</f>
        <v/>
      </c>
    </row>
    <row r="1281">
      <c r="A1281" s="30" t="inlineStr">
        <is>
          <t>philippe_g</t>
        </is>
      </c>
      <c r="B1281" s="30">
        <f>IFERROR(INDEX(Mots!$B:$B,MATCH($A1281,Mots!$A:$A,0)),"introuvable")</f>
        <v/>
      </c>
      <c r="C1281" s="30">
        <f>IFERROR(INDEX(Mots!$S:$S,MATCH($A1281,Mots!$A:$A,0)),"")</f>
        <v/>
      </c>
      <c r="D1281" s="30">
        <f>IFERROR(COUNTA(INDEX(Mots!$J:$J,MATCH($A1281,Mots!$A:$A,0)):INDEX(Mots!$P:$P,MATCH($A1281,Mots!$A:$A,0))),0)</f>
        <v/>
      </c>
      <c r="E1281" s="30">
        <f>IF(COUNTIF(Classement!$A:$A,$A1281)&gt;0,"ok","à faire")</f>
        <v/>
      </c>
      <c r="F1281" s="30">
        <f>IF(COUNTIF(Tags!$A:$A,$A1281)&gt;0,"ok","à faire")</f>
        <v/>
      </c>
      <c r="G1281" s="30">
        <f>IF(COUNTIF(Phrases!$A:$A,$A1281)&gt;0,"ok","à faire")</f>
        <v/>
      </c>
      <c r="H1281" s="30">
        <f>IF(COUNTIFS(Phrases!$A:$A,$A1281,Phrases!$I:$I,"&lt;&gt;")&gt;0,"ok","à faire")</f>
        <v/>
      </c>
      <c r="I1281" s="30">
        <f>IF(COUNTIF(Synonymes!$A:$A,$A1281)&gt;0,"ok","")</f>
        <v/>
      </c>
      <c r="J1281" s="30">
        <f>COUNTIF(E1281:H1281,"à faire")</f>
        <v/>
      </c>
    </row>
    <row r="1282">
      <c r="A1282" s="30" t="inlineStr">
        <is>
          <t>piquant</t>
        </is>
      </c>
      <c r="B1282" s="30">
        <f>IFERROR(INDEX(Mots!$B:$B,MATCH($A1282,Mots!$A:$A,0)),"introuvable")</f>
        <v/>
      </c>
      <c r="C1282" s="30">
        <f>IFERROR(INDEX(Mots!$S:$S,MATCH($A1282,Mots!$A:$A,0)),"")</f>
        <v/>
      </c>
      <c r="D1282" s="30">
        <f>IFERROR(COUNTA(INDEX(Mots!$J:$J,MATCH($A1282,Mots!$A:$A,0)):INDEX(Mots!$P:$P,MATCH($A1282,Mots!$A:$A,0))),0)</f>
        <v/>
      </c>
      <c r="E1282" s="30">
        <f>IF(COUNTIF(Classement!$A:$A,$A1282)&gt;0,"ok","à faire")</f>
        <v/>
      </c>
      <c r="F1282" s="30">
        <f>IF(COUNTIF(Tags!$A:$A,$A1282)&gt;0,"ok","à faire")</f>
        <v/>
      </c>
      <c r="G1282" s="30">
        <f>IF(COUNTIF(Phrases!$A:$A,$A1282)&gt;0,"ok","à faire")</f>
        <v/>
      </c>
      <c r="H1282" s="30">
        <f>IF(COUNTIFS(Phrases!$A:$A,$A1282,Phrases!$I:$I,"&lt;&gt;")&gt;0,"ok","à faire")</f>
        <v/>
      </c>
      <c r="I1282" s="30">
        <f>IF(COUNTIF(Synonymes!$A:$A,$A1282)&gt;0,"ok","")</f>
        <v/>
      </c>
      <c r="J1282" s="30">
        <f>COUNTIF(E1282:H1282,"à faire")</f>
        <v/>
      </c>
    </row>
    <row r="1283">
      <c r="A1283" s="30" t="inlineStr">
        <is>
          <t>v_plaindre</t>
        </is>
      </c>
      <c r="B1283" s="30">
        <f>IFERROR(INDEX(Mots!$B:$B,MATCH($A1283,Mots!$A:$A,0)),"introuvable")</f>
        <v/>
      </c>
      <c r="C1283" s="30">
        <f>IFERROR(INDEX(Mots!$S:$S,MATCH($A1283,Mots!$A:$A,0)),"")</f>
        <v/>
      </c>
      <c r="D1283" s="30">
        <f>IFERROR(COUNTA(INDEX(Mots!$J:$J,MATCH($A1283,Mots!$A:$A,0)):INDEX(Mots!$P:$P,MATCH($A1283,Mots!$A:$A,0))),0)</f>
        <v/>
      </c>
      <c r="E1283" s="30">
        <f>IF(COUNTIF(Classement!$A:$A,$A1283)&gt;0,"ok","à faire")</f>
        <v/>
      </c>
      <c r="F1283" s="30">
        <f>IF(COUNTIF(Tags!$A:$A,$A1283)&gt;0,"ok","à faire")</f>
        <v/>
      </c>
      <c r="G1283" s="30">
        <f>IF(COUNTIF(Phrases!$A:$A,$A1283)&gt;0,"ok","à faire")</f>
        <v/>
      </c>
      <c r="H1283" s="30">
        <f>IF(COUNTIFS(Phrases!$A:$A,$A1283,Phrases!$I:$I,"&lt;&gt;")&gt;0,"ok","à faire")</f>
        <v/>
      </c>
      <c r="I1283" s="30">
        <f>IF(COUNTIF(Synonymes!$A:$A,$A1283)&gt;0,"ok","")</f>
        <v/>
      </c>
      <c r="J1283" s="30">
        <f>COUNTIF(E1283:H1283,"à faire")</f>
        <v/>
      </c>
    </row>
    <row r="1284">
      <c r="A1284" s="30" t="inlineStr">
        <is>
          <t>v_pleurer</t>
        </is>
      </c>
      <c r="B1284" s="30">
        <f>IFERROR(INDEX(Mots!$B:$B,MATCH($A1284,Mots!$A:$A,0)),"introuvable")</f>
        <v/>
      </c>
      <c r="C1284" s="30">
        <f>IFERROR(INDEX(Mots!$S:$S,MATCH($A1284,Mots!$A:$A,0)),"")</f>
        <v/>
      </c>
      <c r="D1284" s="30">
        <f>IFERROR(COUNTA(INDEX(Mots!$J:$J,MATCH($A1284,Mots!$A:$A,0)):INDEX(Mots!$P:$P,MATCH($A1284,Mots!$A:$A,0))),0)</f>
        <v/>
      </c>
      <c r="E1284" s="30">
        <f>IF(COUNTIF(Classement!$A:$A,$A1284)&gt;0,"ok","à faire")</f>
        <v/>
      </c>
      <c r="F1284" s="30">
        <f>IF(COUNTIF(Tags!$A:$A,$A1284)&gt;0,"ok","à faire")</f>
        <v/>
      </c>
      <c r="G1284" s="30">
        <f>IF(COUNTIF(Phrases!$A:$A,$A1284)&gt;0,"ok","à faire")</f>
        <v/>
      </c>
      <c r="H1284" s="30">
        <f>IF(COUNTIFS(Phrases!$A:$A,$A1284,Phrases!$I:$I,"&lt;&gt;")&gt;0,"ok","à faire")</f>
        <v/>
      </c>
      <c r="I1284" s="30">
        <f>IF(COUNTIF(Synonymes!$A:$A,$A1284)&gt;0,"ok","")</f>
        <v/>
      </c>
      <c r="J1284" s="30">
        <f>COUNTIF(E1284:H1284,"à faire")</f>
        <v/>
      </c>
    </row>
    <row r="1285">
      <c r="A1285" s="30" t="inlineStr">
        <is>
          <t>plutôt</t>
        </is>
      </c>
      <c r="B1285" s="30">
        <f>IFERROR(INDEX(Mots!$B:$B,MATCH($A1285,Mots!$A:$A,0)),"introuvable")</f>
        <v/>
      </c>
      <c r="C1285" s="30">
        <f>IFERROR(INDEX(Mots!$S:$S,MATCH($A1285,Mots!$A:$A,0)),"")</f>
        <v/>
      </c>
      <c r="D1285" s="30">
        <f>IFERROR(COUNTA(INDEX(Mots!$J:$J,MATCH($A1285,Mots!$A:$A,0)):INDEX(Mots!$P:$P,MATCH($A1285,Mots!$A:$A,0))),0)</f>
        <v/>
      </c>
      <c r="E1285" s="30">
        <f>IF(COUNTIF(Classement!$A:$A,$A1285)&gt;0,"ok","à faire")</f>
        <v/>
      </c>
      <c r="F1285" s="30">
        <f>IF(COUNTIF(Tags!$A:$A,$A1285)&gt;0,"ok","à faire")</f>
        <v/>
      </c>
      <c r="G1285" s="30">
        <f>IF(COUNTIF(Phrases!$A:$A,$A1285)&gt;0,"ok","à faire")</f>
        <v/>
      </c>
      <c r="H1285" s="30">
        <f>IF(COUNTIFS(Phrases!$A:$A,$A1285,Phrases!$I:$I,"&lt;&gt;")&gt;0,"ok","à faire")</f>
        <v/>
      </c>
      <c r="I1285" s="30">
        <f>IF(COUNTIF(Synonymes!$A:$A,$A1285)&gt;0,"ok","")</f>
        <v/>
      </c>
      <c r="J1285" s="30">
        <f>COUNTIF(E1285:H1285,"à faire")</f>
        <v/>
      </c>
    </row>
    <row r="1286">
      <c r="A1286" s="30" t="inlineStr">
        <is>
          <t>v_porter</t>
        </is>
      </c>
      <c r="B1286" s="30">
        <f>IFERROR(INDEX(Mots!$B:$B,MATCH($A1286,Mots!$A:$A,0)),"introuvable")</f>
        <v/>
      </c>
      <c r="C1286" s="30">
        <f>IFERROR(INDEX(Mots!$S:$S,MATCH($A1286,Mots!$A:$A,0)),"")</f>
        <v/>
      </c>
      <c r="D1286" s="30">
        <f>IFERROR(COUNTA(INDEX(Mots!$J:$J,MATCH($A1286,Mots!$A:$A,0)):INDEX(Mots!$P:$P,MATCH($A1286,Mots!$A:$A,0))),0)</f>
        <v/>
      </c>
      <c r="E1286" s="30">
        <f>IF(COUNTIF(Classement!$A:$A,$A1286)&gt;0,"ok","à faire")</f>
        <v/>
      </c>
      <c r="F1286" s="30">
        <f>IF(COUNTIF(Tags!$A:$A,$A1286)&gt;0,"ok","à faire")</f>
        <v/>
      </c>
      <c r="G1286" s="30">
        <f>IF(COUNTIF(Phrases!$A:$A,$A1286)&gt;0,"ok","à faire")</f>
        <v/>
      </c>
      <c r="H1286" s="30">
        <f>IF(COUNTIFS(Phrases!$A:$A,$A1286,Phrases!$I:$I,"&lt;&gt;")&gt;0,"ok","à faire")</f>
        <v/>
      </c>
      <c r="I1286" s="30">
        <f>IF(COUNTIF(Synonymes!$A:$A,$A1286)&gt;0,"ok","")</f>
        <v/>
      </c>
      <c r="J1286" s="30">
        <f>COUNTIF(E1286:H1286,"à faire")</f>
        <v/>
      </c>
    </row>
    <row r="1287">
      <c r="A1287" s="30" t="inlineStr">
        <is>
          <t>v_poser</t>
        </is>
      </c>
      <c r="B1287" s="30">
        <f>IFERROR(INDEX(Mots!$B:$B,MATCH($A1287,Mots!$A:$A,0)),"introuvable")</f>
        <v/>
      </c>
      <c r="C1287" s="30">
        <f>IFERROR(INDEX(Mots!$S:$S,MATCH($A1287,Mots!$A:$A,0)),"")</f>
        <v/>
      </c>
      <c r="D1287" s="30">
        <f>IFERROR(COUNTA(INDEX(Mots!$J:$J,MATCH($A1287,Mots!$A:$A,0)):INDEX(Mots!$P:$P,MATCH($A1287,Mots!$A:$A,0))),0)</f>
        <v/>
      </c>
      <c r="E1287" s="30">
        <f>IF(COUNTIF(Classement!$A:$A,$A1287)&gt;0,"ok","à faire")</f>
        <v/>
      </c>
      <c r="F1287" s="30">
        <f>IF(COUNTIF(Tags!$A:$A,$A1287)&gt;0,"ok","à faire")</f>
        <v/>
      </c>
      <c r="G1287" s="30">
        <f>IF(COUNTIF(Phrases!$A:$A,$A1287)&gt;0,"ok","à faire")</f>
        <v/>
      </c>
      <c r="H1287" s="30">
        <f>IF(COUNTIFS(Phrases!$A:$A,$A1287,Phrases!$I:$I,"&lt;&gt;")&gt;0,"ok","à faire")</f>
        <v/>
      </c>
      <c r="I1287" s="30">
        <f>IF(COUNTIF(Synonymes!$A:$A,$A1287)&gt;0,"ok","")</f>
        <v/>
      </c>
      <c r="J1287" s="30">
        <f>COUNTIF(E1287:H1287,"à faire")</f>
        <v/>
      </c>
    </row>
    <row r="1288">
      <c r="A1288" s="30" t="inlineStr">
        <is>
          <t>possible</t>
        </is>
      </c>
      <c r="B1288" s="30">
        <f>IFERROR(INDEX(Mots!$B:$B,MATCH($A1288,Mots!$A:$A,0)),"introuvable")</f>
        <v/>
      </c>
      <c r="C1288" s="30">
        <f>IFERROR(INDEX(Mots!$S:$S,MATCH($A1288,Mots!$A:$A,0)),"")</f>
        <v/>
      </c>
      <c r="D1288" s="30">
        <f>IFERROR(COUNTA(INDEX(Mots!$J:$J,MATCH($A1288,Mots!$A:$A,0)):INDEX(Mots!$P:$P,MATCH($A1288,Mots!$A:$A,0))),0)</f>
        <v/>
      </c>
      <c r="E1288" s="30">
        <f>IF(COUNTIF(Classement!$A:$A,$A1288)&gt;0,"ok","à faire")</f>
        <v/>
      </c>
      <c r="F1288" s="30">
        <f>IF(COUNTIF(Tags!$A:$A,$A1288)&gt;0,"ok","à faire")</f>
        <v/>
      </c>
      <c r="G1288" s="30">
        <f>IF(COUNTIF(Phrases!$A:$A,$A1288)&gt;0,"ok","à faire")</f>
        <v/>
      </c>
      <c r="H1288" s="30">
        <f>IF(COUNTIFS(Phrases!$A:$A,$A1288,Phrases!$I:$I,"&lt;&gt;")&gt;0,"ok","à faire")</f>
        <v/>
      </c>
      <c r="I1288" s="30">
        <f>IF(COUNTIF(Synonymes!$A:$A,$A1288)&gt;0,"ok","")</f>
        <v/>
      </c>
      <c r="J1288" s="30">
        <f>COUNTIF(E1288:H1288,"à faire")</f>
        <v/>
      </c>
    </row>
    <row r="1289">
      <c r="A1289" s="30" t="inlineStr">
        <is>
          <t>pourtant</t>
        </is>
      </c>
      <c r="B1289" s="30">
        <f>IFERROR(INDEX(Mots!$B:$B,MATCH($A1289,Mots!$A:$A,0)),"introuvable")</f>
        <v/>
      </c>
      <c r="C1289" s="30">
        <f>IFERROR(INDEX(Mots!$S:$S,MATCH($A1289,Mots!$A:$A,0)),"")</f>
        <v/>
      </c>
      <c r="D1289" s="30">
        <f>IFERROR(COUNTA(INDEX(Mots!$J:$J,MATCH($A1289,Mots!$A:$A,0)):INDEX(Mots!$P:$P,MATCH($A1289,Mots!$A:$A,0))),0)</f>
        <v/>
      </c>
      <c r="E1289" s="30">
        <f>IF(COUNTIF(Classement!$A:$A,$A1289)&gt;0,"ok","à faire")</f>
        <v/>
      </c>
      <c r="F1289" s="30">
        <f>IF(COUNTIF(Tags!$A:$A,$A1289)&gt;0,"ok","à faire")</f>
        <v/>
      </c>
      <c r="G1289" s="30">
        <f>IF(COUNTIF(Phrases!$A:$A,$A1289)&gt;0,"ok","à faire")</f>
        <v/>
      </c>
      <c r="H1289" s="30">
        <f>IF(COUNTIFS(Phrases!$A:$A,$A1289,Phrases!$I:$I,"&lt;&gt;")&gt;0,"ok","à faire")</f>
        <v/>
      </c>
      <c r="I1289" s="30">
        <f>IF(COUNTIF(Synonymes!$A:$A,$A1289)&gt;0,"ok","")</f>
        <v/>
      </c>
      <c r="J1289" s="30">
        <f>COUNTIF(E1289:H1289,"à faire")</f>
        <v/>
      </c>
    </row>
    <row r="1290">
      <c r="A1290" s="30" t="inlineStr">
        <is>
          <t>v_pousser</t>
        </is>
      </c>
      <c r="B1290" s="30">
        <f>IFERROR(INDEX(Mots!$B:$B,MATCH($A1290,Mots!$A:$A,0)),"introuvable")</f>
        <v/>
      </c>
      <c r="C1290" s="30">
        <f>IFERROR(INDEX(Mots!$S:$S,MATCH($A1290,Mots!$A:$A,0)),"")</f>
        <v/>
      </c>
      <c r="D1290" s="30">
        <f>IFERROR(COUNTA(INDEX(Mots!$J:$J,MATCH($A1290,Mots!$A:$A,0)):INDEX(Mots!$P:$P,MATCH($A1290,Mots!$A:$A,0))),0)</f>
        <v/>
      </c>
      <c r="E1290" s="30">
        <f>IF(COUNTIF(Classement!$A:$A,$A1290)&gt;0,"ok","à faire")</f>
        <v/>
      </c>
      <c r="F1290" s="30">
        <f>IF(COUNTIF(Tags!$A:$A,$A1290)&gt;0,"ok","à faire")</f>
        <v/>
      </c>
      <c r="G1290" s="30">
        <f>IF(COUNTIF(Phrases!$A:$A,$A1290)&gt;0,"ok","à faire")</f>
        <v/>
      </c>
      <c r="H1290" s="30">
        <f>IF(COUNTIFS(Phrases!$A:$A,$A1290,Phrases!$I:$I,"&lt;&gt;")&gt;0,"ok","à faire")</f>
        <v/>
      </c>
      <c r="I1290" s="30">
        <f>IF(COUNTIF(Synonymes!$A:$A,$A1290)&gt;0,"ok","")</f>
        <v/>
      </c>
      <c r="J1290" s="30">
        <f>COUNTIF(E1290:H1290,"à faire")</f>
        <v/>
      </c>
    </row>
    <row r="1291">
      <c r="A1291" s="30" t="inlineStr">
        <is>
          <t>v_pouvoir</t>
        </is>
      </c>
      <c r="B1291" s="30">
        <f>IFERROR(INDEX(Mots!$B:$B,MATCH($A1291,Mots!$A:$A,0)),"introuvable")</f>
        <v/>
      </c>
      <c r="C1291" s="30">
        <f>IFERROR(INDEX(Mots!$S:$S,MATCH($A1291,Mots!$A:$A,0)),"")</f>
        <v/>
      </c>
      <c r="D1291" s="30">
        <f>IFERROR(COUNTA(INDEX(Mots!$J:$J,MATCH($A1291,Mots!$A:$A,0)):INDEX(Mots!$P:$P,MATCH($A1291,Mots!$A:$A,0))),0)</f>
        <v/>
      </c>
      <c r="E1291" s="30">
        <f>IF(COUNTIF(Classement!$A:$A,$A1291)&gt;0,"ok","à faire")</f>
        <v/>
      </c>
      <c r="F1291" s="30">
        <f>IF(COUNTIF(Tags!$A:$A,$A1291)&gt;0,"ok","à faire")</f>
        <v/>
      </c>
      <c r="G1291" s="30">
        <f>IF(COUNTIF(Phrases!$A:$A,$A1291)&gt;0,"ok","à faire")</f>
        <v/>
      </c>
      <c r="H1291" s="30">
        <f>IF(COUNTIFS(Phrases!$A:$A,$A1291,Phrases!$I:$I,"&lt;&gt;")&gt;0,"ok","à faire")</f>
        <v/>
      </c>
      <c r="I1291" s="30">
        <f>IF(COUNTIF(Synonymes!$A:$A,$A1291)&gt;0,"ok","")</f>
        <v/>
      </c>
      <c r="J1291" s="30">
        <f>COUNTIF(E1291:H1291,"à faire")</f>
        <v/>
      </c>
    </row>
    <row r="1292">
      <c r="A1292" s="30" t="inlineStr">
        <is>
          <t>a_pratique</t>
        </is>
      </c>
      <c r="B1292" s="30">
        <f>IFERROR(INDEX(Mots!$B:$B,MATCH($A1292,Mots!$A:$A,0)),"introuvable")</f>
        <v/>
      </c>
      <c r="C1292" s="30">
        <f>IFERROR(INDEX(Mots!$S:$S,MATCH($A1292,Mots!$A:$A,0)),"")</f>
        <v/>
      </c>
      <c r="D1292" s="30">
        <f>IFERROR(COUNTA(INDEX(Mots!$J:$J,MATCH($A1292,Mots!$A:$A,0)):INDEX(Mots!$P:$P,MATCH($A1292,Mots!$A:$A,0))),0)</f>
        <v/>
      </c>
      <c r="E1292" s="30">
        <f>IF(COUNTIF(Classement!$A:$A,$A1292)&gt;0,"ok","à faire")</f>
        <v/>
      </c>
      <c r="F1292" s="30">
        <f>IF(COUNTIF(Tags!$A:$A,$A1292)&gt;0,"ok","à faire")</f>
        <v/>
      </c>
      <c r="G1292" s="30">
        <f>IF(COUNTIF(Phrases!$A:$A,$A1292)&gt;0,"ok","à faire")</f>
        <v/>
      </c>
      <c r="H1292" s="30">
        <f>IF(COUNTIFS(Phrases!$A:$A,$A1292,Phrases!$I:$I,"&lt;&gt;")&gt;0,"ok","à faire")</f>
        <v/>
      </c>
      <c r="I1292" s="30">
        <f>IF(COUNTIF(Synonymes!$A:$A,$A1292)&gt;0,"ok","")</f>
        <v/>
      </c>
      <c r="J1292" s="30">
        <f>COUNTIF(E1292:H1292,"à faire")</f>
        <v/>
      </c>
    </row>
    <row r="1293">
      <c r="A1293" s="30" t="inlineStr">
        <is>
          <t>a_precis</t>
        </is>
      </c>
      <c r="B1293" s="30">
        <f>IFERROR(INDEX(Mots!$B:$B,MATCH($A1293,Mots!$A:$A,0)),"introuvable")</f>
        <v/>
      </c>
      <c r="C1293" s="30">
        <f>IFERROR(INDEX(Mots!$S:$S,MATCH($A1293,Mots!$A:$A,0)),"")</f>
        <v/>
      </c>
      <c r="D1293" s="30">
        <f>IFERROR(COUNTA(INDEX(Mots!$J:$J,MATCH($A1293,Mots!$A:$A,0)):INDEX(Mots!$P:$P,MATCH($A1293,Mots!$A:$A,0))),0)</f>
        <v/>
      </c>
      <c r="E1293" s="30">
        <f>IF(COUNTIF(Classement!$A:$A,$A1293)&gt;0,"ok","à faire")</f>
        <v/>
      </c>
      <c r="F1293" s="30">
        <f>IF(COUNTIF(Tags!$A:$A,$A1293)&gt;0,"ok","à faire")</f>
        <v/>
      </c>
      <c r="G1293" s="30">
        <f>IF(COUNTIF(Phrases!$A:$A,$A1293)&gt;0,"ok","à faire")</f>
        <v/>
      </c>
      <c r="H1293" s="30">
        <f>IF(COUNTIFS(Phrases!$A:$A,$A1293,Phrases!$I:$I,"&lt;&gt;")&gt;0,"ok","à faire")</f>
        <v/>
      </c>
      <c r="I1293" s="30">
        <f>IF(COUNTIF(Synonymes!$A:$A,$A1293)&gt;0,"ok","")</f>
        <v/>
      </c>
      <c r="J1293" s="30">
        <f>COUNTIF(E1293:H1293,"à faire")</f>
        <v/>
      </c>
    </row>
    <row r="1294">
      <c r="A1294" s="30" t="inlineStr">
        <is>
          <t>a_prefere</t>
        </is>
      </c>
      <c r="B1294" s="30">
        <f>IFERROR(INDEX(Mots!$B:$B,MATCH($A1294,Mots!$A:$A,0)),"introuvable")</f>
        <v/>
      </c>
      <c r="C1294" s="30">
        <f>IFERROR(INDEX(Mots!$S:$S,MATCH($A1294,Mots!$A:$A,0)),"")</f>
        <v/>
      </c>
      <c r="D1294" s="30">
        <f>IFERROR(COUNTA(INDEX(Mots!$J:$J,MATCH($A1294,Mots!$A:$A,0)):INDEX(Mots!$P:$P,MATCH($A1294,Mots!$A:$A,0))),0)</f>
        <v/>
      </c>
      <c r="E1294" s="30">
        <f>IF(COUNTIF(Classement!$A:$A,$A1294)&gt;0,"ok","à faire")</f>
        <v/>
      </c>
      <c r="F1294" s="30">
        <f>IF(COUNTIF(Tags!$A:$A,$A1294)&gt;0,"ok","à faire")</f>
        <v/>
      </c>
      <c r="G1294" s="30">
        <f>IF(COUNTIF(Phrases!$A:$A,$A1294)&gt;0,"ok","à faire")</f>
        <v/>
      </c>
      <c r="H1294" s="30">
        <f>IF(COUNTIFS(Phrases!$A:$A,$A1294,Phrases!$I:$I,"&lt;&gt;")&gt;0,"ok","à faire")</f>
        <v/>
      </c>
      <c r="I1294" s="30">
        <f>IF(COUNTIF(Synonymes!$A:$A,$A1294)&gt;0,"ok","")</f>
        <v/>
      </c>
      <c r="J1294" s="30">
        <f>COUNTIF(E1294:H1294,"à faire")</f>
        <v/>
      </c>
    </row>
    <row r="1295">
      <c r="A1295" s="30" t="inlineStr">
        <is>
          <t>v_prendre</t>
        </is>
      </c>
      <c r="B1295" s="30">
        <f>IFERROR(INDEX(Mots!$B:$B,MATCH($A1295,Mots!$A:$A,0)),"introuvable")</f>
        <v/>
      </c>
      <c r="C1295" s="30">
        <f>IFERROR(INDEX(Mots!$S:$S,MATCH($A1295,Mots!$A:$A,0)),"")</f>
        <v/>
      </c>
      <c r="D1295" s="30">
        <f>IFERROR(COUNTA(INDEX(Mots!$J:$J,MATCH($A1295,Mots!$A:$A,0)):INDEX(Mots!$P:$P,MATCH($A1295,Mots!$A:$A,0))),0)</f>
        <v/>
      </c>
      <c r="E1295" s="30">
        <f>IF(COUNTIF(Classement!$A:$A,$A1295)&gt;0,"ok","à faire")</f>
        <v/>
      </c>
      <c r="F1295" s="30">
        <f>IF(COUNTIF(Tags!$A:$A,$A1295)&gt;0,"ok","à faire")</f>
        <v/>
      </c>
      <c r="G1295" s="30">
        <f>IF(COUNTIF(Phrases!$A:$A,$A1295)&gt;0,"ok","à faire")</f>
        <v/>
      </c>
      <c r="H1295" s="30">
        <f>IF(COUNTIFS(Phrases!$A:$A,$A1295,Phrases!$I:$I,"&lt;&gt;")&gt;0,"ok","à faire")</f>
        <v/>
      </c>
      <c r="I1295" s="30">
        <f>IF(COUNTIF(Synonymes!$A:$A,$A1295)&gt;0,"ok","")</f>
        <v/>
      </c>
      <c r="J1295" s="30">
        <f>COUNTIF(E1295:H1295,"à faire")</f>
        <v/>
      </c>
    </row>
    <row r="1296">
      <c r="A1296" s="30" t="inlineStr">
        <is>
          <t>v_preparer</t>
        </is>
      </c>
      <c r="B1296" s="30">
        <f>IFERROR(INDEX(Mots!$B:$B,MATCH($A1296,Mots!$A:$A,0)),"introuvable")</f>
        <v/>
      </c>
      <c r="C1296" s="30">
        <f>IFERROR(INDEX(Mots!$S:$S,MATCH($A1296,Mots!$A:$A,0)),"")</f>
        <v/>
      </c>
      <c r="D1296" s="30">
        <f>IFERROR(COUNTA(INDEX(Mots!$J:$J,MATCH($A1296,Mots!$A:$A,0)):INDEX(Mots!$P:$P,MATCH($A1296,Mots!$A:$A,0))),0)</f>
        <v/>
      </c>
      <c r="E1296" s="30">
        <f>IF(COUNTIF(Classement!$A:$A,$A1296)&gt;0,"ok","à faire")</f>
        <v/>
      </c>
      <c r="F1296" s="30">
        <f>IF(COUNTIF(Tags!$A:$A,$A1296)&gt;0,"ok","à faire")</f>
        <v/>
      </c>
      <c r="G1296" s="30">
        <f>IF(COUNTIF(Phrases!$A:$A,$A1296)&gt;0,"ok","à faire")</f>
        <v/>
      </c>
      <c r="H1296" s="30">
        <f>IF(COUNTIFS(Phrases!$A:$A,$A1296,Phrases!$I:$I,"&lt;&gt;")&gt;0,"ok","à faire")</f>
        <v/>
      </c>
      <c r="I1296" s="30">
        <f>IF(COUNTIF(Synonymes!$A:$A,$A1296)&gt;0,"ok","")</f>
        <v/>
      </c>
      <c r="J1296" s="30">
        <f>COUNTIF(E1296:H1296,"à faire")</f>
        <v/>
      </c>
    </row>
    <row r="1297">
      <c r="A1297" s="30" t="inlineStr">
        <is>
          <t>pres</t>
        </is>
      </c>
      <c r="B1297" s="30">
        <f>IFERROR(INDEX(Mots!$B:$B,MATCH($A1297,Mots!$A:$A,0)),"introuvable")</f>
        <v/>
      </c>
      <c r="C1297" s="30">
        <f>IFERROR(INDEX(Mots!$S:$S,MATCH($A1297,Mots!$A:$A,0)),"")</f>
        <v/>
      </c>
      <c r="D1297" s="30">
        <f>IFERROR(COUNTA(INDEX(Mots!$J:$J,MATCH($A1297,Mots!$A:$A,0)):INDEX(Mots!$P:$P,MATCH($A1297,Mots!$A:$A,0))),0)</f>
        <v/>
      </c>
      <c r="E1297" s="30">
        <f>IF(COUNTIF(Classement!$A:$A,$A1297)&gt;0,"ok","à faire")</f>
        <v/>
      </c>
      <c r="F1297" s="30">
        <f>IF(COUNTIF(Tags!$A:$A,$A1297)&gt;0,"ok","à faire")</f>
        <v/>
      </c>
      <c r="G1297" s="30">
        <f>IF(COUNTIF(Phrases!$A:$A,$A1297)&gt;0,"ok","à faire")</f>
        <v/>
      </c>
      <c r="H1297" s="30">
        <f>IF(COUNTIFS(Phrases!$A:$A,$A1297,Phrases!$I:$I,"&lt;&gt;")&gt;0,"ok","à faire")</f>
        <v/>
      </c>
      <c r="I1297" s="30">
        <f>IF(COUNTIF(Synonymes!$A:$A,$A1297)&gt;0,"ok","")</f>
        <v/>
      </c>
      <c r="J1297" s="30">
        <f>COUNTIF(E1297:H1297,"à faire")</f>
        <v/>
      </c>
    </row>
    <row r="1298">
      <c r="A1298" s="30" t="inlineStr">
        <is>
          <t>presque</t>
        </is>
      </c>
      <c r="B1298" s="30">
        <f>IFERROR(INDEX(Mots!$B:$B,MATCH($A1298,Mots!$A:$A,0)),"introuvable")</f>
        <v/>
      </c>
      <c r="C1298" s="30">
        <f>IFERROR(INDEX(Mots!$S:$S,MATCH($A1298,Mots!$A:$A,0)),"")</f>
        <v/>
      </c>
      <c r="D1298" s="30">
        <f>IFERROR(COUNTA(INDEX(Mots!$J:$J,MATCH($A1298,Mots!$A:$A,0)):INDEX(Mots!$P:$P,MATCH($A1298,Mots!$A:$A,0))),0)</f>
        <v/>
      </c>
      <c r="E1298" s="30">
        <f>IF(COUNTIF(Classement!$A:$A,$A1298)&gt;0,"ok","à faire")</f>
        <v/>
      </c>
      <c r="F1298" s="30">
        <f>IF(COUNTIF(Tags!$A:$A,$A1298)&gt;0,"ok","à faire")</f>
        <v/>
      </c>
      <c r="G1298" s="30">
        <f>IF(COUNTIF(Phrases!$A:$A,$A1298)&gt;0,"ok","à faire")</f>
        <v/>
      </c>
      <c r="H1298" s="30">
        <f>IF(COUNTIFS(Phrases!$A:$A,$A1298,Phrases!$I:$I,"&lt;&gt;")&gt;0,"ok","à faire")</f>
        <v/>
      </c>
      <c r="I1298" s="30">
        <f>IF(COUNTIF(Synonymes!$A:$A,$A1298)&gt;0,"ok","")</f>
        <v/>
      </c>
      <c r="J1298" s="30">
        <f>COUNTIF(E1298:H1298,"à faire")</f>
        <v/>
      </c>
    </row>
    <row r="1299">
      <c r="A1299" s="30" t="inlineStr">
        <is>
          <t>pret</t>
        </is>
      </c>
      <c r="B1299" s="30">
        <f>IFERROR(INDEX(Mots!$B:$B,MATCH($A1299,Mots!$A:$A,0)),"introuvable")</f>
        <v/>
      </c>
      <c r="C1299" s="30">
        <f>IFERROR(INDEX(Mots!$S:$S,MATCH($A1299,Mots!$A:$A,0)),"")</f>
        <v/>
      </c>
      <c r="D1299" s="30">
        <f>IFERROR(COUNTA(INDEX(Mots!$J:$J,MATCH($A1299,Mots!$A:$A,0)):INDEX(Mots!$P:$P,MATCH($A1299,Mots!$A:$A,0))),0)</f>
        <v/>
      </c>
      <c r="E1299" s="30">
        <f>IF(COUNTIF(Classement!$A:$A,$A1299)&gt;0,"ok","à faire")</f>
        <v/>
      </c>
      <c r="F1299" s="30">
        <f>IF(COUNTIF(Tags!$A:$A,$A1299)&gt;0,"ok","à faire")</f>
        <v/>
      </c>
      <c r="G1299" s="30">
        <f>IF(COUNTIF(Phrases!$A:$A,$A1299)&gt;0,"ok","à faire")</f>
        <v/>
      </c>
      <c r="H1299" s="30">
        <f>IF(COUNTIFS(Phrases!$A:$A,$A1299,Phrases!$I:$I,"&lt;&gt;")&gt;0,"ok","à faire")</f>
        <v/>
      </c>
      <c r="I1299" s="30">
        <f>IF(COUNTIF(Synonymes!$A:$A,$A1299)&gt;0,"ok","")</f>
        <v/>
      </c>
      <c r="J1299" s="30">
        <f>COUNTIF(E1299:H1299,"à faire")</f>
        <v/>
      </c>
    </row>
    <row r="1300">
      <c r="A1300" s="30" t="inlineStr">
        <is>
          <t>v_prevenir</t>
        </is>
      </c>
      <c r="B1300" s="30">
        <f>IFERROR(INDEX(Mots!$B:$B,MATCH($A1300,Mots!$A:$A,0)),"introuvable")</f>
        <v/>
      </c>
      <c r="C1300" s="30">
        <f>IFERROR(INDEX(Mots!$S:$S,MATCH($A1300,Mots!$A:$A,0)),"")</f>
        <v/>
      </c>
      <c r="D1300" s="30">
        <f>IFERROR(COUNTA(INDEX(Mots!$J:$J,MATCH($A1300,Mots!$A:$A,0)):INDEX(Mots!$P:$P,MATCH($A1300,Mots!$A:$A,0))),0)</f>
        <v/>
      </c>
      <c r="E1300" s="30">
        <f>IF(COUNTIF(Classement!$A:$A,$A1300)&gt;0,"ok","à faire")</f>
        <v/>
      </c>
      <c r="F1300" s="30">
        <f>IF(COUNTIF(Tags!$A:$A,$A1300)&gt;0,"ok","à faire")</f>
        <v/>
      </c>
      <c r="G1300" s="30">
        <f>IF(COUNTIF(Phrases!$A:$A,$A1300)&gt;0,"ok","à faire")</f>
        <v/>
      </c>
      <c r="H1300" s="30">
        <f>IF(COUNTIFS(Phrases!$A:$A,$A1300,Phrases!$I:$I,"&lt;&gt;")&gt;0,"ok","à faire")</f>
        <v/>
      </c>
      <c r="I1300" s="30">
        <f>IF(COUNTIF(Synonymes!$A:$A,$A1300)&gt;0,"ok","")</f>
        <v/>
      </c>
      <c r="J1300" s="30">
        <f>COUNTIF(E1300:H1300,"à faire")</f>
        <v/>
      </c>
    </row>
    <row r="1301">
      <c r="A1301" s="30" t="inlineStr">
        <is>
          <t>a_profond</t>
        </is>
      </c>
      <c r="B1301" s="30">
        <f>IFERROR(INDEX(Mots!$B:$B,MATCH($A1301,Mots!$A:$A,0)),"introuvable")</f>
        <v/>
      </c>
      <c r="C1301" s="30">
        <f>IFERROR(INDEX(Mots!$S:$S,MATCH($A1301,Mots!$A:$A,0)),"")</f>
        <v/>
      </c>
      <c r="D1301" s="30">
        <f>IFERROR(COUNTA(INDEX(Mots!$J:$J,MATCH($A1301,Mots!$A:$A,0)):INDEX(Mots!$P:$P,MATCH($A1301,Mots!$A:$A,0))),0)</f>
        <v/>
      </c>
      <c r="E1301" s="30">
        <f>IF(COUNTIF(Classement!$A:$A,$A1301)&gt;0,"ok","à faire")</f>
        <v/>
      </c>
      <c r="F1301" s="30">
        <f>IF(COUNTIF(Tags!$A:$A,$A1301)&gt;0,"ok","à faire")</f>
        <v/>
      </c>
      <c r="G1301" s="30">
        <f>IF(COUNTIF(Phrases!$A:$A,$A1301)&gt;0,"ok","à faire")</f>
        <v/>
      </c>
      <c r="H1301" s="30">
        <f>IF(COUNTIFS(Phrases!$A:$A,$A1301,Phrases!$I:$I,"&lt;&gt;")&gt;0,"ok","à faire")</f>
        <v/>
      </c>
      <c r="I1301" s="30">
        <f>IF(COUNTIF(Synonymes!$A:$A,$A1301)&gt;0,"ok","")</f>
        <v/>
      </c>
      <c r="J1301" s="30">
        <f>COUNTIF(E1301:H1301,"à faire")</f>
        <v/>
      </c>
    </row>
    <row r="1302">
      <c r="A1302" s="30" t="inlineStr">
        <is>
          <t>v_promettre</t>
        </is>
      </c>
      <c r="B1302" s="30">
        <f>IFERROR(INDEX(Mots!$B:$B,MATCH($A1302,Mots!$A:$A,0)),"introuvable")</f>
        <v/>
      </c>
      <c r="C1302" s="30">
        <f>IFERROR(INDEX(Mots!$S:$S,MATCH($A1302,Mots!$A:$A,0)),"")</f>
        <v/>
      </c>
      <c r="D1302" s="30">
        <f>IFERROR(COUNTA(INDEX(Mots!$J:$J,MATCH($A1302,Mots!$A:$A,0)):INDEX(Mots!$P:$P,MATCH($A1302,Mots!$A:$A,0))),0)</f>
        <v/>
      </c>
      <c r="E1302" s="30">
        <f>IF(COUNTIF(Classement!$A:$A,$A1302)&gt;0,"ok","à faire")</f>
        <v/>
      </c>
      <c r="F1302" s="30">
        <f>IF(COUNTIF(Tags!$A:$A,$A1302)&gt;0,"ok","à faire")</f>
        <v/>
      </c>
      <c r="G1302" s="30">
        <f>IF(COUNTIF(Phrases!$A:$A,$A1302)&gt;0,"ok","à faire")</f>
        <v/>
      </c>
      <c r="H1302" s="30">
        <f>IF(COUNTIFS(Phrases!$A:$A,$A1302,Phrases!$I:$I,"&lt;&gt;")&gt;0,"ok","à faire")</f>
        <v/>
      </c>
      <c r="I1302" s="30">
        <f>IF(COUNTIF(Synonymes!$A:$A,$A1302)&gt;0,"ok","")</f>
        <v/>
      </c>
      <c r="J1302" s="30">
        <f>COUNTIF(E1302:H1302,"à faire")</f>
        <v/>
      </c>
    </row>
    <row r="1303">
      <c r="A1303" s="30" t="inlineStr">
        <is>
          <t>v_raconter</t>
        </is>
      </c>
      <c r="B1303" s="30">
        <f>IFERROR(INDEX(Mots!$B:$B,MATCH($A1303,Mots!$A:$A,0)),"introuvable")</f>
        <v/>
      </c>
      <c r="C1303" s="30">
        <f>IFERROR(INDEX(Mots!$S:$S,MATCH($A1303,Mots!$A:$A,0)),"")</f>
        <v/>
      </c>
      <c r="D1303" s="30">
        <f>IFERROR(COUNTA(INDEX(Mots!$J:$J,MATCH($A1303,Mots!$A:$A,0)):INDEX(Mots!$P:$P,MATCH($A1303,Mots!$A:$A,0))),0)</f>
        <v/>
      </c>
      <c r="E1303" s="30">
        <f>IF(COUNTIF(Classement!$A:$A,$A1303)&gt;0,"ok","à faire")</f>
        <v/>
      </c>
      <c r="F1303" s="30">
        <f>IF(COUNTIF(Tags!$A:$A,$A1303)&gt;0,"ok","à faire")</f>
        <v/>
      </c>
      <c r="G1303" s="30">
        <f>IF(COUNTIF(Phrases!$A:$A,$A1303)&gt;0,"ok","à faire")</f>
        <v/>
      </c>
      <c r="H1303" s="30">
        <f>IF(COUNTIFS(Phrases!$A:$A,$A1303,Phrases!$I:$I,"&lt;&gt;")&gt;0,"ok","à faire")</f>
        <v/>
      </c>
      <c r="I1303" s="30">
        <f>IF(COUNTIF(Synonymes!$A:$A,$A1303)&gt;0,"ok","")</f>
        <v/>
      </c>
      <c r="J1303" s="30">
        <f>COUNTIF(E1303:H1303,"à faire")</f>
        <v/>
      </c>
    </row>
    <row r="1304">
      <c r="A1304" s="30" t="inlineStr">
        <is>
          <t>v_ramasser</t>
        </is>
      </c>
      <c r="B1304" s="30">
        <f>IFERROR(INDEX(Mots!$B:$B,MATCH($A1304,Mots!$A:$A,0)),"introuvable")</f>
        <v/>
      </c>
      <c r="C1304" s="30">
        <f>IFERROR(INDEX(Mots!$S:$S,MATCH($A1304,Mots!$A:$A,0)),"")</f>
        <v/>
      </c>
      <c r="D1304" s="30">
        <f>IFERROR(COUNTA(INDEX(Mots!$J:$J,MATCH($A1304,Mots!$A:$A,0)):INDEX(Mots!$P:$P,MATCH($A1304,Mots!$A:$A,0))),0)</f>
        <v/>
      </c>
      <c r="E1304" s="30">
        <f>IF(COUNTIF(Classement!$A:$A,$A1304)&gt;0,"ok","à faire")</f>
        <v/>
      </c>
      <c r="F1304" s="30">
        <f>IF(COUNTIF(Tags!$A:$A,$A1304)&gt;0,"ok","à faire")</f>
        <v/>
      </c>
      <c r="G1304" s="30">
        <f>IF(COUNTIF(Phrases!$A:$A,$A1304)&gt;0,"ok","à faire")</f>
        <v/>
      </c>
      <c r="H1304" s="30">
        <f>IF(COUNTIFS(Phrases!$A:$A,$A1304,Phrases!$I:$I,"&lt;&gt;")&gt;0,"ok","à faire")</f>
        <v/>
      </c>
      <c r="I1304" s="30">
        <f>IF(COUNTIF(Synonymes!$A:$A,$A1304)&gt;0,"ok","")</f>
        <v/>
      </c>
      <c r="J1304" s="30">
        <f>COUNTIF(E1304:H1304,"à faire")</f>
        <v/>
      </c>
    </row>
    <row r="1305">
      <c r="A1305" s="30" t="inlineStr">
        <is>
          <t>v_ranger</t>
        </is>
      </c>
      <c r="B1305" s="30">
        <f>IFERROR(INDEX(Mots!$B:$B,MATCH($A1305,Mots!$A:$A,0)),"introuvable")</f>
        <v/>
      </c>
      <c r="C1305" s="30">
        <f>IFERROR(INDEX(Mots!$S:$S,MATCH($A1305,Mots!$A:$A,0)),"")</f>
        <v/>
      </c>
      <c r="D1305" s="30">
        <f>IFERROR(COUNTA(INDEX(Mots!$J:$J,MATCH($A1305,Mots!$A:$A,0)):INDEX(Mots!$P:$P,MATCH($A1305,Mots!$A:$A,0))),0)</f>
        <v/>
      </c>
      <c r="E1305" s="30">
        <f>IF(COUNTIF(Classement!$A:$A,$A1305)&gt;0,"ok","à faire")</f>
        <v/>
      </c>
      <c r="F1305" s="30">
        <f>IF(COUNTIF(Tags!$A:$A,$A1305)&gt;0,"ok","à faire")</f>
        <v/>
      </c>
      <c r="G1305" s="30">
        <f>IF(COUNTIF(Phrases!$A:$A,$A1305)&gt;0,"ok","à faire")</f>
        <v/>
      </c>
      <c r="H1305" s="30">
        <f>IF(COUNTIFS(Phrases!$A:$A,$A1305,Phrases!$I:$I,"&lt;&gt;")&gt;0,"ok","à faire")</f>
        <v/>
      </c>
      <c r="I1305" s="30">
        <f>IF(COUNTIF(Synonymes!$A:$A,$A1305)&gt;0,"ok","")</f>
        <v/>
      </c>
      <c r="J1305" s="30">
        <f>COUNTIF(E1305:H1305,"à faire")</f>
        <v/>
      </c>
    </row>
    <row r="1306">
      <c r="A1306" s="30" t="inlineStr">
        <is>
          <t>v_rappeler</t>
        </is>
      </c>
      <c r="B1306" s="30">
        <f>IFERROR(INDEX(Mots!$B:$B,MATCH($A1306,Mots!$A:$A,0)),"introuvable")</f>
        <v/>
      </c>
      <c r="C1306" s="30">
        <f>IFERROR(INDEX(Mots!$S:$S,MATCH($A1306,Mots!$A:$A,0)),"")</f>
        <v/>
      </c>
      <c r="D1306" s="30">
        <f>IFERROR(COUNTA(INDEX(Mots!$J:$J,MATCH($A1306,Mots!$A:$A,0)):INDEX(Mots!$P:$P,MATCH($A1306,Mots!$A:$A,0))),0)</f>
        <v/>
      </c>
      <c r="E1306" s="30">
        <f>IF(COUNTIF(Classement!$A:$A,$A1306)&gt;0,"ok","à faire")</f>
        <v/>
      </c>
      <c r="F1306" s="30">
        <f>IF(COUNTIF(Tags!$A:$A,$A1306)&gt;0,"ok","à faire")</f>
        <v/>
      </c>
      <c r="G1306" s="30">
        <f>IF(COUNTIF(Phrases!$A:$A,$A1306)&gt;0,"ok","à faire")</f>
        <v/>
      </c>
      <c r="H1306" s="30">
        <f>IF(COUNTIFS(Phrases!$A:$A,$A1306,Phrases!$I:$I,"&lt;&gt;")&gt;0,"ok","à faire")</f>
        <v/>
      </c>
      <c r="I1306" s="30">
        <f>IF(COUNTIF(Synonymes!$A:$A,$A1306)&gt;0,"ok","")</f>
        <v/>
      </c>
      <c r="J1306" s="30">
        <f>COUNTIF(E1306:H1306,"à faire")</f>
        <v/>
      </c>
    </row>
    <row r="1307">
      <c r="A1307" s="30" t="inlineStr">
        <is>
          <t>adv_rarement</t>
        </is>
      </c>
      <c r="B1307" s="30">
        <f>IFERROR(INDEX(Mots!$B:$B,MATCH($A1307,Mots!$A:$A,0)),"introuvable")</f>
        <v/>
      </c>
      <c r="C1307" s="30">
        <f>IFERROR(INDEX(Mots!$S:$S,MATCH($A1307,Mots!$A:$A,0)),"")</f>
        <v/>
      </c>
      <c r="D1307" s="30">
        <f>IFERROR(COUNTA(INDEX(Mots!$J:$J,MATCH($A1307,Mots!$A:$A,0)):INDEX(Mots!$P:$P,MATCH($A1307,Mots!$A:$A,0))),0)</f>
        <v/>
      </c>
      <c r="E1307" s="30">
        <f>IF(COUNTIF(Classement!$A:$A,$A1307)&gt;0,"ok","à faire")</f>
        <v/>
      </c>
      <c r="F1307" s="30">
        <f>IF(COUNTIF(Tags!$A:$A,$A1307)&gt;0,"ok","à faire")</f>
        <v/>
      </c>
      <c r="G1307" s="30">
        <f>IF(COUNTIF(Phrases!$A:$A,$A1307)&gt;0,"ok","à faire")</f>
        <v/>
      </c>
      <c r="H1307" s="30">
        <f>IF(COUNTIFS(Phrases!$A:$A,$A1307,Phrases!$I:$I,"&lt;&gt;")&gt;0,"ok","à faire")</f>
        <v/>
      </c>
      <c r="I1307" s="30">
        <f>IF(COUNTIF(Synonymes!$A:$A,$A1307)&gt;0,"ok","")</f>
        <v/>
      </c>
      <c r="J1307" s="30">
        <f>COUNTIF(E1307:H1307,"à faire")</f>
        <v/>
      </c>
    </row>
    <row r="1308">
      <c r="A1308" s="30" t="inlineStr">
        <is>
          <t>v_reflechir</t>
        </is>
      </c>
      <c r="B1308" s="30">
        <f>IFERROR(INDEX(Mots!$B:$B,MATCH($A1308,Mots!$A:$A,0)),"introuvable")</f>
        <v/>
      </c>
      <c r="C1308" s="30">
        <f>IFERROR(INDEX(Mots!$S:$S,MATCH($A1308,Mots!$A:$A,0)),"")</f>
        <v/>
      </c>
      <c r="D1308" s="30">
        <f>IFERROR(COUNTA(INDEX(Mots!$J:$J,MATCH($A1308,Mots!$A:$A,0)):INDEX(Mots!$P:$P,MATCH($A1308,Mots!$A:$A,0))),0)</f>
        <v/>
      </c>
      <c r="E1308" s="30">
        <f>IF(COUNTIF(Classement!$A:$A,$A1308)&gt;0,"ok","à faire")</f>
        <v/>
      </c>
      <c r="F1308" s="30">
        <f>IF(COUNTIF(Tags!$A:$A,$A1308)&gt;0,"ok","à faire")</f>
        <v/>
      </c>
      <c r="G1308" s="30">
        <f>IF(COUNTIF(Phrases!$A:$A,$A1308)&gt;0,"ok","à faire")</f>
        <v/>
      </c>
      <c r="H1308" s="30">
        <f>IF(COUNTIFS(Phrases!$A:$A,$A1308,Phrases!$I:$I,"&lt;&gt;")&gt;0,"ok","à faire")</f>
        <v/>
      </c>
      <c r="I1308" s="30">
        <f>IF(COUNTIF(Synonymes!$A:$A,$A1308)&gt;0,"ok","")</f>
        <v/>
      </c>
      <c r="J1308" s="30">
        <f>COUNTIF(E1308:H1308,"à faire")</f>
        <v/>
      </c>
    </row>
    <row r="1309">
      <c r="A1309" s="30" t="inlineStr">
        <is>
          <t>v_refuser</t>
        </is>
      </c>
      <c r="B1309" s="30">
        <f>IFERROR(INDEX(Mots!$B:$B,MATCH($A1309,Mots!$A:$A,0)),"introuvable")</f>
        <v/>
      </c>
      <c r="C1309" s="30">
        <f>IFERROR(INDEX(Mots!$S:$S,MATCH($A1309,Mots!$A:$A,0)),"")</f>
        <v/>
      </c>
      <c r="D1309" s="30">
        <f>IFERROR(COUNTA(INDEX(Mots!$J:$J,MATCH($A1309,Mots!$A:$A,0)):INDEX(Mots!$P:$P,MATCH($A1309,Mots!$A:$A,0))),0)</f>
        <v/>
      </c>
      <c r="E1309" s="30">
        <f>IF(COUNTIF(Classement!$A:$A,$A1309)&gt;0,"ok","à faire")</f>
        <v/>
      </c>
      <c r="F1309" s="30">
        <f>IF(COUNTIF(Tags!$A:$A,$A1309)&gt;0,"ok","à faire")</f>
        <v/>
      </c>
      <c r="G1309" s="30">
        <f>IF(COUNTIF(Phrases!$A:$A,$A1309)&gt;0,"ok","à faire")</f>
        <v/>
      </c>
      <c r="H1309" s="30">
        <f>IF(COUNTIFS(Phrases!$A:$A,$A1309,Phrases!$I:$I,"&lt;&gt;")&gt;0,"ok","à faire")</f>
        <v/>
      </c>
      <c r="I1309" s="30">
        <f>IF(COUNTIF(Synonymes!$A:$A,$A1309)&gt;0,"ok","")</f>
        <v/>
      </c>
      <c r="J1309" s="30">
        <f>COUNTIF(E1309:H1309,"à faire")</f>
        <v/>
      </c>
    </row>
    <row r="1310">
      <c r="A1310" s="30" t="inlineStr">
        <is>
          <t>v_regarder</t>
        </is>
      </c>
      <c r="B1310" s="30">
        <f>IFERROR(INDEX(Mots!$B:$B,MATCH($A1310,Mots!$A:$A,0)),"introuvable")</f>
        <v/>
      </c>
      <c r="C1310" s="30">
        <f>IFERROR(INDEX(Mots!$S:$S,MATCH($A1310,Mots!$A:$A,0)),"")</f>
        <v/>
      </c>
      <c r="D1310" s="30">
        <f>IFERROR(COUNTA(INDEX(Mots!$J:$J,MATCH($A1310,Mots!$A:$A,0)):INDEX(Mots!$P:$P,MATCH($A1310,Mots!$A:$A,0))),0)</f>
        <v/>
      </c>
      <c r="E1310" s="30">
        <f>IF(COUNTIF(Classement!$A:$A,$A1310)&gt;0,"ok","à faire")</f>
        <v/>
      </c>
      <c r="F1310" s="30">
        <f>IF(COUNTIF(Tags!$A:$A,$A1310)&gt;0,"ok","à faire")</f>
        <v/>
      </c>
      <c r="G1310" s="30">
        <f>IF(COUNTIF(Phrases!$A:$A,$A1310)&gt;0,"ok","à faire")</f>
        <v/>
      </c>
      <c r="H1310" s="30">
        <f>IF(COUNTIFS(Phrases!$A:$A,$A1310,Phrases!$I:$I,"&lt;&gt;")&gt;0,"ok","à faire")</f>
        <v/>
      </c>
      <c r="I1310" s="30">
        <f>IF(COUNTIF(Synonymes!$A:$A,$A1310)&gt;0,"ok","")</f>
        <v/>
      </c>
      <c r="J1310" s="30">
        <f>COUNTIF(E1310:H1310,"à faire")</f>
        <v/>
      </c>
    </row>
    <row r="1311">
      <c r="A1311" s="30" t="inlineStr">
        <is>
          <t>régis_e</t>
        </is>
      </c>
      <c r="B1311" s="30">
        <f>IFERROR(INDEX(Mots!$B:$B,MATCH($A1311,Mots!$A:$A,0)),"introuvable")</f>
        <v/>
      </c>
      <c r="C1311" s="30">
        <f>IFERROR(INDEX(Mots!$S:$S,MATCH($A1311,Mots!$A:$A,0)),"")</f>
        <v/>
      </c>
      <c r="D1311" s="30">
        <f>IFERROR(COUNTA(INDEX(Mots!$J:$J,MATCH($A1311,Mots!$A:$A,0)):INDEX(Mots!$P:$P,MATCH($A1311,Mots!$A:$A,0))),0)</f>
        <v/>
      </c>
      <c r="E1311" s="30">
        <f>IF(COUNTIF(Classement!$A:$A,$A1311)&gt;0,"ok","à faire")</f>
        <v/>
      </c>
      <c r="F1311" s="30">
        <f>IF(COUNTIF(Tags!$A:$A,$A1311)&gt;0,"ok","à faire")</f>
        <v/>
      </c>
      <c r="G1311" s="30">
        <f>IF(COUNTIF(Phrases!$A:$A,$A1311)&gt;0,"ok","à faire")</f>
        <v/>
      </c>
      <c r="H1311" s="30">
        <f>IF(COUNTIFS(Phrases!$A:$A,$A1311,Phrases!$I:$I,"&lt;&gt;")&gt;0,"ok","à faire")</f>
        <v/>
      </c>
      <c r="I1311" s="30">
        <f>IF(COUNTIF(Synonymes!$A:$A,$A1311)&gt;0,"ok","")</f>
        <v/>
      </c>
      <c r="J1311" s="30">
        <f>COUNTIF(E1311:H1311,"à faire")</f>
        <v/>
      </c>
    </row>
    <row r="1312">
      <c r="A1312" s="30" t="inlineStr">
        <is>
          <t>a_regulier</t>
        </is>
      </c>
      <c r="B1312" s="30">
        <f>IFERROR(INDEX(Mots!$B:$B,MATCH($A1312,Mots!$A:$A,0)),"introuvable")</f>
        <v/>
      </c>
      <c r="C1312" s="30">
        <f>IFERROR(INDEX(Mots!$S:$S,MATCH($A1312,Mots!$A:$A,0)),"")</f>
        <v/>
      </c>
      <c r="D1312" s="30">
        <f>IFERROR(COUNTA(INDEX(Mots!$J:$J,MATCH($A1312,Mots!$A:$A,0)):INDEX(Mots!$P:$P,MATCH($A1312,Mots!$A:$A,0))),0)</f>
        <v/>
      </c>
      <c r="E1312" s="30">
        <f>IF(COUNTIF(Classement!$A:$A,$A1312)&gt;0,"ok","à faire")</f>
        <v/>
      </c>
      <c r="F1312" s="30">
        <f>IF(COUNTIF(Tags!$A:$A,$A1312)&gt;0,"ok","à faire")</f>
        <v/>
      </c>
      <c r="G1312" s="30">
        <f>IF(COUNTIF(Phrases!$A:$A,$A1312)&gt;0,"ok","à faire")</f>
        <v/>
      </c>
      <c r="H1312" s="30">
        <f>IF(COUNTIFS(Phrases!$A:$A,$A1312,Phrases!$I:$I,"&lt;&gt;")&gt;0,"ok","à faire")</f>
        <v/>
      </c>
      <c r="I1312" s="30">
        <f>IF(COUNTIF(Synonymes!$A:$A,$A1312)&gt;0,"ok","")</f>
        <v/>
      </c>
      <c r="J1312" s="30">
        <f>COUNTIF(E1312:H1312,"à faire")</f>
        <v/>
      </c>
    </row>
    <row r="1313">
      <c r="A1313" s="30" t="inlineStr">
        <is>
          <t>v_remarquer</t>
        </is>
      </c>
      <c r="B1313" s="30">
        <f>IFERROR(INDEX(Mots!$B:$B,MATCH($A1313,Mots!$A:$A,0)),"introuvable")</f>
        <v/>
      </c>
      <c r="C1313" s="30">
        <f>IFERROR(INDEX(Mots!$S:$S,MATCH($A1313,Mots!$A:$A,0)),"")</f>
        <v/>
      </c>
      <c r="D1313" s="30">
        <f>IFERROR(COUNTA(INDEX(Mots!$J:$J,MATCH($A1313,Mots!$A:$A,0)):INDEX(Mots!$P:$P,MATCH($A1313,Mots!$A:$A,0))),0)</f>
        <v/>
      </c>
      <c r="E1313" s="30">
        <f>IF(COUNTIF(Classement!$A:$A,$A1313)&gt;0,"ok","à faire")</f>
        <v/>
      </c>
      <c r="F1313" s="30">
        <f>IF(COUNTIF(Tags!$A:$A,$A1313)&gt;0,"ok","à faire")</f>
        <v/>
      </c>
      <c r="G1313" s="30">
        <f>IF(COUNTIF(Phrases!$A:$A,$A1313)&gt;0,"ok","à faire")</f>
        <v/>
      </c>
      <c r="H1313" s="30">
        <f>IF(COUNTIFS(Phrases!$A:$A,$A1313,Phrases!$I:$I,"&lt;&gt;")&gt;0,"ok","à faire")</f>
        <v/>
      </c>
      <c r="I1313" s="30">
        <f>IF(COUNTIF(Synonymes!$A:$A,$A1313)&gt;0,"ok","")</f>
        <v/>
      </c>
      <c r="J1313" s="30">
        <f>COUNTIF(E1313:H1313,"à faire")</f>
        <v/>
      </c>
    </row>
    <row r="1314">
      <c r="A1314" s="30" t="inlineStr">
        <is>
          <t>v_remercier</t>
        </is>
      </c>
      <c r="B1314" s="30">
        <f>IFERROR(INDEX(Mots!$B:$B,MATCH($A1314,Mots!$A:$A,0)),"introuvable")</f>
        <v/>
      </c>
      <c r="C1314" s="30">
        <f>IFERROR(INDEX(Mots!$S:$S,MATCH($A1314,Mots!$A:$A,0)),"")</f>
        <v/>
      </c>
      <c r="D1314" s="30">
        <f>IFERROR(COUNTA(INDEX(Mots!$J:$J,MATCH($A1314,Mots!$A:$A,0)):INDEX(Mots!$P:$P,MATCH($A1314,Mots!$A:$A,0))),0)</f>
        <v/>
      </c>
      <c r="E1314" s="30">
        <f>IF(COUNTIF(Classement!$A:$A,$A1314)&gt;0,"ok","à faire")</f>
        <v/>
      </c>
      <c r="F1314" s="30">
        <f>IF(COUNTIF(Tags!$A:$A,$A1314)&gt;0,"ok","à faire")</f>
        <v/>
      </c>
      <c r="G1314" s="30">
        <f>IF(COUNTIF(Phrases!$A:$A,$A1314)&gt;0,"ok","à faire")</f>
        <v/>
      </c>
      <c r="H1314" s="30">
        <f>IF(COUNTIFS(Phrases!$A:$A,$A1314,Phrases!$I:$I,"&lt;&gt;")&gt;0,"ok","à faire")</f>
        <v/>
      </c>
      <c r="I1314" s="30">
        <f>IF(COUNTIF(Synonymes!$A:$A,$A1314)&gt;0,"ok","")</f>
        <v/>
      </c>
      <c r="J1314" s="30">
        <f>COUNTIF(E1314:H1314,"à faire")</f>
        <v/>
      </c>
    </row>
    <row r="1315">
      <c r="A1315" s="30" t="inlineStr">
        <is>
          <t>v_reparer</t>
        </is>
      </c>
      <c r="B1315" s="30">
        <f>IFERROR(INDEX(Mots!$B:$B,MATCH($A1315,Mots!$A:$A,0)),"introuvable")</f>
        <v/>
      </c>
      <c r="C1315" s="30">
        <f>IFERROR(INDEX(Mots!$S:$S,MATCH($A1315,Mots!$A:$A,0)),"")</f>
        <v/>
      </c>
      <c r="D1315" s="30">
        <f>IFERROR(COUNTA(INDEX(Mots!$J:$J,MATCH($A1315,Mots!$A:$A,0)):INDEX(Mots!$P:$P,MATCH($A1315,Mots!$A:$A,0))),0)</f>
        <v/>
      </c>
      <c r="E1315" s="30">
        <f>IF(COUNTIF(Classement!$A:$A,$A1315)&gt;0,"ok","à faire")</f>
        <v/>
      </c>
      <c r="F1315" s="30">
        <f>IF(COUNTIF(Tags!$A:$A,$A1315)&gt;0,"ok","à faire")</f>
        <v/>
      </c>
      <c r="G1315" s="30">
        <f>IF(COUNTIF(Phrases!$A:$A,$A1315)&gt;0,"ok","à faire")</f>
        <v/>
      </c>
      <c r="H1315" s="30">
        <f>IF(COUNTIFS(Phrases!$A:$A,$A1315,Phrases!$I:$I,"&lt;&gt;")&gt;0,"ok","à faire")</f>
        <v/>
      </c>
      <c r="I1315" s="30">
        <f>IF(COUNTIF(Synonymes!$A:$A,$A1315)&gt;0,"ok","")</f>
        <v/>
      </c>
      <c r="J1315" s="30">
        <f>COUNTIF(E1315:H1315,"à faire")</f>
        <v/>
      </c>
    </row>
    <row r="1316">
      <c r="A1316" s="30" t="inlineStr">
        <is>
          <t>v_repeter</t>
        </is>
      </c>
      <c r="B1316" s="30">
        <f>IFERROR(INDEX(Mots!$B:$B,MATCH($A1316,Mots!$A:$A,0)),"introuvable")</f>
        <v/>
      </c>
      <c r="C1316" s="30">
        <f>IFERROR(INDEX(Mots!$S:$S,MATCH($A1316,Mots!$A:$A,0)),"")</f>
        <v/>
      </c>
      <c r="D1316" s="30">
        <f>IFERROR(COUNTA(INDEX(Mots!$J:$J,MATCH($A1316,Mots!$A:$A,0)):INDEX(Mots!$P:$P,MATCH($A1316,Mots!$A:$A,0))),0)</f>
        <v/>
      </c>
      <c r="E1316" s="30">
        <f>IF(COUNTIF(Classement!$A:$A,$A1316)&gt;0,"ok","à faire")</f>
        <v/>
      </c>
      <c r="F1316" s="30">
        <f>IF(COUNTIF(Tags!$A:$A,$A1316)&gt;0,"ok","à faire")</f>
        <v/>
      </c>
      <c r="G1316" s="30">
        <f>IF(COUNTIF(Phrases!$A:$A,$A1316)&gt;0,"ok","à faire")</f>
        <v/>
      </c>
      <c r="H1316" s="30">
        <f>IF(COUNTIFS(Phrases!$A:$A,$A1316,Phrases!$I:$I,"&lt;&gt;")&gt;0,"ok","à faire")</f>
        <v/>
      </c>
      <c r="I1316" s="30">
        <f>IF(COUNTIF(Synonymes!$A:$A,$A1316)&gt;0,"ok","")</f>
        <v/>
      </c>
      <c r="J1316" s="30">
        <f>COUNTIF(E1316:H1316,"à faire")</f>
        <v/>
      </c>
    </row>
    <row r="1317">
      <c r="A1317" s="30" t="inlineStr">
        <is>
          <t>v_repondre</t>
        </is>
      </c>
      <c r="B1317" s="30">
        <f>IFERROR(INDEX(Mots!$B:$B,MATCH($A1317,Mots!$A:$A,0)),"introuvable")</f>
        <v/>
      </c>
      <c r="C1317" s="30">
        <f>IFERROR(INDEX(Mots!$S:$S,MATCH($A1317,Mots!$A:$A,0)),"")</f>
        <v/>
      </c>
      <c r="D1317" s="30">
        <f>IFERROR(COUNTA(INDEX(Mots!$J:$J,MATCH($A1317,Mots!$A:$A,0)):INDEX(Mots!$P:$P,MATCH($A1317,Mots!$A:$A,0))),0)</f>
        <v/>
      </c>
      <c r="E1317" s="30">
        <f>IF(COUNTIF(Classement!$A:$A,$A1317)&gt;0,"ok","à faire")</f>
        <v/>
      </c>
      <c r="F1317" s="30">
        <f>IF(COUNTIF(Tags!$A:$A,$A1317)&gt;0,"ok","à faire")</f>
        <v/>
      </c>
      <c r="G1317" s="30">
        <f>IF(COUNTIF(Phrases!$A:$A,$A1317)&gt;0,"ok","à faire")</f>
        <v/>
      </c>
      <c r="H1317" s="30">
        <f>IF(COUNTIFS(Phrases!$A:$A,$A1317,Phrases!$I:$I,"&lt;&gt;")&gt;0,"ok","à faire")</f>
        <v/>
      </c>
      <c r="I1317" s="30">
        <f>IF(COUNTIF(Synonymes!$A:$A,$A1317)&gt;0,"ok","")</f>
        <v/>
      </c>
      <c r="J1317" s="30">
        <f>COUNTIF(E1317:H1317,"à faire")</f>
        <v/>
      </c>
    </row>
    <row r="1318">
      <c r="A1318" s="30" t="inlineStr">
        <is>
          <t>a_resistant</t>
        </is>
      </c>
      <c r="B1318" s="30">
        <f>IFERROR(INDEX(Mots!$B:$B,MATCH($A1318,Mots!$A:$A,0)),"introuvable")</f>
        <v/>
      </c>
      <c r="C1318" s="30">
        <f>IFERROR(INDEX(Mots!$S:$S,MATCH($A1318,Mots!$A:$A,0)),"")</f>
        <v/>
      </c>
      <c r="D1318" s="30">
        <f>IFERROR(COUNTA(INDEX(Mots!$J:$J,MATCH($A1318,Mots!$A:$A,0)):INDEX(Mots!$P:$P,MATCH($A1318,Mots!$A:$A,0))),0)</f>
        <v/>
      </c>
      <c r="E1318" s="30">
        <f>IF(COUNTIF(Classement!$A:$A,$A1318)&gt;0,"ok","à faire")</f>
        <v/>
      </c>
      <c r="F1318" s="30">
        <f>IF(COUNTIF(Tags!$A:$A,$A1318)&gt;0,"ok","à faire")</f>
        <v/>
      </c>
      <c r="G1318" s="30">
        <f>IF(COUNTIF(Phrases!$A:$A,$A1318)&gt;0,"ok","à faire")</f>
        <v/>
      </c>
      <c r="H1318" s="30">
        <f>IF(COUNTIFS(Phrases!$A:$A,$A1318,Phrases!$I:$I,"&lt;&gt;")&gt;0,"ok","à faire")</f>
        <v/>
      </c>
      <c r="I1318" s="30">
        <f>IF(COUNTIF(Synonymes!$A:$A,$A1318)&gt;0,"ok","")</f>
        <v/>
      </c>
      <c r="J1318" s="30">
        <f>COUNTIF(E1318:H1318,"à faire")</f>
        <v/>
      </c>
    </row>
    <row r="1319">
      <c r="A1319" s="30" t="inlineStr">
        <is>
          <t>v_rester</t>
        </is>
      </c>
      <c r="B1319" s="30">
        <f>IFERROR(INDEX(Mots!$B:$B,MATCH($A1319,Mots!$A:$A,0)),"introuvable")</f>
        <v/>
      </c>
      <c r="C1319" s="30">
        <f>IFERROR(INDEX(Mots!$S:$S,MATCH($A1319,Mots!$A:$A,0)),"")</f>
        <v/>
      </c>
      <c r="D1319" s="30">
        <f>IFERROR(COUNTA(INDEX(Mots!$J:$J,MATCH($A1319,Mots!$A:$A,0)):INDEX(Mots!$P:$P,MATCH($A1319,Mots!$A:$A,0))),0)</f>
        <v/>
      </c>
      <c r="E1319" s="30">
        <f>IF(COUNTIF(Classement!$A:$A,$A1319)&gt;0,"ok","à faire")</f>
        <v/>
      </c>
      <c r="F1319" s="30">
        <f>IF(COUNTIF(Tags!$A:$A,$A1319)&gt;0,"ok","à faire")</f>
        <v/>
      </c>
      <c r="G1319" s="30">
        <f>IF(COUNTIF(Phrases!$A:$A,$A1319)&gt;0,"ok","à faire")</f>
        <v/>
      </c>
      <c r="H1319" s="30">
        <f>IF(COUNTIFS(Phrases!$A:$A,$A1319,Phrases!$I:$I,"&lt;&gt;")&gt;0,"ok","à faire")</f>
        <v/>
      </c>
      <c r="I1319" s="30">
        <f>IF(COUNTIF(Synonymes!$A:$A,$A1319)&gt;0,"ok","")</f>
        <v/>
      </c>
      <c r="J1319" s="30">
        <f>COUNTIF(E1319:H1319,"à faire")</f>
        <v/>
      </c>
    </row>
    <row r="1320">
      <c r="A1320" s="30" t="inlineStr">
        <is>
          <t>v_reussir</t>
        </is>
      </c>
      <c r="B1320" s="30">
        <f>IFERROR(INDEX(Mots!$B:$B,MATCH($A1320,Mots!$A:$A,0)),"introuvable")</f>
        <v/>
      </c>
      <c r="C1320" s="30">
        <f>IFERROR(INDEX(Mots!$S:$S,MATCH($A1320,Mots!$A:$A,0)),"")</f>
        <v/>
      </c>
      <c r="D1320" s="30">
        <f>IFERROR(COUNTA(INDEX(Mots!$J:$J,MATCH($A1320,Mots!$A:$A,0)):INDEX(Mots!$P:$P,MATCH($A1320,Mots!$A:$A,0))),0)</f>
        <v/>
      </c>
      <c r="E1320" s="30">
        <f>IF(COUNTIF(Classement!$A:$A,$A1320)&gt;0,"ok","à faire")</f>
        <v/>
      </c>
      <c r="F1320" s="30">
        <f>IF(COUNTIF(Tags!$A:$A,$A1320)&gt;0,"ok","à faire")</f>
        <v/>
      </c>
      <c r="G1320" s="30">
        <f>IF(COUNTIF(Phrases!$A:$A,$A1320)&gt;0,"ok","à faire")</f>
        <v/>
      </c>
      <c r="H1320" s="30">
        <f>IF(COUNTIFS(Phrases!$A:$A,$A1320,Phrases!$I:$I,"&lt;&gt;")&gt;0,"ok","à faire")</f>
        <v/>
      </c>
      <c r="I1320" s="30">
        <f>IF(COUNTIF(Synonymes!$A:$A,$A1320)&gt;0,"ok","")</f>
        <v/>
      </c>
      <c r="J1320" s="30">
        <f>COUNTIF(E1320:H1320,"à faire")</f>
        <v/>
      </c>
    </row>
    <row r="1321">
      <c r="A1321" s="30" t="inlineStr">
        <is>
          <t>v_rire</t>
        </is>
      </c>
      <c r="B1321" s="30">
        <f>IFERROR(INDEX(Mots!$B:$B,MATCH($A1321,Mots!$A:$A,0)),"introuvable")</f>
        <v/>
      </c>
      <c r="C1321" s="30">
        <f>IFERROR(INDEX(Mots!$S:$S,MATCH($A1321,Mots!$A:$A,0)),"")</f>
        <v/>
      </c>
      <c r="D1321" s="30">
        <f>IFERROR(COUNTA(INDEX(Mots!$J:$J,MATCH($A1321,Mots!$A:$A,0)):INDEX(Mots!$P:$P,MATCH($A1321,Mots!$A:$A,0))),0)</f>
        <v/>
      </c>
      <c r="E1321" s="30">
        <f>IF(COUNTIF(Classement!$A:$A,$A1321)&gt;0,"ok","à faire")</f>
        <v/>
      </c>
      <c r="F1321" s="30">
        <f>IF(COUNTIF(Tags!$A:$A,$A1321)&gt;0,"ok","à faire")</f>
        <v/>
      </c>
      <c r="G1321" s="30">
        <f>IF(COUNTIF(Phrases!$A:$A,$A1321)&gt;0,"ok","à faire")</f>
        <v/>
      </c>
      <c r="H1321" s="30">
        <f>IF(COUNTIFS(Phrases!$A:$A,$A1321,Phrases!$I:$I,"&lt;&gt;")&gt;0,"ok","à faire")</f>
        <v/>
      </c>
      <c r="I1321" s="30">
        <f>IF(COUNTIF(Synonymes!$A:$A,$A1321)&gt;0,"ok","")</f>
        <v/>
      </c>
      <c r="J1321" s="30">
        <f>COUNTIF(E1321:H1321,"à faire")</f>
        <v/>
      </c>
    </row>
    <row r="1322">
      <c r="A1322" s="30" t="inlineStr">
        <is>
          <t>c_roux</t>
        </is>
      </c>
      <c r="B1322" s="30">
        <f>IFERROR(INDEX(Mots!$B:$B,MATCH($A1322,Mots!$A:$A,0)),"introuvable")</f>
        <v/>
      </c>
      <c r="C1322" s="30">
        <f>IFERROR(INDEX(Mots!$S:$S,MATCH($A1322,Mots!$A:$A,0)),"")</f>
        <v/>
      </c>
      <c r="D1322" s="30">
        <f>IFERROR(COUNTA(INDEX(Mots!$J:$J,MATCH($A1322,Mots!$A:$A,0)):INDEX(Mots!$P:$P,MATCH($A1322,Mots!$A:$A,0))),0)</f>
        <v/>
      </c>
      <c r="E1322" s="30">
        <f>IF(COUNTIF(Classement!$A:$A,$A1322)&gt;0,"ok","à faire")</f>
        <v/>
      </c>
      <c r="F1322" s="30">
        <f>IF(COUNTIF(Tags!$A:$A,$A1322)&gt;0,"ok","à faire")</f>
        <v/>
      </c>
      <c r="G1322" s="30">
        <f>IF(COUNTIF(Phrases!$A:$A,$A1322)&gt;0,"ok","à faire")</f>
        <v/>
      </c>
      <c r="H1322" s="30">
        <f>IF(COUNTIFS(Phrases!$A:$A,$A1322,Phrases!$I:$I,"&lt;&gt;")&gt;0,"ok","à faire")</f>
        <v/>
      </c>
      <c r="I1322" s="30">
        <f>IF(COUNTIF(Synonymes!$A:$A,$A1322)&gt;0,"ok","")</f>
        <v/>
      </c>
      <c r="J1322" s="30">
        <f>COUNTIF(E1322:H1322,"à faire")</f>
        <v/>
      </c>
    </row>
    <row r="1323">
      <c r="A1323" s="30" t="inlineStr">
        <is>
          <t>a_rude</t>
        </is>
      </c>
      <c r="B1323" s="30">
        <f>IFERROR(INDEX(Mots!$B:$B,MATCH($A1323,Mots!$A:$A,0)),"introuvable")</f>
        <v/>
      </c>
      <c r="C1323" s="30">
        <f>IFERROR(INDEX(Mots!$S:$S,MATCH($A1323,Mots!$A:$A,0)),"")</f>
        <v/>
      </c>
      <c r="D1323" s="30">
        <f>IFERROR(COUNTA(INDEX(Mots!$J:$J,MATCH($A1323,Mots!$A:$A,0)):INDEX(Mots!$P:$P,MATCH($A1323,Mots!$A:$A,0))),0)</f>
        <v/>
      </c>
      <c r="E1323" s="30">
        <f>IF(COUNTIF(Classement!$A:$A,$A1323)&gt;0,"ok","à faire")</f>
        <v/>
      </c>
      <c r="F1323" s="30">
        <f>IF(COUNTIF(Tags!$A:$A,$A1323)&gt;0,"ok","à faire")</f>
        <v/>
      </c>
      <c r="G1323" s="30">
        <f>IF(COUNTIF(Phrases!$A:$A,$A1323)&gt;0,"ok","à faire")</f>
        <v/>
      </c>
      <c r="H1323" s="30">
        <f>IF(COUNTIFS(Phrases!$A:$A,$A1323,Phrases!$I:$I,"&lt;&gt;")&gt;0,"ok","à faire")</f>
        <v/>
      </c>
      <c r="I1323" s="30">
        <f>IF(COUNTIF(Synonymes!$A:$A,$A1323)&gt;0,"ok","")</f>
        <v/>
      </c>
      <c r="J1323" s="30">
        <f>COUNTIF(E1323:H1323,"à faire")</f>
        <v/>
      </c>
    </row>
    <row r="1324">
      <c r="A1324" s="30" t="inlineStr">
        <is>
          <t>a_ruse</t>
        </is>
      </c>
      <c r="B1324" s="30">
        <f>IFERROR(INDEX(Mots!$B:$B,MATCH($A1324,Mots!$A:$A,0)),"introuvable")</f>
        <v/>
      </c>
      <c r="C1324" s="30">
        <f>IFERROR(INDEX(Mots!$S:$S,MATCH($A1324,Mots!$A:$A,0)),"")</f>
        <v/>
      </c>
      <c r="D1324" s="30">
        <f>IFERROR(COUNTA(INDEX(Mots!$J:$J,MATCH($A1324,Mots!$A:$A,0)):INDEX(Mots!$P:$P,MATCH($A1324,Mots!$A:$A,0))),0)</f>
        <v/>
      </c>
      <c r="E1324" s="30">
        <f>IF(COUNTIF(Classement!$A:$A,$A1324)&gt;0,"ok","à faire")</f>
        <v/>
      </c>
      <c r="F1324" s="30">
        <f>IF(COUNTIF(Tags!$A:$A,$A1324)&gt;0,"ok","à faire")</f>
        <v/>
      </c>
      <c r="G1324" s="30">
        <f>IF(COUNTIF(Phrases!$A:$A,$A1324)&gt;0,"ok","à faire")</f>
        <v/>
      </c>
      <c r="H1324" s="30">
        <f>IF(COUNTIFS(Phrases!$A:$A,$A1324,Phrases!$I:$I,"&lt;&gt;")&gt;0,"ok","à faire")</f>
        <v/>
      </c>
      <c r="I1324" s="30">
        <f>IF(COUNTIF(Synonymes!$A:$A,$A1324)&gt;0,"ok","")</f>
        <v/>
      </c>
      <c r="J1324" s="30">
        <f>COUNTIF(E1324:H1324,"à faire")</f>
        <v/>
      </c>
    </row>
    <row r="1325">
      <c r="A1325" s="30" t="inlineStr">
        <is>
          <t>v_saluer</t>
        </is>
      </c>
      <c r="B1325" s="30">
        <f>IFERROR(INDEX(Mots!$B:$B,MATCH($A1325,Mots!$A:$A,0)),"introuvable")</f>
        <v/>
      </c>
      <c r="C1325" s="30">
        <f>IFERROR(INDEX(Mots!$S:$S,MATCH($A1325,Mots!$A:$A,0)),"")</f>
        <v/>
      </c>
      <c r="D1325" s="30">
        <f>IFERROR(COUNTA(INDEX(Mots!$J:$J,MATCH($A1325,Mots!$A:$A,0)):INDEX(Mots!$P:$P,MATCH($A1325,Mots!$A:$A,0))),0)</f>
        <v/>
      </c>
      <c r="E1325" s="30">
        <f>IF(COUNTIF(Classement!$A:$A,$A1325)&gt;0,"ok","à faire")</f>
        <v/>
      </c>
      <c r="F1325" s="30">
        <f>IF(COUNTIF(Tags!$A:$A,$A1325)&gt;0,"ok","à faire")</f>
        <v/>
      </c>
      <c r="G1325" s="30">
        <f>IF(COUNTIF(Phrases!$A:$A,$A1325)&gt;0,"ok","à faire")</f>
        <v/>
      </c>
      <c r="H1325" s="30">
        <f>IF(COUNTIFS(Phrases!$A:$A,$A1325,Phrases!$I:$I,"&lt;&gt;")&gt;0,"ok","à faire")</f>
        <v/>
      </c>
      <c r="I1325" s="30">
        <f>IF(COUNTIF(Synonymes!$A:$A,$A1325)&gt;0,"ok","")</f>
        <v/>
      </c>
      <c r="J1325" s="30">
        <f>COUNTIF(E1325:H1325,"à faire")</f>
        <v/>
      </c>
    </row>
    <row r="1326">
      <c r="A1326" s="30" t="inlineStr">
        <is>
          <t>v_s_asseoir</t>
        </is>
      </c>
      <c r="B1326" s="30">
        <f>IFERROR(INDEX(Mots!$B:$B,MATCH($A1326,Mots!$A:$A,0)),"introuvable")</f>
        <v/>
      </c>
      <c r="C1326" s="30">
        <f>IFERROR(INDEX(Mots!$S:$S,MATCH($A1326,Mots!$A:$A,0)),"")</f>
        <v/>
      </c>
      <c r="D1326" s="30">
        <f>IFERROR(COUNTA(INDEX(Mots!$J:$J,MATCH($A1326,Mots!$A:$A,0)):INDEX(Mots!$P:$P,MATCH($A1326,Mots!$A:$A,0))),0)</f>
        <v/>
      </c>
      <c r="E1326" s="30">
        <f>IF(COUNTIF(Classement!$A:$A,$A1326)&gt;0,"ok","à faire")</f>
        <v/>
      </c>
      <c r="F1326" s="30">
        <f>IF(COUNTIF(Tags!$A:$A,$A1326)&gt;0,"ok","à faire")</f>
        <v/>
      </c>
      <c r="G1326" s="30">
        <f>IF(COUNTIF(Phrases!$A:$A,$A1326)&gt;0,"ok","à faire")</f>
        <v/>
      </c>
      <c r="H1326" s="30">
        <f>IF(COUNTIFS(Phrases!$A:$A,$A1326,Phrases!$I:$I,"&lt;&gt;")&gt;0,"ok","à faire")</f>
        <v/>
      </c>
      <c r="I1326" s="30">
        <f>IF(COUNTIF(Synonymes!$A:$A,$A1326)&gt;0,"ok","")</f>
        <v/>
      </c>
      <c r="J1326" s="30">
        <f>COUNTIF(E1326:H1326,"à faire")</f>
        <v/>
      </c>
    </row>
    <row r="1327">
      <c r="A1327" s="30" t="inlineStr">
        <is>
          <t>v_sauter</t>
        </is>
      </c>
      <c r="B1327" s="30">
        <f>IFERROR(INDEX(Mots!$B:$B,MATCH($A1327,Mots!$A:$A,0)),"introuvable")</f>
        <v/>
      </c>
      <c r="C1327" s="30">
        <f>IFERROR(INDEX(Mots!$S:$S,MATCH($A1327,Mots!$A:$A,0)),"")</f>
        <v/>
      </c>
      <c r="D1327" s="30">
        <f>IFERROR(COUNTA(INDEX(Mots!$J:$J,MATCH($A1327,Mots!$A:$A,0)):INDEX(Mots!$P:$P,MATCH($A1327,Mots!$A:$A,0))),0)</f>
        <v/>
      </c>
      <c r="E1327" s="30">
        <f>IF(COUNTIF(Classement!$A:$A,$A1327)&gt;0,"ok","à faire")</f>
        <v/>
      </c>
      <c r="F1327" s="30">
        <f>IF(COUNTIF(Tags!$A:$A,$A1327)&gt;0,"ok","à faire")</f>
        <v/>
      </c>
      <c r="G1327" s="30">
        <f>IF(COUNTIF(Phrases!$A:$A,$A1327)&gt;0,"ok","à faire")</f>
        <v/>
      </c>
      <c r="H1327" s="30">
        <f>IF(COUNTIFS(Phrases!$A:$A,$A1327,Phrases!$I:$I,"&lt;&gt;")&gt;0,"ok","à faire")</f>
        <v/>
      </c>
      <c r="I1327" s="30">
        <f>IF(COUNTIF(Synonymes!$A:$A,$A1327)&gt;0,"ok","")</f>
        <v/>
      </c>
      <c r="J1327" s="30">
        <f>COUNTIF(E1327:H1327,"à faire")</f>
        <v/>
      </c>
    </row>
    <row r="1328">
      <c r="A1328" s="30" t="inlineStr">
        <is>
          <t>sauvage</t>
        </is>
      </c>
      <c r="B1328" s="30">
        <f>IFERROR(INDEX(Mots!$B:$B,MATCH($A1328,Mots!$A:$A,0)),"introuvable")</f>
        <v/>
      </c>
      <c r="C1328" s="30">
        <f>IFERROR(INDEX(Mots!$S:$S,MATCH($A1328,Mots!$A:$A,0)),"")</f>
        <v/>
      </c>
      <c r="D1328" s="30">
        <f>IFERROR(COUNTA(INDEX(Mots!$J:$J,MATCH($A1328,Mots!$A:$A,0)):INDEX(Mots!$P:$P,MATCH($A1328,Mots!$A:$A,0))),0)</f>
        <v/>
      </c>
      <c r="E1328" s="30">
        <f>IF(COUNTIF(Classement!$A:$A,$A1328)&gt;0,"ok","à faire")</f>
        <v/>
      </c>
      <c r="F1328" s="30">
        <f>IF(COUNTIF(Tags!$A:$A,$A1328)&gt;0,"ok","à faire")</f>
        <v/>
      </c>
      <c r="G1328" s="30">
        <f>IF(COUNTIF(Phrases!$A:$A,$A1328)&gt;0,"ok","à faire")</f>
        <v/>
      </c>
      <c r="H1328" s="30">
        <f>IF(COUNTIFS(Phrases!$A:$A,$A1328,Phrases!$I:$I,"&lt;&gt;")&gt;0,"ok","à faire")</f>
        <v/>
      </c>
      <c r="I1328" s="30">
        <f>IF(COUNTIF(Synonymes!$A:$A,$A1328)&gt;0,"ok","")</f>
        <v/>
      </c>
      <c r="J1328" s="30">
        <f>COUNTIF(E1328:H1328,"à faire")</f>
        <v/>
      </c>
    </row>
    <row r="1329">
      <c r="A1329" s="30" t="inlineStr">
        <is>
          <t>v_savoir</t>
        </is>
      </c>
      <c r="B1329" s="30">
        <f>IFERROR(INDEX(Mots!$B:$B,MATCH($A1329,Mots!$A:$A,0)),"introuvable")</f>
        <v/>
      </c>
      <c r="C1329" s="30">
        <f>IFERROR(INDEX(Mots!$S:$S,MATCH($A1329,Mots!$A:$A,0)),"")</f>
        <v/>
      </c>
      <c r="D1329" s="30">
        <f>IFERROR(COUNTA(INDEX(Mots!$J:$J,MATCH($A1329,Mots!$A:$A,0)):INDEX(Mots!$P:$P,MATCH($A1329,Mots!$A:$A,0))),0)</f>
        <v/>
      </c>
      <c r="E1329" s="30">
        <f>IF(COUNTIF(Classement!$A:$A,$A1329)&gt;0,"ok","à faire")</f>
        <v/>
      </c>
      <c r="F1329" s="30">
        <f>IF(COUNTIF(Tags!$A:$A,$A1329)&gt;0,"ok","à faire")</f>
        <v/>
      </c>
      <c r="G1329" s="30">
        <f>IF(COUNTIF(Phrases!$A:$A,$A1329)&gt;0,"ok","à faire")</f>
        <v/>
      </c>
      <c r="H1329" s="30">
        <f>IF(COUNTIFS(Phrases!$A:$A,$A1329,Phrases!$I:$I,"&lt;&gt;")&gt;0,"ok","à faire")</f>
        <v/>
      </c>
      <c r="I1329" s="30">
        <f>IF(COUNTIF(Synonymes!$A:$A,$A1329)&gt;0,"ok","")</f>
        <v/>
      </c>
      <c r="J1329" s="30">
        <f>COUNTIF(E1329:H1329,"à faire")</f>
        <v/>
      </c>
    </row>
    <row r="1330">
      <c r="A1330" s="30" t="inlineStr">
        <is>
          <t>v_se_souvenir</t>
        </is>
      </c>
      <c r="B1330" s="30">
        <f>IFERROR(INDEX(Mots!$B:$B,MATCH($A1330,Mots!$A:$A,0)),"introuvable")</f>
        <v/>
      </c>
      <c r="C1330" s="30">
        <f>IFERROR(INDEX(Mots!$S:$S,MATCH($A1330,Mots!$A:$A,0)),"")</f>
        <v/>
      </c>
      <c r="D1330" s="30">
        <f>IFERROR(COUNTA(INDEX(Mots!$J:$J,MATCH($A1330,Mots!$A:$A,0)):INDEX(Mots!$P:$P,MATCH($A1330,Mots!$A:$A,0))),0)</f>
        <v/>
      </c>
      <c r="E1330" s="30">
        <f>IF(COUNTIF(Classement!$A:$A,$A1330)&gt;0,"ok","à faire")</f>
        <v/>
      </c>
      <c r="F1330" s="30">
        <f>IF(COUNTIF(Tags!$A:$A,$A1330)&gt;0,"ok","à faire")</f>
        <v/>
      </c>
      <c r="G1330" s="30">
        <f>IF(COUNTIF(Phrases!$A:$A,$A1330)&gt;0,"ok","à faire")</f>
        <v/>
      </c>
      <c r="H1330" s="30">
        <f>IF(COUNTIFS(Phrases!$A:$A,$A1330,Phrases!$I:$I,"&lt;&gt;")&gt;0,"ok","à faire")</f>
        <v/>
      </c>
      <c r="I1330" s="30">
        <f>IF(COUNTIF(Synonymes!$A:$A,$A1330)&gt;0,"ok","")</f>
        <v/>
      </c>
      <c r="J1330" s="30">
        <f>COUNTIF(E1330:H1330,"à faire")</f>
        <v/>
      </c>
    </row>
    <row r="1331">
      <c r="A1331" s="30" t="inlineStr">
        <is>
          <t>v_sentir</t>
        </is>
      </c>
      <c r="B1331" s="30">
        <f>IFERROR(INDEX(Mots!$B:$B,MATCH($A1331,Mots!$A:$A,0)),"introuvable")</f>
        <v/>
      </c>
      <c r="C1331" s="30">
        <f>IFERROR(INDEX(Mots!$S:$S,MATCH($A1331,Mots!$A:$A,0)),"")</f>
        <v/>
      </c>
      <c r="D1331" s="30">
        <f>IFERROR(COUNTA(INDEX(Mots!$J:$J,MATCH($A1331,Mots!$A:$A,0)):INDEX(Mots!$P:$P,MATCH($A1331,Mots!$A:$A,0))),0)</f>
        <v/>
      </c>
      <c r="E1331" s="30">
        <f>IF(COUNTIF(Classement!$A:$A,$A1331)&gt;0,"ok","à faire")</f>
        <v/>
      </c>
      <c r="F1331" s="30">
        <f>IF(COUNTIF(Tags!$A:$A,$A1331)&gt;0,"ok","à faire")</f>
        <v/>
      </c>
      <c r="G1331" s="30">
        <f>IF(COUNTIF(Phrases!$A:$A,$A1331)&gt;0,"ok","à faire")</f>
        <v/>
      </c>
      <c r="H1331" s="30">
        <f>IF(COUNTIFS(Phrases!$A:$A,$A1331,Phrases!$I:$I,"&lt;&gt;")&gt;0,"ok","à faire")</f>
        <v/>
      </c>
      <c r="I1331" s="30">
        <f>IF(COUNTIF(Synonymes!$A:$A,$A1331)&gt;0,"ok","")</f>
        <v/>
      </c>
      <c r="J1331" s="30">
        <f>COUNTIF(E1331:H1331,"à faire")</f>
        <v/>
      </c>
    </row>
    <row r="1332">
      <c r="A1332" s="30" t="inlineStr">
        <is>
          <t>v_serrer</t>
        </is>
      </c>
      <c r="B1332" s="30">
        <f>IFERROR(INDEX(Mots!$B:$B,MATCH($A1332,Mots!$A:$A,0)),"introuvable")</f>
        <v/>
      </c>
      <c r="C1332" s="30">
        <f>IFERROR(INDEX(Mots!$S:$S,MATCH($A1332,Mots!$A:$A,0)),"")</f>
        <v/>
      </c>
      <c r="D1332" s="30">
        <f>IFERROR(COUNTA(INDEX(Mots!$J:$J,MATCH($A1332,Mots!$A:$A,0)):INDEX(Mots!$P:$P,MATCH($A1332,Mots!$A:$A,0))),0)</f>
        <v/>
      </c>
      <c r="E1332" s="30">
        <f>IF(COUNTIF(Classement!$A:$A,$A1332)&gt;0,"ok","à faire")</f>
        <v/>
      </c>
      <c r="F1332" s="30">
        <f>IF(COUNTIF(Tags!$A:$A,$A1332)&gt;0,"ok","à faire")</f>
        <v/>
      </c>
      <c r="G1332" s="30">
        <f>IF(COUNTIF(Phrases!$A:$A,$A1332)&gt;0,"ok","à faire")</f>
        <v/>
      </c>
      <c r="H1332" s="30">
        <f>IF(COUNTIFS(Phrases!$A:$A,$A1332,Phrases!$I:$I,"&lt;&gt;")&gt;0,"ok","à faire")</f>
        <v/>
      </c>
      <c r="I1332" s="30">
        <f>IF(COUNTIF(Synonymes!$A:$A,$A1332)&gt;0,"ok","")</f>
        <v/>
      </c>
      <c r="J1332" s="30">
        <f>COUNTIF(E1332:H1332,"à faire")</f>
        <v/>
      </c>
    </row>
    <row r="1333">
      <c r="A1333" s="30" t="inlineStr">
        <is>
          <t>seul</t>
        </is>
      </c>
      <c r="B1333" s="30">
        <f>IFERROR(INDEX(Mots!$B:$B,MATCH($A1333,Mots!$A:$A,0)),"introuvable")</f>
        <v/>
      </c>
      <c r="C1333" s="30">
        <f>IFERROR(INDEX(Mots!$S:$S,MATCH($A1333,Mots!$A:$A,0)),"")</f>
        <v/>
      </c>
      <c r="D1333" s="30">
        <f>IFERROR(COUNTA(INDEX(Mots!$J:$J,MATCH($A1333,Mots!$A:$A,0)):INDEX(Mots!$P:$P,MATCH($A1333,Mots!$A:$A,0))),0)</f>
        <v/>
      </c>
      <c r="E1333" s="30">
        <f>IF(COUNTIF(Classement!$A:$A,$A1333)&gt;0,"ok","à faire")</f>
        <v/>
      </c>
      <c r="F1333" s="30">
        <f>IF(COUNTIF(Tags!$A:$A,$A1333)&gt;0,"ok","à faire")</f>
        <v/>
      </c>
      <c r="G1333" s="30">
        <f>IF(COUNTIF(Phrases!$A:$A,$A1333)&gt;0,"ok","à faire")</f>
        <v/>
      </c>
      <c r="H1333" s="30">
        <f>IF(COUNTIFS(Phrases!$A:$A,$A1333,Phrases!$I:$I,"&lt;&gt;")&gt;0,"ok","à faire")</f>
        <v/>
      </c>
      <c r="I1333" s="30">
        <f>IF(COUNTIF(Synonymes!$A:$A,$A1333)&gt;0,"ok","")</f>
        <v/>
      </c>
      <c r="J1333" s="30">
        <f>COUNTIF(E1333:H1333,"à faire")</f>
        <v/>
      </c>
    </row>
    <row r="1334">
      <c r="A1334" s="30" t="inlineStr">
        <is>
          <t>adv_seulement</t>
        </is>
      </c>
      <c r="B1334" s="30">
        <f>IFERROR(INDEX(Mots!$B:$B,MATCH($A1334,Mots!$A:$A,0)),"introuvable")</f>
        <v/>
      </c>
      <c r="C1334" s="30">
        <f>IFERROR(INDEX(Mots!$S:$S,MATCH($A1334,Mots!$A:$A,0)),"")</f>
        <v/>
      </c>
      <c r="D1334" s="30">
        <f>IFERROR(COUNTA(INDEX(Mots!$J:$J,MATCH($A1334,Mots!$A:$A,0)):INDEX(Mots!$P:$P,MATCH($A1334,Mots!$A:$A,0))),0)</f>
        <v/>
      </c>
      <c r="E1334" s="30">
        <f>IF(COUNTIF(Classement!$A:$A,$A1334)&gt;0,"ok","à faire")</f>
        <v/>
      </c>
      <c r="F1334" s="30">
        <f>IF(COUNTIF(Tags!$A:$A,$A1334)&gt;0,"ok","à faire")</f>
        <v/>
      </c>
      <c r="G1334" s="30">
        <f>IF(COUNTIF(Phrases!$A:$A,$A1334)&gt;0,"ok","à faire")</f>
        <v/>
      </c>
      <c r="H1334" s="30">
        <f>IF(COUNTIFS(Phrases!$A:$A,$A1334,Phrases!$I:$I,"&lt;&gt;")&gt;0,"ok","à faire")</f>
        <v/>
      </c>
      <c r="I1334" s="30">
        <f>IF(COUNTIF(Synonymes!$A:$A,$A1334)&gt;0,"ok","")</f>
        <v/>
      </c>
      <c r="J1334" s="30">
        <f>COUNTIF(E1334:H1334,"à faire")</f>
        <v/>
      </c>
    </row>
    <row r="1335">
      <c r="A1335" s="30" t="inlineStr">
        <is>
          <t>v_sortir</t>
        </is>
      </c>
      <c r="B1335" s="30">
        <f>IFERROR(INDEX(Mots!$B:$B,MATCH($A1335,Mots!$A:$A,0)),"introuvable")</f>
        <v/>
      </c>
      <c r="C1335" s="30">
        <f>IFERROR(INDEX(Mots!$S:$S,MATCH($A1335,Mots!$A:$A,0)),"")</f>
        <v/>
      </c>
      <c r="D1335" s="30">
        <f>IFERROR(COUNTA(INDEX(Mots!$J:$J,MATCH($A1335,Mots!$A:$A,0)):INDEX(Mots!$P:$P,MATCH($A1335,Mots!$A:$A,0))),0)</f>
        <v/>
      </c>
      <c r="E1335" s="30">
        <f>IF(COUNTIF(Classement!$A:$A,$A1335)&gt;0,"ok","à faire")</f>
        <v/>
      </c>
      <c r="F1335" s="30">
        <f>IF(COUNTIF(Tags!$A:$A,$A1335)&gt;0,"ok","à faire")</f>
        <v/>
      </c>
      <c r="G1335" s="30">
        <f>IF(COUNTIF(Phrases!$A:$A,$A1335)&gt;0,"ok","à faire")</f>
        <v/>
      </c>
      <c r="H1335" s="30">
        <f>IF(COUNTIFS(Phrases!$A:$A,$A1335,Phrases!$I:$I,"&lt;&gt;")&gt;0,"ok","à faire")</f>
        <v/>
      </c>
      <c r="I1335" s="30">
        <f>IF(COUNTIF(Synonymes!$A:$A,$A1335)&gt;0,"ok","")</f>
        <v/>
      </c>
      <c r="J1335" s="30">
        <f>COUNTIF(E1335:H1335,"à faire")</f>
        <v/>
      </c>
    </row>
    <row r="1336">
      <c r="A1336" s="30" t="inlineStr">
        <is>
          <t>soudain</t>
        </is>
      </c>
      <c r="B1336" s="30">
        <f>IFERROR(INDEX(Mots!$B:$B,MATCH($A1336,Mots!$A:$A,0)),"introuvable")</f>
        <v/>
      </c>
      <c r="C1336" s="30">
        <f>IFERROR(INDEX(Mots!$S:$S,MATCH($A1336,Mots!$A:$A,0)),"")</f>
        <v/>
      </c>
      <c r="D1336" s="30">
        <f>IFERROR(COUNTA(INDEX(Mots!$J:$J,MATCH($A1336,Mots!$A:$A,0)):INDEX(Mots!$P:$P,MATCH($A1336,Mots!$A:$A,0))),0)</f>
        <v/>
      </c>
      <c r="E1336" s="30">
        <f>IF(COUNTIF(Classement!$A:$A,$A1336)&gt;0,"ok","à faire")</f>
        <v/>
      </c>
      <c r="F1336" s="30">
        <f>IF(COUNTIF(Tags!$A:$A,$A1336)&gt;0,"ok","à faire")</f>
        <v/>
      </c>
      <c r="G1336" s="30">
        <f>IF(COUNTIF(Phrases!$A:$A,$A1336)&gt;0,"ok","à faire")</f>
        <v/>
      </c>
      <c r="H1336" s="30">
        <f>IF(COUNTIFS(Phrases!$A:$A,$A1336,Phrases!$I:$I,"&lt;&gt;")&gt;0,"ok","à faire")</f>
        <v/>
      </c>
      <c r="I1336" s="30">
        <f>IF(COUNTIF(Synonymes!$A:$A,$A1336)&gt;0,"ok","")</f>
        <v/>
      </c>
      <c r="J1336" s="30">
        <f>COUNTIF(E1336:H1336,"à faire")</f>
        <v/>
      </c>
    </row>
    <row r="1337">
      <c r="A1337" s="30" t="inlineStr">
        <is>
          <t>souple</t>
        </is>
      </c>
      <c r="B1337" s="30">
        <f>IFERROR(INDEX(Mots!$B:$B,MATCH($A1337,Mots!$A:$A,0)),"introuvable")</f>
        <v/>
      </c>
      <c r="C1337" s="30">
        <f>IFERROR(INDEX(Mots!$S:$S,MATCH($A1337,Mots!$A:$A,0)),"")</f>
        <v/>
      </c>
      <c r="D1337" s="30">
        <f>IFERROR(COUNTA(INDEX(Mots!$J:$J,MATCH($A1337,Mots!$A:$A,0)):INDEX(Mots!$P:$P,MATCH($A1337,Mots!$A:$A,0))),0)</f>
        <v/>
      </c>
      <c r="E1337" s="30">
        <f>IF(COUNTIF(Classement!$A:$A,$A1337)&gt;0,"ok","à faire")</f>
        <v/>
      </c>
      <c r="F1337" s="30">
        <f>IF(COUNTIF(Tags!$A:$A,$A1337)&gt;0,"ok","à faire")</f>
        <v/>
      </c>
      <c r="G1337" s="30">
        <f>IF(COUNTIF(Phrases!$A:$A,$A1337)&gt;0,"ok","à faire")</f>
        <v/>
      </c>
      <c r="H1337" s="30">
        <f>IF(COUNTIFS(Phrases!$A:$A,$A1337,Phrases!$I:$I,"&lt;&gt;")&gt;0,"ok","à faire")</f>
        <v/>
      </c>
      <c r="I1337" s="30">
        <f>IF(COUNTIF(Synonymes!$A:$A,$A1337)&gt;0,"ok","")</f>
        <v/>
      </c>
      <c r="J1337" s="30">
        <f>COUNTIF(E1337:H1337,"à faire")</f>
        <v/>
      </c>
    </row>
    <row r="1338">
      <c r="A1338" s="30" t="inlineStr">
        <is>
          <t>stéphanie_g</t>
        </is>
      </c>
      <c r="B1338" s="30">
        <f>IFERROR(INDEX(Mots!$B:$B,MATCH($A1338,Mots!$A:$A,0)),"introuvable")</f>
        <v/>
      </c>
      <c r="C1338" s="30">
        <f>IFERROR(INDEX(Mots!$S:$S,MATCH($A1338,Mots!$A:$A,0)),"")</f>
        <v/>
      </c>
      <c r="D1338" s="30">
        <f>IFERROR(COUNTA(INDEX(Mots!$J:$J,MATCH($A1338,Mots!$A:$A,0)):INDEX(Mots!$P:$P,MATCH($A1338,Mots!$A:$A,0))),0)</f>
        <v/>
      </c>
      <c r="E1338" s="30">
        <f>IF(COUNTIF(Classement!$A:$A,$A1338)&gt;0,"ok","à faire")</f>
        <v/>
      </c>
      <c r="F1338" s="30">
        <f>IF(COUNTIF(Tags!$A:$A,$A1338)&gt;0,"ok","à faire")</f>
        <v/>
      </c>
      <c r="G1338" s="30">
        <f>IF(COUNTIF(Phrases!$A:$A,$A1338)&gt;0,"ok","à faire")</f>
        <v/>
      </c>
      <c r="H1338" s="30">
        <f>IF(COUNTIFS(Phrases!$A:$A,$A1338,Phrases!$I:$I,"&lt;&gt;")&gt;0,"ok","à faire")</f>
        <v/>
      </c>
      <c r="I1338" s="30">
        <f>IF(COUNTIF(Synonymes!$A:$A,$A1338)&gt;0,"ok","")</f>
        <v/>
      </c>
      <c r="J1338" s="30">
        <f>COUNTIF(E1338:H1338,"à faire")</f>
        <v/>
      </c>
    </row>
    <row r="1339">
      <c r="A1339" s="30" t="inlineStr">
        <is>
          <t>v_supplier</t>
        </is>
      </c>
      <c r="B1339" s="30">
        <f>IFERROR(INDEX(Mots!$B:$B,MATCH($A1339,Mots!$A:$A,0)),"introuvable")</f>
        <v/>
      </c>
      <c r="C1339" s="30">
        <f>IFERROR(INDEX(Mots!$S:$S,MATCH($A1339,Mots!$A:$A,0)),"")</f>
        <v/>
      </c>
      <c r="D1339" s="30">
        <f>IFERROR(COUNTA(INDEX(Mots!$J:$J,MATCH($A1339,Mots!$A:$A,0)):INDEX(Mots!$P:$P,MATCH($A1339,Mots!$A:$A,0))),0)</f>
        <v/>
      </c>
      <c r="E1339" s="30">
        <f>IF(COUNTIF(Classement!$A:$A,$A1339)&gt;0,"ok","à faire")</f>
        <v/>
      </c>
      <c r="F1339" s="30">
        <f>IF(COUNTIF(Tags!$A:$A,$A1339)&gt;0,"ok","à faire")</f>
        <v/>
      </c>
      <c r="G1339" s="30">
        <f>IF(COUNTIF(Phrases!$A:$A,$A1339)&gt;0,"ok","à faire")</f>
        <v/>
      </c>
      <c r="H1339" s="30">
        <f>IF(COUNTIFS(Phrases!$A:$A,$A1339,Phrases!$I:$I,"&lt;&gt;")&gt;0,"ok","à faire")</f>
        <v/>
      </c>
      <c r="I1339" s="30">
        <f>IF(COUNTIF(Synonymes!$A:$A,$A1339)&gt;0,"ok","")</f>
        <v/>
      </c>
      <c r="J1339" s="30">
        <f>COUNTIF(E1339:H1339,"à faire")</f>
        <v/>
      </c>
    </row>
    <row r="1340">
      <c r="A1340" s="30" t="inlineStr">
        <is>
          <t>surtout</t>
        </is>
      </c>
      <c r="B1340" s="30">
        <f>IFERROR(INDEX(Mots!$B:$B,MATCH($A1340,Mots!$A:$A,0)),"introuvable")</f>
        <v/>
      </c>
      <c r="C1340" s="30">
        <f>IFERROR(INDEX(Mots!$S:$S,MATCH($A1340,Mots!$A:$A,0)),"")</f>
        <v/>
      </c>
      <c r="D1340" s="30">
        <f>IFERROR(COUNTA(INDEX(Mots!$J:$J,MATCH($A1340,Mots!$A:$A,0)):INDEX(Mots!$P:$P,MATCH($A1340,Mots!$A:$A,0))),0)</f>
        <v/>
      </c>
      <c r="E1340" s="30">
        <f>IF(COUNTIF(Classement!$A:$A,$A1340)&gt;0,"ok","à faire")</f>
        <v/>
      </c>
      <c r="F1340" s="30">
        <f>IF(COUNTIF(Tags!$A:$A,$A1340)&gt;0,"ok","à faire")</f>
        <v/>
      </c>
      <c r="G1340" s="30">
        <f>IF(COUNTIF(Phrases!$A:$A,$A1340)&gt;0,"ok","à faire")</f>
        <v/>
      </c>
      <c r="H1340" s="30">
        <f>IF(COUNTIFS(Phrases!$A:$A,$A1340,Phrases!$I:$I,"&lt;&gt;")&gt;0,"ok","à faire")</f>
        <v/>
      </c>
      <c r="I1340" s="30">
        <f>IF(COUNTIF(Synonymes!$A:$A,$A1340)&gt;0,"ok","")</f>
        <v/>
      </c>
      <c r="J1340" s="30">
        <f>COUNTIF(E1340:H1340,"à faire")</f>
        <v/>
      </c>
    </row>
    <row r="1341">
      <c r="A1341" s="30" t="inlineStr">
        <is>
          <t>v_tenir</t>
        </is>
      </c>
      <c r="B1341" s="30">
        <f>IFERROR(INDEX(Mots!$B:$B,MATCH($A1341,Mots!$A:$A,0)),"introuvable")</f>
        <v/>
      </c>
      <c r="C1341" s="30">
        <f>IFERROR(INDEX(Mots!$S:$S,MATCH($A1341,Mots!$A:$A,0)),"")</f>
        <v/>
      </c>
      <c r="D1341" s="30">
        <f>IFERROR(COUNTA(INDEX(Mots!$J:$J,MATCH($A1341,Mots!$A:$A,0)):INDEX(Mots!$P:$P,MATCH($A1341,Mots!$A:$A,0))),0)</f>
        <v/>
      </c>
      <c r="E1341" s="30">
        <f>IF(COUNTIF(Classement!$A:$A,$A1341)&gt;0,"ok","à faire")</f>
        <v/>
      </c>
      <c r="F1341" s="30">
        <f>IF(COUNTIF(Tags!$A:$A,$A1341)&gt;0,"ok","à faire")</f>
        <v/>
      </c>
      <c r="G1341" s="30">
        <f>IF(COUNTIF(Phrases!$A:$A,$A1341)&gt;0,"ok","à faire")</f>
        <v/>
      </c>
      <c r="H1341" s="30">
        <f>IF(COUNTIFS(Phrases!$A:$A,$A1341,Phrases!$I:$I,"&lt;&gt;")&gt;0,"ok","à faire")</f>
        <v/>
      </c>
      <c r="I1341" s="30">
        <f>IF(COUNTIF(Synonymes!$A:$A,$A1341)&gt;0,"ok","")</f>
        <v/>
      </c>
      <c r="J1341" s="30">
        <f>COUNTIF(E1341:H1341,"à faire")</f>
        <v/>
      </c>
    </row>
    <row r="1342">
      <c r="A1342" s="30" t="inlineStr">
        <is>
          <t>tiede</t>
        </is>
      </c>
      <c r="B1342" s="30">
        <f>IFERROR(INDEX(Mots!$B:$B,MATCH($A1342,Mots!$A:$A,0)),"introuvable")</f>
        <v/>
      </c>
      <c r="C1342" s="30">
        <f>IFERROR(INDEX(Mots!$S:$S,MATCH($A1342,Mots!$A:$A,0)),"")</f>
        <v/>
      </c>
      <c r="D1342" s="30">
        <f>IFERROR(COUNTA(INDEX(Mots!$J:$J,MATCH($A1342,Mots!$A:$A,0)):INDEX(Mots!$P:$P,MATCH($A1342,Mots!$A:$A,0))),0)</f>
        <v/>
      </c>
      <c r="E1342" s="30">
        <f>IF(COUNTIF(Classement!$A:$A,$A1342)&gt;0,"ok","à faire")</f>
        <v/>
      </c>
      <c r="F1342" s="30">
        <f>IF(COUNTIF(Tags!$A:$A,$A1342)&gt;0,"ok","à faire")</f>
        <v/>
      </c>
      <c r="G1342" s="30">
        <f>IF(COUNTIF(Phrases!$A:$A,$A1342)&gt;0,"ok","à faire")</f>
        <v/>
      </c>
      <c r="H1342" s="30">
        <f>IF(COUNTIFS(Phrases!$A:$A,$A1342,Phrases!$I:$I,"&lt;&gt;")&gt;0,"ok","à faire")</f>
        <v/>
      </c>
      <c r="I1342" s="30">
        <f>IF(COUNTIF(Synonymes!$A:$A,$A1342)&gt;0,"ok","")</f>
        <v/>
      </c>
      <c r="J1342" s="30">
        <f>COUNTIF(E1342:H1342,"à faire")</f>
        <v/>
      </c>
    </row>
    <row r="1343">
      <c r="A1343" s="30" t="inlineStr">
        <is>
          <t>v_tirer</t>
        </is>
      </c>
      <c r="B1343" s="30">
        <f>IFERROR(INDEX(Mots!$B:$B,MATCH($A1343,Mots!$A:$A,0)),"introuvable")</f>
        <v/>
      </c>
      <c r="C1343" s="30">
        <f>IFERROR(INDEX(Mots!$S:$S,MATCH($A1343,Mots!$A:$A,0)),"")</f>
        <v/>
      </c>
      <c r="D1343" s="30">
        <f>IFERROR(COUNTA(INDEX(Mots!$J:$J,MATCH($A1343,Mots!$A:$A,0)):INDEX(Mots!$P:$P,MATCH($A1343,Mots!$A:$A,0))),0)</f>
        <v/>
      </c>
      <c r="E1343" s="30">
        <f>IF(COUNTIF(Classement!$A:$A,$A1343)&gt;0,"ok","à faire")</f>
        <v/>
      </c>
      <c r="F1343" s="30">
        <f>IF(COUNTIF(Tags!$A:$A,$A1343)&gt;0,"ok","à faire")</f>
        <v/>
      </c>
      <c r="G1343" s="30">
        <f>IF(COUNTIF(Phrases!$A:$A,$A1343)&gt;0,"ok","à faire")</f>
        <v/>
      </c>
      <c r="H1343" s="30">
        <f>IF(COUNTIFS(Phrases!$A:$A,$A1343,Phrases!$I:$I,"&lt;&gt;")&gt;0,"ok","à faire")</f>
        <v/>
      </c>
      <c r="I1343" s="30">
        <f>IF(COUNTIF(Synonymes!$A:$A,$A1343)&gt;0,"ok","")</f>
        <v/>
      </c>
      <c r="J1343" s="30">
        <f>COUNTIF(E1343:H1343,"à faire")</f>
        <v/>
      </c>
    </row>
    <row r="1344">
      <c r="A1344" s="30" t="inlineStr">
        <is>
          <t>v_tomber</t>
        </is>
      </c>
      <c r="B1344" s="30">
        <f>IFERROR(INDEX(Mots!$B:$B,MATCH($A1344,Mots!$A:$A,0)),"introuvable")</f>
        <v/>
      </c>
      <c r="C1344" s="30">
        <f>IFERROR(INDEX(Mots!$S:$S,MATCH($A1344,Mots!$A:$A,0)),"")</f>
        <v/>
      </c>
      <c r="D1344" s="30">
        <f>IFERROR(COUNTA(INDEX(Mots!$J:$J,MATCH($A1344,Mots!$A:$A,0)):INDEX(Mots!$P:$P,MATCH($A1344,Mots!$A:$A,0))),0)</f>
        <v/>
      </c>
      <c r="E1344" s="30">
        <f>IF(COUNTIF(Classement!$A:$A,$A1344)&gt;0,"ok","à faire")</f>
        <v/>
      </c>
      <c r="F1344" s="30">
        <f>IF(COUNTIF(Tags!$A:$A,$A1344)&gt;0,"ok","à faire")</f>
        <v/>
      </c>
      <c r="G1344" s="30">
        <f>IF(COUNTIF(Phrases!$A:$A,$A1344)&gt;0,"ok","à faire")</f>
        <v/>
      </c>
      <c r="H1344" s="30">
        <f>IF(COUNTIFS(Phrases!$A:$A,$A1344,Phrases!$I:$I,"&lt;&gt;")&gt;0,"ok","à faire")</f>
        <v/>
      </c>
      <c r="I1344" s="30">
        <f>IF(COUNTIF(Synonymes!$A:$A,$A1344)&gt;0,"ok","")</f>
        <v/>
      </c>
      <c r="J1344" s="30">
        <f>COUNTIF(E1344:H1344,"à faire")</f>
        <v/>
      </c>
    </row>
    <row r="1345">
      <c r="A1345" s="30" t="inlineStr">
        <is>
          <t>v_toucher</t>
        </is>
      </c>
      <c r="B1345" s="30">
        <f>IFERROR(INDEX(Mots!$B:$B,MATCH($A1345,Mots!$A:$A,0)),"introuvable")</f>
        <v/>
      </c>
      <c r="C1345" s="30">
        <f>IFERROR(INDEX(Mots!$S:$S,MATCH($A1345,Mots!$A:$A,0)),"")</f>
        <v/>
      </c>
      <c r="D1345" s="30">
        <f>IFERROR(COUNTA(INDEX(Mots!$J:$J,MATCH($A1345,Mots!$A:$A,0)):INDEX(Mots!$P:$P,MATCH($A1345,Mots!$A:$A,0))),0)</f>
        <v/>
      </c>
      <c r="E1345" s="30">
        <f>IF(COUNTIF(Classement!$A:$A,$A1345)&gt;0,"ok","à faire")</f>
        <v/>
      </c>
      <c r="F1345" s="30">
        <f>IF(COUNTIF(Tags!$A:$A,$A1345)&gt;0,"ok","à faire")</f>
        <v/>
      </c>
      <c r="G1345" s="30">
        <f>IF(COUNTIF(Phrases!$A:$A,$A1345)&gt;0,"ok","à faire")</f>
        <v/>
      </c>
      <c r="H1345" s="30">
        <f>IF(COUNTIFS(Phrases!$A:$A,$A1345,Phrases!$I:$I,"&lt;&gt;")&gt;0,"ok","à faire")</f>
        <v/>
      </c>
      <c r="I1345" s="30">
        <f>IF(COUNTIF(Synonymes!$A:$A,$A1345)&gt;0,"ok","")</f>
        <v/>
      </c>
      <c r="J1345" s="30">
        <f>COUNTIF(E1345:H1345,"à faire")</f>
        <v/>
      </c>
    </row>
    <row r="1346">
      <c r="A1346" s="30" t="inlineStr">
        <is>
          <t>a_touffu</t>
        </is>
      </c>
      <c r="B1346" s="30">
        <f>IFERROR(INDEX(Mots!$B:$B,MATCH($A1346,Mots!$A:$A,0)),"introuvable")</f>
        <v/>
      </c>
      <c r="C1346" s="30">
        <f>IFERROR(INDEX(Mots!$S:$S,MATCH($A1346,Mots!$A:$A,0)),"")</f>
        <v/>
      </c>
      <c r="D1346" s="30">
        <f>IFERROR(COUNTA(INDEX(Mots!$J:$J,MATCH($A1346,Mots!$A:$A,0)):INDEX(Mots!$P:$P,MATCH($A1346,Mots!$A:$A,0))),0)</f>
        <v/>
      </c>
      <c r="E1346" s="30">
        <f>IF(COUNTIF(Classement!$A:$A,$A1346)&gt;0,"ok","à faire")</f>
        <v/>
      </c>
      <c r="F1346" s="30">
        <f>IF(COUNTIF(Tags!$A:$A,$A1346)&gt;0,"ok","à faire")</f>
        <v/>
      </c>
      <c r="G1346" s="30">
        <f>IF(COUNTIF(Phrases!$A:$A,$A1346)&gt;0,"ok","à faire")</f>
        <v/>
      </c>
      <c r="H1346" s="30">
        <f>IF(COUNTIFS(Phrases!$A:$A,$A1346,Phrases!$I:$I,"&lt;&gt;")&gt;0,"ok","à faire")</f>
        <v/>
      </c>
      <c r="I1346" s="30">
        <f>IF(COUNTIF(Synonymes!$A:$A,$A1346)&gt;0,"ok","")</f>
        <v/>
      </c>
      <c r="J1346" s="30">
        <f>COUNTIF(E1346:H1346,"à faire")</f>
        <v/>
      </c>
    </row>
    <row r="1347">
      <c r="A1347" s="30" t="inlineStr">
        <is>
          <t>tranquille</t>
        </is>
      </c>
      <c r="B1347" s="30">
        <f>IFERROR(INDEX(Mots!$B:$B,MATCH($A1347,Mots!$A:$A,0)),"introuvable")</f>
        <v/>
      </c>
      <c r="C1347" s="30">
        <f>IFERROR(INDEX(Mots!$S:$S,MATCH($A1347,Mots!$A:$A,0)),"")</f>
        <v/>
      </c>
      <c r="D1347" s="30">
        <f>IFERROR(COUNTA(INDEX(Mots!$J:$J,MATCH($A1347,Mots!$A:$A,0)):INDEX(Mots!$P:$P,MATCH($A1347,Mots!$A:$A,0))),0)</f>
        <v/>
      </c>
      <c r="E1347" s="30">
        <f>IF(COUNTIF(Classement!$A:$A,$A1347)&gt;0,"ok","à faire")</f>
        <v/>
      </c>
      <c r="F1347" s="30">
        <f>IF(COUNTIF(Tags!$A:$A,$A1347)&gt;0,"ok","à faire")</f>
        <v/>
      </c>
      <c r="G1347" s="30">
        <f>IF(COUNTIF(Phrases!$A:$A,$A1347)&gt;0,"ok","à faire")</f>
        <v/>
      </c>
      <c r="H1347" s="30">
        <f>IF(COUNTIFS(Phrases!$A:$A,$A1347,Phrases!$I:$I,"&lt;&gt;")&gt;0,"ok","à faire")</f>
        <v/>
      </c>
      <c r="I1347" s="30">
        <f>IF(COUNTIF(Synonymes!$A:$A,$A1347)&gt;0,"ok","")</f>
        <v/>
      </c>
      <c r="J1347" s="30">
        <f>COUNTIF(E1347:H1347,"à faire")</f>
        <v/>
      </c>
    </row>
    <row r="1348">
      <c r="A1348" s="30" t="inlineStr">
        <is>
          <t>transparent</t>
        </is>
      </c>
      <c r="B1348" s="30">
        <f>IFERROR(INDEX(Mots!$B:$B,MATCH($A1348,Mots!$A:$A,0)),"introuvable")</f>
        <v/>
      </c>
      <c r="C1348" s="30">
        <f>IFERROR(INDEX(Mots!$S:$S,MATCH($A1348,Mots!$A:$A,0)),"")</f>
        <v/>
      </c>
      <c r="D1348" s="30">
        <f>IFERROR(COUNTA(INDEX(Mots!$J:$J,MATCH($A1348,Mots!$A:$A,0)):INDEX(Mots!$P:$P,MATCH($A1348,Mots!$A:$A,0))),0)</f>
        <v/>
      </c>
      <c r="E1348" s="30">
        <f>IF(COUNTIF(Classement!$A:$A,$A1348)&gt;0,"ok","à faire")</f>
        <v/>
      </c>
      <c r="F1348" s="30">
        <f>IF(COUNTIF(Tags!$A:$A,$A1348)&gt;0,"ok","à faire")</f>
        <v/>
      </c>
      <c r="G1348" s="30">
        <f>IF(COUNTIF(Phrases!$A:$A,$A1348)&gt;0,"ok","à faire")</f>
        <v/>
      </c>
      <c r="H1348" s="30">
        <f>IF(COUNTIFS(Phrases!$A:$A,$A1348,Phrases!$I:$I,"&lt;&gt;")&gt;0,"ok","à faire")</f>
        <v/>
      </c>
      <c r="I1348" s="30">
        <f>IF(COUNTIF(Synonymes!$A:$A,$A1348)&gt;0,"ok","")</f>
        <v/>
      </c>
      <c r="J1348" s="30">
        <f>COUNTIF(E1348:H1348,"à faire")</f>
        <v/>
      </c>
    </row>
    <row r="1349">
      <c r="A1349" s="30" t="inlineStr">
        <is>
          <t>v_travailler</t>
        </is>
      </c>
      <c r="B1349" s="30">
        <f>IFERROR(INDEX(Mots!$B:$B,MATCH($A1349,Mots!$A:$A,0)),"introuvable")</f>
        <v/>
      </c>
      <c r="C1349" s="30">
        <f>IFERROR(INDEX(Mots!$S:$S,MATCH($A1349,Mots!$A:$A,0)),"")</f>
        <v/>
      </c>
      <c r="D1349" s="30">
        <f>IFERROR(COUNTA(INDEX(Mots!$J:$J,MATCH($A1349,Mots!$A:$A,0)):INDEX(Mots!$P:$P,MATCH($A1349,Mots!$A:$A,0))),0)</f>
        <v/>
      </c>
      <c r="E1349" s="30">
        <f>IF(COUNTIF(Classement!$A:$A,$A1349)&gt;0,"ok","à faire")</f>
        <v/>
      </c>
      <c r="F1349" s="30">
        <f>IF(COUNTIF(Tags!$A:$A,$A1349)&gt;0,"ok","à faire")</f>
        <v/>
      </c>
      <c r="G1349" s="30">
        <f>IF(COUNTIF(Phrases!$A:$A,$A1349)&gt;0,"ok","à faire")</f>
        <v/>
      </c>
      <c r="H1349" s="30">
        <f>IF(COUNTIFS(Phrases!$A:$A,$A1349,Phrases!$I:$I,"&lt;&gt;")&gt;0,"ok","à faire")</f>
        <v/>
      </c>
      <c r="I1349" s="30">
        <f>IF(COUNTIF(Synonymes!$A:$A,$A1349)&gt;0,"ok","")</f>
        <v/>
      </c>
      <c r="J1349" s="30">
        <f>COUNTIF(E1349:H1349,"à faire")</f>
        <v/>
      </c>
    </row>
    <row r="1350">
      <c r="A1350" s="30" t="inlineStr">
        <is>
          <t>tres</t>
        </is>
      </c>
      <c r="B1350" s="30">
        <f>IFERROR(INDEX(Mots!$B:$B,MATCH($A1350,Mots!$A:$A,0)),"introuvable")</f>
        <v/>
      </c>
      <c r="C1350" s="30">
        <f>IFERROR(INDEX(Mots!$S:$S,MATCH($A1350,Mots!$A:$A,0)),"")</f>
        <v/>
      </c>
      <c r="D1350" s="30">
        <f>IFERROR(COUNTA(INDEX(Mots!$J:$J,MATCH($A1350,Mots!$A:$A,0)):INDEX(Mots!$P:$P,MATCH($A1350,Mots!$A:$A,0))),0)</f>
        <v/>
      </c>
      <c r="E1350" s="30">
        <f>IF(COUNTIF(Classement!$A:$A,$A1350)&gt;0,"ok","à faire")</f>
        <v/>
      </c>
      <c r="F1350" s="30">
        <f>IF(COUNTIF(Tags!$A:$A,$A1350)&gt;0,"ok","à faire")</f>
        <v/>
      </c>
      <c r="G1350" s="30">
        <f>IF(COUNTIF(Phrases!$A:$A,$A1350)&gt;0,"ok","à faire")</f>
        <v/>
      </c>
      <c r="H1350" s="30">
        <f>IF(COUNTIFS(Phrases!$A:$A,$A1350,Phrases!$I:$I,"&lt;&gt;")&gt;0,"ok","à faire")</f>
        <v/>
      </c>
      <c r="I1350" s="30">
        <f>IF(COUNTIF(Synonymes!$A:$A,$A1350)&gt;0,"ok","")</f>
        <v/>
      </c>
      <c r="J1350" s="30">
        <f>COUNTIF(E1350:H1350,"à faire")</f>
        <v/>
      </c>
    </row>
    <row r="1351">
      <c r="A1351" s="30" t="inlineStr">
        <is>
          <t>trop</t>
        </is>
      </c>
      <c r="B1351" s="30">
        <f>IFERROR(INDEX(Mots!$B:$B,MATCH($A1351,Mots!$A:$A,0)),"introuvable")</f>
        <v/>
      </c>
      <c r="C1351" s="30">
        <f>IFERROR(INDEX(Mots!$S:$S,MATCH($A1351,Mots!$A:$A,0)),"")</f>
        <v/>
      </c>
      <c r="D1351" s="30">
        <f>IFERROR(COUNTA(INDEX(Mots!$J:$J,MATCH($A1351,Mots!$A:$A,0)):INDEX(Mots!$P:$P,MATCH($A1351,Mots!$A:$A,0))),0)</f>
        <v/>
      </c>
      <c r="E1351" s="30">
        <f>IF(COUNTIF(Classement!$A:$A,$A1351)&gt;0,"ok","à faire")</f>
        <v/>
      </c>
      <c r="F1351" s="30">
        <f>IF(COUNTIF(Tags!$A:$A,$A1351)&gt;0,"ok","à faire")</f>
        <v/>
      </c>
      <c r="G1351" s="30">
        <f>IF(COUNTIF(Phrases!$A:$A,$A1351)&gt;0,"ok","à faire")</f>
        <v/>
      </c>
      <c r="H1351" s="30">
        <f>IF(COUNTIFS(Phrases!$A:$A,$A1351,Phrases!$I:$I,"&lt;&gt;")&gt;0,"ok","à faire")</f>
        <v/>
      </c>
      <c r="I1351" s="30">
        <f>IF(COUNTIF(Synonymes!$A:$A,$A1351)&gt;0,"ok","")</f>
        <v/>
      </c>
      <c r="J1351" s="30">
        <f>COUNTIF(E1351:H1351,"à faire")</f>
        <v/>
      </c>
    </row>
    <row r="1352">
      <c r="A1352" s="30" t="inlineStr">
        <is>
          <t>v_trouver</t>
        </is>
      </c>
      <c r="B1352" s="30">
        <f>IFERROR(INDEX(Mots!$B:$B,MATCH($A1352,Mots!$A:$A,0)),"introuvable")</f>
        <v/>
      </c>
      <c r="C1352" s="30">
        <f>IFERROR(INDEX(Mots!$S:$S,MATCH($A1352,Mots!$A:$A,0)),"")</f>
        <v/>
      </c>
      <c r="D1352" s="30">
        <f>IFERROR(COUNTA(INDEX(Mots!$J:$J,MATCH($A1352,Mots!$A:$A,0)):INDEX(Mots!$P:$P,MATCH($A1352,Mots!$A:$A,0))),0)</f>
        <v/>
      </c>
      <c r="E1352" s="30">
        <f>IF(COUNTIF(Classement!$A:$A,$A1352)&gt;0,"ok","à faire")</f>
        <v/>
      </c>
      <c r="F1352" s="30">
        <f>IF(COUNTIF(Tags!$A:$A,$A1352)&gt;0,"ok","à faire")</f>
        <v/>
      </c>
      <c r="G1352" s="30">
        <f>IF(COUNTIF(Phrases!$A:$A,$A1352)&gt;0,"ok","à faire")</f>
        <v/>
      </c>
      <c r="H1352" s="30">
        <f>IF(COUNTIFS(Phrases!$A:$A,$A1352,Phrases!$I:$I,"&lt;&gt;")&gt;0,"ok","à faire")</f>
        <v/>
      </c>
      <c r="I1352" s="30">
        <f>IF(COUNTIF(Synonymes!$A:$A,$A1352)&gt;0,"ok","")</f>
        <v/>
      </c>
      <c r="J1352" s="30">
        <f>COUNTIF(E1352:H1352,"à faire")</f>
        <v/>
      </c>
    </row>
    <row r="1353">
      <c r="A1353" s="30" t="inlineStr">
        <is>
          <t>a_urgent</t>
        </is>
      </c>
      <c r="B1353" s="30">
        <f>IFERROR(INDEX(Mots!$B:$B,MATCH($A1353,Mots!$A:$A,0)),"introuvable")</f>
        <v/>
      </c>
      <c r="C1353" s="30">
        <f>IFERROR(INDEX(Mots!$S:$S,MATCH($A1353,Mots!$A:$A,0)),"")</f>
        <v/>
      </c>
      <c r="D1353" s="30">
        <f>IFERROR(COUNTA(INDEX(Mots!$J:$J,MATCH($A1353,Mots!$A:$A,0)):INDEX(Mots!$P:$P,MATCH($A1353,Mots!$A:$A,0))),0)</f>
        <v/>
      </c>
      <c r="E1353" s="30">
        <f>IF(COUNTIF(Classement!$A:$A,$A1353)&gt;0,"ok","à faire")</f>
        <v/>
      </c>
      <c r="F1353" s="30">
        <f>IF(COUNTIF(Tags!$A:$A,$A1353)&gt;0,"ok","à faire")</f>
        <v/>
      </c>
      <c r="G1353" s="30">
        <f>IF(COUNTIF(Phrases!$A:$A,$A1353)&gt;0,"ok","à faire")</f>
        <v/>
      </c>
      <c r="H1353" s="30">
        <f>IF(COUNTIFS(Phrases!$A:$A,$A1353,Phrases!$I:$I,"&lt;&gt;")&gt;0,"ok","à faire")</f>
        <v/>
      </c>
      <c r="I1353" s="30">
        <f>IF(COUNTIF(Synonymes!$A:$A,$A1353)&gt;0,"ok","")</f>
        <v/>
      </c>
      <c r="J1353" s="30">
        <f>COUNTIF(E1353:H1353,"à faire")</f>
        <v/>
      </c>
    </row>
    <row r="1354">
      <c r="A1354" s="30" t="inlineStr">
        <is>
          <t>a_utile</t>
        </is>
      </c>
      <c r="B1354" s="30">
        <f>IFERROR(INDEX(Mots!$B:$B,MATCH($A1354,Mots!$A:$A,0)),"introuvable")</f>
        <v/>
      </c>
      <c r="C1354" s="30">
        <f>IFERROR(INDEX(Mots!$S:$S,MATCH($A1354,Mots!$A:$A,0)),"")</f>
        <v/>
      </c>
      <c r="D1354" s="30">
        <f>IFERROR(COUNTA(INDEX(Mots!$J:$J,MATCH($A1354,Mots!$A:$A,0)):INDEX(Mots!$P:$P,MATCH($A1354,Mots!$A:$A,0))),0)</f>
        <v/>
      </c>
      <c r="E1354" s="30">
        <f>IF(COUNTIF(Classement!$A:$A,$A1354)&gt;0,"ok","à faire")</f>
        <v/>
      </c>
      <c r="F1354" s="30">
        <f>IF(COUNTIF(Tags!$A:$A,$A1354)&gt;0,"ok","à faire")</f>
        <v/>
      </c>
      <c r="G1354" s="30">
        <f>IF(COUNTIF(Phrases!$A:$A,$A1354)&gt;0,"ok","à faire")</f>
        <v/>
      </c>
      <c r="H1354" s="30">
        <f>IF(COUNTIFS(Phrases!$A:$A,$A1354,Phrases!$I:$I,"&lt;&gt;")&gt;0,"ok","à faire")</f>
        <v/>
      </c>
      <c r="I1354" s="30">
        <f>IF(COUNTIF(Synonymes!$A:$A,$A1354)&gt;0,"ok","")</f>
        <v/>
      </c>
      <c r="J1354" s="30">
        <f>COUNTIF(E1354:H1354,"à faire")</f>
        <v/>
      </c>
    </row>
    <row r="1355">
      <c r="A1355" s="30" t="inlineStr">
        <is>
          <t>veloute</t>
        </is>
      </c>
      <c r="B1355" s="30">
        <f>IFERROR(INDEX(Mots!$B:$B,MATCH($A1355,Mots!$A:$A,0)),"introuvable")</f>
        <v/>
      </c>
      <c r="C1355" s="30">
        <f>IFERROR(INDEX(Mots!$S:$S,MATCH($A1355,Mots!$A:$A,0)),"")</f>
        <v/>
      </c>
      <c r="D1355" s="30">
        <f>IFERROR(COUNTA(INDEX(Mots!$J:$J,MATCH($A1355,Mots!$A:$A,0)):INDEX(Mots!$P:$P,MATCH($A1355,Mots!$A:$A,0))),0)</f>
        <v/>
      </c>
      <c r="E1355" s="30">
        <f>IF(COUNTIF(Classement!$A:$A,$A1355)&gt;0,"ok","à faire")</f>
        <v/>
      </c>
      <c r="F1355" s="30">
        <f>IF(COUNTIF(Tags!$A:$A,$A1355)&gt;0,"ok","à faire")</f>
        <v/>
      </c>
      <c r="G1355" s="30">
        <f>IF(COUNTIF(Phrases!$A:$A,$A1355)&gt;0,"ok","à faire")</f>
        <v/>
      </c>
      <c r="H1355" s="30">
        <f>IF(COUNTIFS(Phrases!$A:$A,$A1355,Phrases!$I:$I,"&lt;&gt;")&gt;0,"ok","à faire")</f>
        <v/>
      </c>
      <c r="I1355" s="30">
        <f>IF(COUNTIF(Synonymes!$A:$A,$A1355)&gt;0,"ok","")</f>
        <v/>
      </c>
      <c r="J1355" s="30">
        <f>COUNTIF(E1355:H1355,"à faire")</f>
        <v/>
      </c>
    </row>
    <row r="1356">
      <c r="A1356" s="30" t="inlineStr">
        <is>
          <t>v_vendre</t>
        </is>
      </c>
      <c r="B1356" s="30">
        <f>IFERROR(INDEX(Mots!$B:$B,MATCH($A1356,Mots!$A:$A,0)),"introuvable")</f>
        <v/>
      </c>
      <c r="C1356" s="30">
        <f>IFERROR(INDEX(Mots!$S:$S,MATCH($A1356,Mots!$A:$A,0)),"")</f>
        <v/>
      </c>
      <c r="D1356" s="30">
        <f>IFERROR(COUNTA(INDEX(Mots!$J:$J,MATCH($A1356,Mots!$A:$A,0)):INDEX(Mots!$P:$P,MATCH($A1356,Mots!$A:$A,0))),0)</f>
        <v/>
      </c>
      <c r="E1356" s="30">
        <f>IF(COUNTIF(Classement!$A:$A,$A1356)&gt;0,"ok","à faire")</f>
        <v/>
      </c>
      <c r="F1356" s="30">
        <f>IF(COUNTIF(Tags!$A:$A,$A1356)&gt;0,"ok","à faire")</f>
        <v/>
      </c>
      <c r="G1356" s="30">
        <f>IF(COUNTIF(Phrases!$A:$A,$A1356)&gt;0,"ok","à faire")</f>
        <v/>
      </c>
      <c r="H1356" s="30">
        <f>IF(COUNTIFS(Phrases!$A:$A,$A1356,Phrases!$I:$I,"&lt;&gt;")&gt;0,"ok","à faire")</f>
        <v/>
      </c>
      <c r="I1356" s="30">
        <f>IF(COUNTIF(Synonymes!$A:$A,$A1356)&gt;0,"ok","")</f>
        <v/>
      </c>
      <c r="J1356" s="30">
        <f>COUNTIF(E1356:H1356,"à faire")</f>
        <v/>
      </c>
    </row>
    <row r="1357">
      <c r="A1357" s="30" t="inlineStr">
        <is>
          <t>v_venir</t>
        </is>
      </c>
      <c r="B1357" s="30">
        <f>IFERROR(INDEX(Mots!$B:$B,MATCH($A1357,Mots!$A:$A,0)),"introuvable")</f>
        <v/>
      </c>
      <c r="C1357" s="30">
        <f>IFERROR(INDEX(Mots!$S:$S,MATCH($A1357,Mots!$A:$A,0)),"")</f>
        <v/>
      </c>
      <c r="D1357" s="30">
        <f>IFERROR(COUNTA(INDEX(Mots!$J:$J,MATCH($A1357,Mots!$A:$A,0)):INDEX(Mots!$P:$P,MATCH($A1357,Mots!$A:$A,0))),0)</f>
        <v/>
      </c>
      <c r="E1357" s="30">
        <f>IF(COUNTIF(Classement!$A:$A,$A1357)&gt;0,"ok","à faire")</f>
        <v/>
      </c>
      <c r="F1357" s="30">
        <f>IF(COUNTIF(Tags!$A:$A,$A1357)&gt;0,"ok","à faire")</f>
        <v/>
      </c>
      <c r="G1357" s="30">
        <f>IF(COUNTIF(Phrases!$A:$A,$A1357)&gt;0,"ok","à faire")</f>
        <v/>
      </c>
      <c r="H1357" s="30">
        <f>IF(COUNTIFS(Phrases!$A:$A,$A1357,Phrases!$I:$I,"&lt;&gt;")&gt;0,"ok","à faire")</f>
        <v/>
      </c>
      <c r="I1357" s="30">
        <f>IF(COUNTIF(Synonymes!$A:$A,$A1357)&gt;0,"ok","")</f>
        <v/>
      </c>
      <c r="J1357" s="30">
        <f>COUNTIF(E1357:H1357,"à faire")</f>
        <v/>
      </c>
    </row>
    <row r="1358">
      <c r="A1358" s="30" t="inlineStr">
        <is>
          <t>a_vif</t>
        </is>
      </c>
      <c r="B1358" s="30">
        <f>IFERROR(INDEX(Mots!$B:$B,MATCH($A1358,Mots!$A:$A,0)),"introuvable")</f>
        <v/>
      </c>
      <c r="C1358" s="30">
        <f>IFERROR(INDEX(Mots!$S:$S,MATCH($A1358,Mots!$A:$A,0)),"")</f>
        <v/>
      </c>
      <c r="D1358" s="30">
        <f>IFERROR(COUNTA(INDEX(Mots!$J:$J,MATCH($A1358,Mots!$A:$A,0)):INDEX(Mots!$P:$P,MATCH($A1358,Mots!$A:$A,0))),0)</f>
        <v/>
      </c>
      <c r="E1358" s="30">
        <f>IF(COUNTIF(Classement!$A:$A,$A1358)&gt;0,"ok","à faire")</f>
        <v/>
      </c>
      <c r="F1358" s="30">
        <f>IF(COUNTIF(Tags!$A:$A,$A1358)&gt;0,"ok","à faire")</f>
        <v/>
      </c>
      <c r="G1358" s="30">
        <f>IF(COUNTIF(Phrases!$A:$A,$A1358)&gt;0,"ok","à faire")</f>
        <v/>
      </c>
      <c r="H1358" s="30">
        <f>IF(COUNTIFS(Phrases!$A:$A,$A1358,Phrases!$I:$I,"&lt;&gt;")&gt;0,"ok","à faire")</f>
        <v/>
      </c>
      <c r="I1358" s="30">
        <f>IF(COUNTIF(Synonymes!$A:$A,$A1358)&gt;0,"ok","")</f>
        <v/>
      </c>
      <c r="J1358" s="30">
        <f>COUNTIF(E1358:H1358,"à faire")</f>
        <v/>
      </c>
    </row>
    <row r="1359">
      <c r="A1359" s="30" t="inlineStr">
        <is>
          <t>vite</t>
        </is>
      </c>
      <c r="B1359" s="30">
        <f>IFERROR(INDEX(Mots!$B:$B,MATCH($A1359,Mots!$A:$A,0)),"introuvable")</f>
        <v/>
      </c>
      <c r="C1359" s="30">
        <f>IFERROR(INDEX(Mots!$S:$S,MATCH($A1359,Mots!$A:$A,0)),"")</f>
        <v/>
      </c>
      <c r="D1359" s="30">
        <f>IFERROR(COUNTA(INDEX(Mots!$J:$J,MATCH($A1359,Mots!$A:$A,0)):INDEX(Mots!$P:$P,MATCH($A1359,Mots!$A:$A,0))),0)</f>
        <v/>
      </c>
      <c r="E1359" s="30">
        <f>IF(COUNTIF(Classement!$A:$A,$A1359)&gt;0,"ok","à faire")</f>
        <v/>
      </c>
      <c r="F1359" s="30">
        <f>IF(COUNTIF(Tags!$A:$A,$A1359)&gt;0,"ok","à faire")</f>
        <v/>
      </c>
      <c r="G1359" s="30">
        <f>IF(COUNTIF(Phrases!$A:$A,$A1359)&gt;0,"ok","à faire")</f>
        <v/>
      </c>
      <c r="H1359" s="30">
        <f>IF(COUNTIFS(Phrases!$A:$A,$A1359,Phrases!$I:$I,"&lt;&gt;")&gt;0,"ok","à faire")</f>
        <v/>
      </c>
      <c r="I1359" s="30">
        <f>IF(COUNTIF(Synonymes!$A:$A,$A1359)&gt;0,"ok","")</f>
        <v/>
      </c>
      <c r="J1359" s="30">
        <f>COUNTIF(E1359:H1359,"à faire")</f>
        <v/>
      </c>
    </row>
    <row r="1360">
      <c r="A1360" s="30" t="inlineStr">
        <is>
          <t>a_vitre</t>
        </is>
      </c>
      <c r="B1360" s="30">
        <f>IFERROR(INDEX(Mots!$B:$B,MATCH($A1360,Mots!$A:$A,0)),"introuvable")</f>
        <v/>
      </c>
      <c r="C1360" s="30">
        <f>IFERROR(INDEX(Mots!$S:$S,MATCH($A1360,Mots!$A:$A,0)),"")</f>
        <v/>
      </c>
      <c r="D1360" s="30">
        <f>IFERROR(COUNTA(INDEX(Mots!$J:$J,MATCH($A1360,Mots!$A:$A,0)):INDEX(Mots!$P:$P,MATCH($A1360,Mots!$A:$A,0))),0)</f>
        <v/>
      </c>
      <c r="E1360" s="30">
        <f>IF(COUNTIF(Classement!$A:$A,$A1360)&gt;0,"ok","à faire")</f>
        <v/>
      </c>
      <c r="F1360" s="30">
        <f>IF(COUNTIF(Tags!$A:$A,$A1360)&gt;0,"ok","à faire")</f>
        <v/>
      </c>
      <c r="G1360" s="30">
        <f>IF(COUNTIF(Phrases!$A:$A,$A1360)&gt;0,"ok","à faire")</f>
        <v/>
      </c>
      <c r="H1360" s="30">
        <f>IF(COUNTIFS(Phrases!$A:$A,$A1360,Phrases!$I:$I,"&lt;&gt;")&gt;0,"ok","à faire")</f>
        <v/>
      </c>
      <c r="I1360" s="30">
        <f>IF(COUNTIF(Synonymes!$A:$A,$A1360)&gt;0,"ok","")</f>
        <v/>
      </c>
      <c r="J1360" s="30">
        <f>COUNTIF(E1360:H1360,"à faire")</f>
        <v/>
      </c>
    </row>
    <row r="1361">
      <c r="A1361" s="30" t="inlineStr">
        <is>
          <t>vivant</t>
        </is>
      </c>
      <c r="B1361" s="30">
        <f>IFERROR(INDEX(Mots!$B:$B,MATCH($A1361,Mots!$A:$A,0)),"introuvable")</f>
        <v/>
      </c>
      <c r="C1361" s="30">
        <f>IFERROR(INDEX(Mots!$S:$S,MATCH($A1361,Mots!$A:$A,0)),"")</f>
        <v/>
      </c>
      <c r="D1361" s="30">
        <f>IFERROR(COUNTA(INDEX(Mots!$J:$J,MATCH($A1361,Mots!$A:$A,0)):INDEX(Mots!$P:$P,MATCH($A1361,Mots!$A:$A,0))),0)</f>
        <v/>
      </c>
      <c r="E1361" s="30">
        <f>IF(COUNTIF(Classement!$A:$A,$A1361)&gt;0,"ok","à faire")</f>
        <v/>
      </c>
      <c r="F1361" s="30">
        <f>IF(COUNTIF(Tags!$A:$A,$A1361)&gt;0,"ok","à faire")</f>
        <v/>
      </c>
      <c r="G1361" s="30">
        <f>IF(COUNTIF(Phrases!$A:$A,$A1361)&gt;0,"ok","à faire")</f>
        <v/>
      </c>
      <c r="H1361" s="30">
        <f>IF(COUNTIFS(Phrases!$A:$A,$A1361,Phrases!$I:$I,"&lt;&gt;")&gt;0,"ok","à faire")</f>
        <v/>
      </c>
      <c r="I1361" s="30">
        <f>IF(COUNTIF(Synonymes!$A:$A,$A1361)&gt;0,"ok","")</f>
        <v/>
      </c>
      <c r="J1361" s="30">
        <f>COUNTIF(E1361:H1361,"à faire")</f>
        <v/>
      </c>
    </row>
    <row r="1362">
      <c r="A1362" s="30" t="inlineStr">
        <is>
          <t>v_voir</t>
        </is>
      </c>
      <c r="B1362" s="30">
        <f>IFERROR(INDEX(Mots!$B:$B,MATCH($A1362,Mots!$A:$A,0)),"introuvable")</f>
        <v/>
      </c>
      <c r="C1362" s="30">
        <f>IFERROR(INDEX(Mots!$S:$S,MATCH($A1362,Mots!$A:$A,0)),"")</f>
        <v/>
      </c>
      <c r="D1362" s="30">
        <f>IFERROR(COUNTA(INDEX(Mots!$J:$J,MATCH($A1362,Mots!$A:$A,0)):INDEX(Mots!$P:$P,MATCH($A1362,Mots!$A:$A,0))),0)</f>
        <v/>
      </c>
      <c r="E1362" s="30">
        <f>IF(COUNTIF(Classement!$A:$A,$A1362)&gt;0,"ok","à faire")</f>
        <v/>
      </c>
      <c r="F1362" s="30">
        <f>IF(COUNTIF(Tags!$A:$A,$A1362)&gt;0,"ok","à faire")</f>
        <v/>
      </c>
      <c r="G1362" s="30">
        <f>IF(COUNTIF(Phrases!$A:$A,$A1362)&gt;0,"ok","à faire")</f>
        <v/>
      </c>
      <c r="H1362" s="30">
        <f>IF(COUNTIFS(Phrases!$A:$A,$A1362,Phrases!$I:$I,"&lt;&gt;")&gt;0,"ok","à faire")</f>
        <v/>
      </c>
      <c r="I1362" s="30">
        <f>IF(COUNTIF(Synonymes!$A:$A,$A1362)&gt;0,"ok","")</f>
        <v/>
      </c>
      <c r="J1362" s="30">
        <f>COUNTIF(E1362:H1362,"à faire")</f>
        <v/>
      </c>
    </row>
    <row r="1363">
      <c r="A1363" s="30" t="inlineStr">
        <is>
          <t>v_voler</t>
        </is>
      </c>
      <c r="B1363" s="30">
        <f>IFERROR(INDEX(Mots!$B:$B,MATCH($A1363,Mots!$A:$A,0)),"introuvable")</f>
        <v/>
      </c>
      <c r="C1363" s="30">
        <f>IFERROR(INDEX(Mots!$S:$S,MATCH($A1363,Mots!$A:$A,0)),"")</f>
        <v/>
      </c>
      <c r="D1363" s="30">
        <f>IFERROR(COUNTA(INDEX(Mots!$J:$J,MATCH($A1363,Mots!$A:$A,0)):INDEX(Mots!$P:$P,MATCH($A1363,Mots!$A:$A,0))),0)</f>
        <v/>
      </c>
      <c r="E1363" s="30">
        <f>IF(COUNTIF(Classement!$A:$A,$A1363)&gt;0,"ok","à faire")</f>
        <v/>
      </c>
      <c r="F1363" s="30">
        <f>IF(COUNTIF(Tags!$A:$A,$A1363)&gt;0,"ok","à faire")</f>
        <v/>
      </c>
      <c r="G1363" s="30">
        <f>IF(COUNTIF(Phrases!$A:$A,$A1363)&gt;0,"ok","à faire")</f>
        <v/>
      </c>
      <c r="H1363" s="30">
        <f>IF(COUNTIFS(Phrases!$A:$A,$A1363,Phrases!$I:$I,"&lt;&gt;")&gt;0,"ok","à faire")</f>
        <v/>
      </c>
      <c r="I1363" s="30">
        <f>IF(COUNTIF(Synonymes!$A:$A,$A1363)&gt;0,"ok","")</f>
        <v/>
      </c>
      <c r="J1363" s="30">
        <f>COUNTIF(E1363:H1363,"à faire")</f>
        <v/>
      </c>
    </row>
    <row r="1364">
      <c r="A1364" s="30" t="inlineStr">
        <is>
          <t>v_vouloir</t>
        </is>
      </c>
      <c r="B1364" s="30">
        <f>IFERROR(INDEX(Mots!$B:$B,MATCH($A1364,Mots!$A:$A,0)),"introuvable")</f>
        <v/>
      </c>
      <c r="C1364" s="30">
        <f>IFERROR(INDEX(Mots!$S:$S,MATCH($A1364,Mots!$A:$A,0)),"")</f>
        <v/>
      </c>
      <c r="D1364" s="30">
        <f>IFERROR(COUNTA(INDEX(Mots!$J:$J,MATCH($A1364,Mots!$A:$A,0)):INDEX(Mots!$P:$P,MATCH($A1364,Mots!$A:$A,0))),0)</f>
        <v/>
      </c>
      <c r="E1364" s="30">
        <f>IF(COUNTIF(Classement!$A:$A,$A1364)&gt;0,"ok","à faire")</f>
        <v/>
      </c>
      <c r="F1364" s="30">
        <f>IF(COUNTIF(Tags!$A:$A,$A1364)&gt;0,"ok","à faire")</f>
        <v/>
      </c>
      <c r="G1364" s="30">
        <f>IF(COUNTIF(Phrases!$A:$A,$A1364)&gt;0,"ok","à faire")</f>
        <v/>
      </c>
      <c r="H1364" s="30">
        <f>IF(COUNTIFS(Phrases!$A:$A,$A1364,Phrases!$I:$I,"&lt;&gt;")&gt;0,"ok","à faire")</f>
        <v/>
      </c>
      <c r="I1364" s="30">
        <f>IF(COUNTIF(Synonymes!$A:$A,$A1364)&gt;0,"ok","")</f>
        <v/>
      </c>
      <c r="J1364" s="30">
        <f>COUNTIF(E1364:H1364,"à faire")</f>
        <v/>
      </c>
    </row>
    <row r="1365">
      <c r="A1365" s="30" t="inlineStr">
        <is>
          <t>adv_vraiment</t>
        </is>
      </c>
      <c r="B1365" s="30">
        <f>IFERROR(INDEX(Mots!$B:$B,MATCH($A1365,Mots!$A:$A,0)),"introuvable")</f>
        <v/>
      </c>
      <c r="C1365" s="30">
        <f>IFERROR(INDEX(Mots!$S:$S,MATCH($A1365,Mots!$A:$A,0)),"")</f>
        <v/>
      </c>
      <c r="D1365" s="30">
        <f>IFERROR(COUNTA(INDEX(Mots!$J:$J,MATCH($A1365,Mots!$A:$A,0)):INDEX(Mots!$P:$P,MATCH($A1365,Mots!$A:$A,0))),0)</f>
        <v/>
      </c>
      <c r="E1365" s="30">
        <f>IF(COUNTIF(Classement!$A:$A,$A1365)&gt;0,"ok","à faire")</f>
        <v/>
      </c>
      <c r="F1365" s="30">
        <f>IF(COUNTIF(Tags!$A:$A,$A1365)&gt;0,"ok","à faire")</f>
        <v/>
      </c>
      <c r="G1365" s="30">
        <f>IF(COUNTIF(Phrases!$A:$A,$A1365)&gt;0,"ok","à faire")</f>
        <v/>
      </c>
      <c r="H1365" s="30">
        <f>IF(COUNTIFS(Phrases!$A:$A,$A1365,Phrases!$I:$I,"&lt;&gt;")&gt;0,"ok","à faire")</f>
        <v/>
      </c>
      <c r="I1365" s="30">
        <f>IF(COUNTIF(Synonymes!$A:$A,$A1365)&gt;0,"ok","")</f>
        <v/>
      </c>
      <c r="J1365" s="30">
        <f>COUNTIF(E1365:H1365,"à faire")</f>
        <v/>
      </c>
    </row>
    <row r="1366">
      <c r="A1366" s="30" t="inlineStr">
        <is>
          <t>zero</t>
        </is>
      </c>
      <c r="B1366" s="30">
        <f>IFERROR(INDEX(Mots!$B:$B,MATCH($A1366,Mots!$A:$A,0)),"introuvable")</f>
        <v/>
      </c>
      <c r="C1366" s="30">
        <f>IFERROR(INDEX(Mots!$S:$S,MATCH($A1366,Mots!$A:$A,0)),"")</f>
        <v/>
      </c>
      <c r="D1366" s="30">
        <f>IFERROR(COUNTA(INDEX(Mots!$J:$J,MATCH($A1366,Mots!$A:$A,0)):INDEX(Mots!$P:$P,MATCH($A1366,Mots!$A:$A,0))),0)</f>
        <v/>
      </c>
      <c r="E1366" s="30">
        <f>IF(COUNTIF(Classement!$A:$A,$A1366)&gt;0,"ok","à faire")</f>
        <v/>
      </c>
      <c r="F1366" s="30">
        <f>IF(COUNTIF(Tags!$A:$A,$A1366)&gt;0,"ok","à faire")</f>
        <v/>
      </c>
      <c r="G1366" s="30">
        <f>IF(COUNTIF(Phrases!$A:$A,$A1366)&gt;0,"ok","à faire")</f>
        <v/>
      </c>
      <c r="H1366" s="30">
        <f>IF(COUNTIFS(Phrases!$A:$A,$A1366,Phrases!$I:$I,"&lt;&gt;")&gt;0,"ok","à faire")</f>
        <v/>
      </c>
      <c r="I1366" s="30">
        <f>IF(COUNTIF(Synonymes!$A:$A,$A1366)&gt;0,"ok","")</f>
        <v/>
      </c>
      <c r="J1366" s="30">
        <f>COUNTIF(E1366:H1366,"à faire")</f>
        <v/>
      </c>
    </row>
    <row r="1367">
      <c r="A1367" s="30" t="inlineStr">
        <is>
          <t>yogurt</t>
        </is>
      </c>
      <c r="B1367" s="30">
        <f>IFERROR(INDEX(Mots!$B:$B,MATCH($A1367,Mots!$A:$A,0)),"introuvable")</f>
        <v/>
      </c>
      <c r="C1367" s="30">
        <f>IFERROR(INDEX(Mots!$S:$S,MATCH($A1367,Mots!$A:$A,0)),"")</f>
        <v/>
      </c>
      <c r="D1367" s="30">
        <f>IFERROR(COUNTA(INDEX(Mots!$J:$J,MATCH($A1367,Mots!$A:$A,0)):INDEX(Mots!$P:$P,MATCH($A1367,Mots!$A:$A,0))),0)</f>
        <v/>
      </c>
      <c r="E1367" s="30">
        <f>IF(COUNTIF(Classement!$A:$A,$A1367)&gt;0,"ok","à faire")</f>
        <v/>
      </c>
      <c r="F1367" s="30">
        <f>IF(COUNTIF(Tags!$A:$A,$A1367)&gt;0,"ok","à faire")</f>
        <v/>
      </c>
      <c r="G1367" s="30">
        <f>IF(COUNTIF(Phrases!$A:$A,$A1367)&gt;0,"ok","à faire")</f>
        <v/>
      </c>
      <c r="H1367" s="30">
        <f>IF(COUNTIFS(Phrases!$A:$A,$A1367,Phrases!$I:$I,"&lt;&gt;")&gt;0,"ok","à faire")</f>
        <v/>
      </c>
      <c r="I1367" s="30">
        <f>IF(COUNTIF(Synonymes!$A:$A,$A1367)&gt;0,"ok","")</f>
        <v/>
      </c>
      <c r="J1367" s="30">
        <f>COUNTIF(E1367:H1367,"à faire")</f>
        <v/>
      </c>
    </row>
    <row r="1368">
      <c r="A1368" s="30" t="inlineStr">
        <is>
          <t>vinaigre</t>
        </is>
      </c>
      <c r="B1368" s="30">
        <f>IFERROR(INDEX(Mots!$B:$B,MATCH($A1368,Mots!$A:$A,0)),"introuvable")</f>
        <v/>
      </c>
      <c r="C1368" s="30">
        <f>IFERROR(INDEX(Mots!$S:$S,MATCH($A1368,Mots!$A:$A,0)),"")</f>
        <v/>
      </c>
      <c r="D1368" s="30">
        <f>IFERROR(COUNTA(INDEX(Mots!$J:$J,MATCH($A1368,Mots!$A:$A,0)):INDEX(Mots!$P:$P,MATCH($A1368,Mots!$A:$A,0))),0)</f>
        <v/>
      </c>
      <c r="E1368" s="30">
        <f>IF(COUNTIF(Classement!$A:$A,$A1368)&gt;0,"ok","à faire")</f>
        <v/>
      </c>
      <c r="F1368" s="30">
        <f>IF(COUNTIF(Tags!$A:$A,$A1368)&gt;0,"ok","à faire")</f>
        <v/>
      </c>
      <c r="G1368" s="30">
        <f>IF(COUNTIF(Phrases!$A:$A,$A1368)&gt;0,"ok","à faire")</f>
        <v/>
      </c>
      <c r="H1368" s="30">
        <f>IF(COUNTIFS(Phrases!$A:$A,$A1368,Phrases!$I:$I,"&lt;&gt;")&gt;0,"ok","à faire")</f>
        <v/>
      </c>
      <c r="I1368" s="30">
        <f>IF(COUNTIF(Synonymes!$A:$A,$A1368)&gt;0,"ok","")</f>
        <v/>
      </c>
      <c r="J1368" s="30">
        <f>COUNTIF(E1368:H1368,"à faire")</f>
        <v/>
      </c>
    </row>
    <row r="1369">
      <c r="A1369" s="30" t="inlineStr">
        <is>
          <t>accompagnements</t>
        </is>
      </c>
      <c r="B1369" s="30">
        <f>IFERROR(INDEX(Mots!$B:$B,MATCH($A1369,Mots!$A:$A,0)),"introuvable")</f>
        <v/>
      </c>
      <c r="C1369" s="30">
        <f>IFERROR(INDEX(Mots!$S:$S,MATCH($A1369,Mots!$A:$A,0)),"")</f>
        <v/>
      </c>
      <c r="D1369" s="30">
        <f>IFERROR(COUNTA(INDEX(Mots!$J:$J,MATCH($A1369,Mots!$A:$A,0)):INDEX(Mots!$P:$P,MATCH($A1369,Mots!$A:$A,0))),0)</f>
        <v/>
      </c>
      <c r="E1369" s="30">
        <f>IF(COUNTIF(Classement!$A:$A,$A1369)&gt;0,"ok","à faire")</f>
        <v/>
      </c>
      <c r="F1369" s="30">
        <f>IF(COUNTIF(Tags!$A:$A,$A1369)&gt;0,"ok","à faire")</f>
        <v/>
      </c>
      <c r="G1369" s="30">
        <f>IF(COUNTIF(Phrases!$A:$A,$A1369)&gt;0,"ok","à faire")</f>
        <v/>
      </c>
      <c r="H1369" s="30">
        <f>IF(COUNTIFS(Phrases!$A:$A,$A1369,Phrases!$I:$I,"&lt;&gt;")&gt;0,"ok","à faire")</f>
        <v/>
      </c>
      <c r="I1369" s="30">
        <f>IF(COUNTIF(Synonymes!$A:$A,$A1369)&gt;0,"ok","")</f>
        <v/>
      </c>
      <c r="J1369" s="30">
        <f>COUNTIF(E1369:H1369,"à faire")</f>
        <v/>
      </c>
    </row>
    <row r="1370">
      <c r="A1370" s="30" t="inlineStr">
        <is>
          <t>tiramisu</t>
        </is>
      </c>
      <c r="B1370" s="30">
        <f>IFERROR(INDEX(Mots!$B:$B,MATCH($A1370,Mots!$A:$A,0)),"introuvable")</f>
        <v/>
      </c>
      <c r="C1370" s="30">
        <f>IFERROR(INDEX(Mots!$S:$S,MATCH($A1370,Mots!$A:$A,0)),"")</f>
        <v/>
      </c>
      <c r="D1370" s="30">
        <f>IFERROR(COUNTA(INDEX(Mots!$J:$J,MATCH($A1370,Mots!$A:$A,0)):INDEX(Mots!$P:$P,MATCH($A1370,Mots!$A:$A,0))),0)</f>
        <v/>
      </c>
      <c r="E1370" s="30">
        <f>IF(COUNTIF(Classement!$A:$A,$A1370)&gt;0,"ok","à faire")</f>
        <v/>
      </c>
      <c r="F1370" s="30">
        <f>IF(COUNTIF(Tags!$A:$A,$A1370)&gt;0,"ok","à faire")</f>
        <v/>
      </c>
      <c r="G1370" s="30">
        <f>IF(COUNTIF(Phrases!$A:$A,$A1370)&gt;0,"ok","à faire")</f>
        <v/>
      </c>
      <c r="H1370" s="30">
        <f>IF(COUNTIFS(Phrases!$A:$A,$A1370,Phrases!$I:$I,"&lt;&gt;")&gt;0,"ok","à faire")</f>
        <v/>
      </c>
      <c r="I1370" s="30">
        <f>IF(COUNTIF(Synonymes!$A:$A,$A1370)&gt;0,"ok","")</f>
        <v/>
      </c>
      <c r="J1370" s="30">
        <f>COUNTIF(E1370:H1370,"à faire")</f>
        <v/>
      </c>
    </row>
    <row r="1371">
      <c r="A1371" s="30" t="inlineStr">
        <is>
          <t>coupe_fraises</t>
        </is>
      </c>
      <c r="B1371" s="30">
        <f>IFERROR(INDEX(Mots!$B:$B,MATCH($A1371,Mots!$A:$A,0)),"introuvable")</f>
        <v/>
      </c>
      <c r="C1371" s="30">
        <f>IFERROR(INDEX(Mots!$S:$S,MATCH($A1371,Mots!$A:$A,0)),"")</f>
        <v/>
      </c>
      <c r="D1371" s="30">
        <f>IFERROR(COUNTA(INDEX(Mots!$J:$J,MATCH($A1371,Mots!$A:$A,0)):INDEX(Mots!$P:$P,MATCH($A1371,Mots!$A:$A,0))),0)</f>
        <v/>
      </c>
      <c r="E1371" s="30">
        <f>IF(COUNTIF(Classement!$A:$A,$A1371)&gt;0,"ok","à faire")</f>
        <v/>
      </c>
      <c r="F1371" s="30">
        <f>IF(COUNTIF(Tags!$A:$A,$A1371)&gt;0,"ok","à faire")</f>
        <v/>
      </c>
      <c r="G1371" s="30">
        <f>IF(COUNTIF(Phrases!$A:$A,$A1371)&gt;0,"ok","à faire")</f>
        <v/>
      </c>
      <c r="H1371" s="30">
        <f>IF(COUNTIFS(Phrases!$A:$A,$A1371,Phrases!$I:$I,"&lt;&gt;")&gt;0,"ok","à faire")</f>
        <v/>
      </c>
      <c r="I1371" s="30">
        <f>IF(COUNTIF(Synonymes!$A:$A,$A1371)&gt;0,"ok","")</f>
        <v/>
      </c>
      <c r="J1371" s="30">
        <f>COUNTIF(E1371:H1371,"à faire")</f>
        <v/>
      </c>
    </row>
    <row r="1372">
      <c r="A1372" s="30" t="inlineStr">
        <is>
          <t>big_mac</t>
        </is>
      </c>
      <c r="B1372" s="30">
        <f>IFERROR(INDEX(Mots!$B:$B,MATCH($A1372,Mots!$A:$A,0)),"introuvable")</f>
        <v/>
      </c>
      <c r="C1372" s="30">
        <f>IFERROR(INDEX(Mots!$S:$S,MATCH($A1372,Mots!$A:$A,0)),"")</f>
        <v/>
      </c>
      <c r="D1372" s="30">
        <f>IFERROR(COUNTA(INDEX(Mots!$J:$J,MATCH($A1372,Mots!$A:$A,0)):INDEX(Mots!$P:$P,MATCH($A1372,Mots!$A:$A,0))),0)</f>
        <v/>
      </c>
      <c r="E1372" s="30">
        <f>IF(COUNTIF(Classement!$A:$A,$A1372)&gt;0,"ok","à faire")</f>
        <v/>
      </c>
      <c r="F1372" s="30">
        <f>IF(COUNTIF(Tags!$A:$A,$A1372)&gt;0,"ok","à faire")</f>
        <v/>
      </c>
      <c r="G1372" s="30">
        <f>IF(COUNTIF(Phrases!$A:$A,$A1372)&gt;0,"ok","à faire")</f>
        <v/>
      </c>
      <c r="H1372" s="30">
        <f>IF(COUNTIFS(Phrases!$A:$A,$A1372,Phrases!$I:$I,"&lt;&gt;")&gt;0,"ok","à faire")</f>
        <v/>
      </c>
      <c r="I1372" s="30">
        <f>IF(COUNTIF(Synonymes!$A:$A,$A1372)&gt;0,"ok","")</f>
        <v/>
      </c>
      <c r="J1372" s="30">
        <f>COUNTIF(E1372:H1372,"à faire")</f>
        <v/>
      </c>
    </row>
    <row r="1373">
      <c r="A1373" s="30" t="inlineStr">
        <is>
          <t>carrelage</t>
        </is>
      </c>
      <c r="B1373" s="30">
        <f>IFERROR(INDEX(Mots!$B:$B,MATCH($A1373,Mots!$A:$A,0)),"introuvable")</f>
        <v/>
      </c>
      <c r="C1373" s="30">
        <f>IFERROR(INDEX(Mots!$S:$S,MATCH($A1373,Mots!$A:$A,0)),"")</f>
        <v/>
      </c>
      <c r="D1373" s="30">
        <f>IFERROR(COUNTA(INDEX(Mots!$J:$J,MATCH($A1373,Mots!$A:$A,0)):INDEX(Mots!$P:$P,MATCH($A1373,Mots!$A:$A,0))),0)</f>
        <v/>
      </c>
      <c r="E1373" s="30">
        <f>IF(COUNTIF(Classement!$A:$A,$A1373)&gt;0,"ok","à faire")</f>
        <v/>
      </c>
      <c r="F1373" s="30">
        <f>IF(COUNTIF(Tags!$A:$A,$A1373)&gt;0,"ok","à faire")</f>
        <v/>
      </c>
      <c r="G1373" s="30">
        <f>IF(COUNTIF(Phrases!$A:$A,$A1373)&gt;0,"ok","à faire")</f>
        <v/>
      </c>
      <c r="H1373" s="30">
        <f>IF(COUNTIFS(Phrases!$A:$A,$A1373,Phrases!$I:$I,"&lt;&gt;")&gt;0,"ok","à faire")</f>
        <v/>
      </c>
      <c r="I1373" s="30">
        <f>IF(COUNTIF(Synonymes!$A:$A,$A1373)&gt;0,"ok","")</f>
        <v/>
      </c>
      <c r="J1373" s="30">
        <f>COUNTIF(E1373:H1373,"à faire")</f>
        <v/>
      </c>
    </row>
    <row r="1374">
      <c r="A1374" s="30" t="inlineStr">
        <is>
          <t>poignee</t>
        </is>
      </c>
      <c r="B1374" s="30">
        <f>IFERROR(INDEX(Mots!$B:$B,MATCH($A1374,Mots!$A:$A,0)),"introuvable")</f>
        <v/>
      </c>
      <c r="C1374" s="30">
        <f>IFERROR(INDEX(Mots!$S:$S,MATCH($A1374,Mots!$A:$A,0)),"")</f>
        <v/>
      </c>
      <c r="D1374" s="30">
        <f>IFERROR(COUNTA(INDEX(Mots!$J:$J,MATCH($A1374,Mots!$A:$A,0)):INDEX(Mots!$P:$P,MATCH($A1374,Mots!$A:$A,0))),0)</f>
        <v/>
      </c>
      <c r="E1374" s="30">
        <f>IF(COUNTIF(Classement!$A:$A,$A1374)&gt;0,"ok","à faire")</f>
        <v/>
      </c>
      <c r="F1374" s="30">
        <f>IF(COUNTIF(Tags!$A:$A,$A1374)&gt;0,"ok","à faire")</f>
        <v/>
      </c>
      <c r="G1374" s="30">
        <f>IF(COUNTIF(Phrases!$A:$A,$A1374)&gt;0,"ok","à faire")</f>
        <v/>
      </c>
      <c r="H1374" s="30">
        <f>IF(COUNTIFS(Phrases!$A:$A,$A1374,Phrases!$I:$I,"&lt;&gt;")&gt;0,"ok","à faire")</f>
        <v/>
      </c>
      <c r="I1374" s="30">
        <f>IF(COUNTIF(Synonymes!$A:$A,$A1374)&gt;0,"ok","")</f>
        <v/>
      </c>
      <c r="J1374" s="30">
        <f>COUNTIF(E1374:H1374,"à faire")</f>
        <v/>
      </c>
    </row>
    <row r="1375">
      <c r="A1375" s="30" t="inlineStr">
        <is>
          <t>m_note</t>
        </is>
      </c>
      <c r="B1375" s="30">
        <f>IFERROR(INDEX(Mots!$B:$B,MATCH($A1375,Mots!$A:$A,0)),"introuvable")</f>
        <v/>
      </c>
      <c r="C1375" s="30">
        <f>IFERROR(INDEX(Mots!$S:$S,MATCH($A1375,Mots!$A:$A,0)),"")</f>
        <v/>
      </c>
      <c r="D1375" s="30">
        <f>IFERROR(COUNTA(INDEX(Mots!$J:$J,MATCH($A1375,Mots!$A:$A,0)):INDEX(Mots!$P:$P,MATCH($A1375,Mots!$A:$A,0))),0)</f>
        <v/>
      </c>
      <c r="E1375" s="30">
        <f>IF(COUNTIF(Classement!$A:$A,$A1375)&gt;0,"ok","à faire")</f>
        <v/>
      </c>
      <c r="F1375" s="30">
        <f>IF(COUNTIF(Tags!$A:$A,$A1375)&gt;0,"ok","à faire")</f>
        <v/>
      </c>
      <c r="G1375" s="30">
        <f>IF(COUNTIF(Phrases!$A:$A,$A1375)&gt;0,"ok","à faire")</f>
        <v/>
      </c>
      <c r="H1375" s="30">
        <f>IF(COUNTIFS(Phrases!$A:$A,$A1375,Phrases!$I:$I,"&lt;&gt;")&gt;0,"ok","à faire")</f>
        <v/>
      </c>
      <c r="I1375" s="30">
        <f>IF(COUNTIF(Synonymes!$A:$A,$A1375)&gt;0,"ok","")</f>
        <v/>
      </c>
      <c r="J1375" s="30">
        <f>COUNTIF(E1375:H1375,"à faire")</f>
        <v/>
      </c>
    </row>
    <row r="1376">
      <c r="A1376" s="30" t="inlineStr">
        <is>
          <t>gamme</t>
        </is>
      </c>
      <c r="B1376" s="30">
        <f>IFERROR(INDEX(Mots!$B:$B,MATCH($A1376,Mots!$A:$A,0)),"introuvable")</f>
        <v/>
      </c>
      <c r="C1376" s="30">
        <f>IFERROR(INDEX(Mots!$S:$S,MATCH($A1376,Mots!$A:$A,0)),"")</f>
        <v/>
      </c>
      <c r="D1376" s="30">
        <f>IFERROR(COUNTA(INDEX(Mots!$J:$J,MATCH($A1376,Mots!$A:$A,0)):INDEX(Mots!$P:$P,MATCH($A1376,Mots!$A:$A,0))),0)</f>
        <v/>
      </c>
      <c r="E1376" s="30">
        <f>IF(COUNTIF(Classement!$A:$A,$A1376)&gt;0,"ok","à faire")</f>
        <v/>
      </c>
      <c r="F1376" s="30">
        <f>IF(COUNTIF(Tags!$A:$A,$A1376)&gt;0,"ok","à faire")</f>
        <v/>
      </c>
      <c r="G1376" s="30">
        <f>IF(COUNTIF(Phrases!$A:$A,$A1376)&gt;0,"ok","à faire")</f>
        <v/>
      </c>
      <c r="H1376" s="30">
        <f>IF(COUNTIFS(Phrases!$A:$A,$A1376,Phrases!$I:$I,"&lt;&gt;")&gt;0,"ok","à faire")</f>
        <v/>
      </c>
      <c r="I1376" s="30">
        <f>IF(COUNTIF(Synonymes!$A:$A,$A1376)&gt;0,"ok","")</f>
        <v/>
      </c>
      <c r="J1376" s="30">
        <f>COUNTIF(E1376:H1376,"à faire")</f>
        <v/>
      </c>
    </row>
    <row r="1377">
      <c r="A1377" s="30" t="inlineStr">
        <is>
          <t>metronome</t>
        </is>
      </c>
      <c r="B1377" s="30">
        <f>IFERROR(INDEX(Mots!$B:$B,MATCH($A1377,Mots!$A:$A,0)),"introuvable")</f>
        <v/>
      </c>
      <c r="C1377" s="30">
        <f>IFERROR(INDEX(Mots!$S:$S,MATCH($A1377,Mots!$A:$A,0)),"")</f>
        <v/>
      </c>
      <c r="D1377" s="30">
        <f>IFERROR(COUNTA(INDEX(Mots!$J:$J,MATCH($A1377,Mots!$A:$A,0)):INDEX(Mots!$P:$P,MATCH($A1377,Mots!$A:$A,0))),0)</f>
        <v/>
      </c>
      <c r="E1377" s="30">
        <f>IF(COUNTIF(Classement!$A:$A,$A1377)&gt;0,"ok","à faire")</f>
        <v/>
      </c>
      <c r="F1377" s="30">
        <f>IF(COUNTIF(Tags!$A:$A,$A1377)&gt;0,"ok","à faire")</f>
        <v/>
      </c>
      <c r="G1377" s="30">
        <f>IF(COUNTIF(Phrases!$A:$A,$A1377)&gt;0,"ok","à faire")</f>
        <v/>
      </c>
      <c r="H1377" s="30">
        <f>IF(COUNTIFS(Phrases!$A:$A,$A1377,Phrases!$I:$I,"&lt;&gt;")&gt;0,"ok","à faire")</f>
        <v/>
      </c>
      <c r="I1377" s="30">
        <f>IF(COUNTIF(Synonymes!$A:$A,$A1377)&gt;0,"ok","")</f>
        <v/>
      </c>
      <c r="J1377" s="30">
        <f>COUNTIF(E1377:H1377,"à faire")</f>
        <v/>
      </c>
    </row>
    <row r="1378">
      <c r="A1378" s="30" t="inlineStr">
        <is>
          <t>levier_vitesse</t>
        </is>
      </c>
      <c r="B1378" s="30">
        <f>IFERROR(INDEX(Mots!$B:$B,MATCH($A1378,Mots!$A:$A,0)),"introuvable")</f>
        <v/>
      </c>
      <c r="C1378" s="30">
        <f>IFERROR(INDEX(Mots!$S:$S,MATCH($A1378,Mots!$A:$A,0)),"")</f>
        <v/>
      </c>
      <c r="D1378" s="30">
        <f>IFERROR(COUNTA(INDEX(Mots!$J:$J,MATCH($A1378,Mots!$A:$A,0)):INDEX(Mots!$P:$P,MATCH($A1378,Mots!$A:$A,0))),0)</f>
        <v/>
      </c>
      <c r="E1378" s="30">
        <f>IF(COUNTIF(Classement!$A:$A,$A1378)&gt;0,"ok","à faire")</f>
        <v/>
      </c>
      <c r="F1378" s="30">
        <f>IF(COUNTIF(Tags!$A:$A,$A1378)&gt;0,"ok","à faire")</f>
        <v/>
      </c>
      <c r="G1378" s="30">
        <f>IF(COUNTIF(Phrases!$A:$A,$A1378)&gt;0,"ok","à faire")</f>
        <v/>
      </c>
      <c r="H1378" s="30">
        <f>IF(COUNTIFS(Phrases!$A:$A,$A1378,Phrases!$I:$I,"&lt;&gt;")&gt;0,"ok","à faire")</f>
        <v/>
      </c>
      <c r="I1378" s="30">
        <f>IF(COUNTIF(Synonymes!$A:$A,$A1378)&gt;0,"ok","")</f>
        <v/>
      </c>
      <c r="J1378" s="30">
        <f>COUNTIF(E1378:H1378,"à faire")</f>
        <v/>
      </c>
    </row>
    <row r="1379">
      <c r="A1379" s="30" t="inlineStr">
        <is>
          <t>v_recurrer</t>
        </is>
      </c>
      <c r="B1379" s="30">
        <f>IFERROR(INDEX(Mots!$B:$B,MATCH($A1379,Mots!$A:$A,0)),"introuvable")</f>
        <v/>
      </c>
      <c r="C1379" s="30">
        <f>IFERROR(INDEX(Mots!$S:$S,MATCH($A1379,Mots!$A:$A,0)),"")</f>
        <v/>
      </c>
      <c r="D1379" s="30">
        <f>IFERROR(COUNTA(INDEX(Mots!$J:$J,MATCH($A1379,Mots!$A:$A,0)):INDEX(Mots!$P:$P,MATCH($A1379,Mots!$A:$A,0))),0)</f>
        <v/>
      </c>
      <c r="E1379" s="30">
        <f>IF(COUNTIF(Classement!$A:$A,$A1379)&gt;0,"ok","à faire")</f>
        <v/>
      </c>
      <c r="F1379" s="30">
        <f>IF(COUNTIF(Tags!$A:$A,$A1379)&gt;0,"ok","à faire")</f>
        <v/>
      </c>
      <c r="G1379" s="30">
        <f>IF(COUNTIF(Phrases!$A:$A,$A1379)&gt;0,"ok","à faire")</f>
        <v/>
      </c>
      <c r="H1379" s="30">
        <f>IF(COUNTIFS(Phrases!$A:$A,$A1379,Phrases!$I:$I,"&lt;&gt;")&gt;0,"ok","à faire")</f>
        <v/>
      </c>
      <c r="I1379" s="30">
        <f>IF(COUNTIF(Synonymes!$A:$A,$A1379)&gt;0,"ok","")</f>
        <v/>
      </c>
      <c r="J1379" s="30">
        <f>COUNTIF(E1379:H1379,"à faire")</f>
        <v/>
      </c>
    </row>
    <row r="1380">
      <c r="A1380" s="30" t="inlineStr">
        <is>
          <t>appareil_photo</t>
        </is>
      </c>
      <c r="B1380" s="30">
        <f>IFERROR(INDEX(Mots!$B:$B,MATCH($A1380,Mots!$A:$A,0)),"introuvable")</f>
        <v/>
      </c>
      <c r="C1380" s="30">
        <f>IFERROR(INDEX(Mots!$S:$S,MATCH($A1380,Mots!$A:$A,0)),"")</f>
        <v/>
      </c>
      <c r="D1380" s="30">
        <f>IFERROR(COUNTA(INDEX(Mots!$J:$J,MATCH($A1380,Mots!$A:$A,0)):INDEX(Mots!$P:$P,MATCH($A1380,Mots!$A:$A,0))),0)</f>
        <v/>
      </c>
      <c r="E1380" s="30">
        <f>IF(COUNTIF(Classement!$A:$A,$A1380)&gt;0,"ok","à faire")</f>
        <v/>
      </c>
      <c r="F1380" s="30">
        <f>IF(COUNTIF(Tags!$A:$A,$A1380)&gt;0,"ok","à faire")</f>
        <v/>
      </c>
      <c r="G1380" s="30">
        <f>IF(COUNTIF(Phrases!$A:$A,$A1380)&gt;0,"ok","à faire")</f>
        <v/>
      </c>
      <c r="H1380" s="30">
        <f>IF(COUNTIFS(Phrases!$A:$A,$A1380,Phrases!$I:$I,"&lt;&gt;")&gt;0,"ok","à faire")</f>
        <v/>
      </c>
      <c r="I1380" s="30">
        <f>IF(COUNTIF(Synonymes!$A:$A,$A1380)&gt;0,"ok","")</f>
        <v/>
      </c>
      <c r="J1380" s="30">
        <f>COUNTIF(E1380:H1380,"à faire")</f>
        <v/>
      </c>
    </row>
    <row r="1381">
      <c r="A1381" s="30" t="inlineStr">
        <is>
          <t>leopard</t>
        </is>
      </c>
      <c r="B1381" s="30">
        <f>IFERROR(INDEX(Mots!$B:$B,MATCH($A1381,Mots!$A:$A,0)),"introuvable")</f>
        <v/>
      </c>
      <c r="C1381" s="30">
        <f>IFERROR(INDEX(Mots!$S:$S,MATCH($A1381,Mots!$A:$A,0)),"")</f>
        <v/>
      </c>
      <c r="D1381" s="30">
        <f>IFERROR(COUNTA(INDEX(Mots!$J:$J,MATCH($A1381,Mots!$A:$A,0)):INDEX(Mots!$P:$P,MATCH($A1381,Mots!$A:$A,0))),0)</f>
        <v/>
      </c>
      <c r="E1381" s="30">
        <f>IF(COUNTIF(Classement!$A:$A,$A1381)&gt;0,"ok","à faire")</f>
        <v/>
      </c>
      <c r="F1381" s="30">
        <f>IF(COUNTIF(Tags!$A:$A,$A1381)&gt;0,"ok","à faire")</f>
        <v/>
      </c>
      <c r="G1381" s="30">
        <f>IF(COUNTIF(Phrases!$A:$A,$A1381)&gt;0,"ok","à faire")</f>
        <v/>
      </c>
      <c r="H1381" s="30">
        <f>IF(COUNTIFS(Phrases!$A:$A,$A1381,Phrases!$I:$I,"&lt;&gt;")&gt;0,"ok","à faire")</f>
        <v/>
      </c>
      <c r="I1381" s="30">
        <f>IF(COUNTIF(Synonymes!$A:$A,$A1381)&gt;0,"ok","")</f>
        <v/>
      </c>
      <c r="J1381" s="30">
        <f>COUNTIF(E1381:H1381,"à faire")</f>
        <v/>
      </c>
    </row>
    <row r="1382">
      <c r="A1382" s="30" t="inlineStr">
        <is>
          <t>moustique</t>
        </is>
      </c>
      <c r="B1382" s="30">
        <f>IFERROR(INDEX(Mots!$B:$B,MATCH($A1382,Mots!$A:$A,0)),"introuvable")</f>
        <v/>
      </c>
      <c r="C1382" s="30">
        <f>IFERROR(INDEX(Mots!$S:$S,MATCH($A1382,Mots!$A:$A,0)),"")</f>
        <v/>
      </c>
      <c r="D1382" s="30">
        <f>IFERROR(COUNTA(INDEX(Mots!$J:$J,MATCH($A1382,Mots!$A:$A,0)):INDEX(Mots!$P:$P,MATCH($A1382,Mots!$A:$A,0))),0)</f>
        <v/>
      </c>
      <c r="E1382" s="30">
        <f>IF(COUNTIF(Classement!$A:$A,$A1382)&gt;0,"ok","à faire")</f>
        <v/>
      </c>
      <c r="F1382" s="30">
        <f>IF(COUNTIF(Tags!$A:$A,$A1382)&gt;0,"ok","à faire")</f>
        <v/>
      </c>
      <c r="G1382" s="30">
        <f>IF(COUNTIF(Phrases!$A:$A,$A1382)&gt;0,"ok","à faire")</f>
        <v/>
      </c>
      <c r="H1382" s="30">
        <f>IF(COUNTIFS(Phrases!$A:$A,$A1382,Phrases!$I:$I,"&lt;&gt;")&gt;0,"ok","à faire")</f>
        <v/>
      </c>
      <c r="I1382" s="30">
        <f>IF(COUNTIF(Synonymes!$A:$A,$A1382)&gt;0,"ok","")</f>
        <v/>
      </c>
      <c r="J1382" s="30">
        <f>COUNTIF(E1382:H1382,"à faire")</f>
        <v/>
      </c>
    </row>
    <row r="1383">
      <c r="A1383" s="30" t="inlineStr">
        <is>
          <t>p_mais</t>
        </is>
      </c>
      <c r="B1383" s="30">
        <f>IFERROR(INDEX(Mots!$B:$B,MATCH($A1383,Mots!$A:$A,0)),"introuvable")</f>
        <v/>
      </c>
      <c r="C1383" s="30">
        <f>IFERROR(INDEX(Mots!$S:$S,MATCH($A1383,Mots!$A:$A,0)),"")</f>
        <v/>
      </c>
      <c r="D1383" s="30">
        <f>IFERROR(COUNTA(INDEX(Mots!$J:$J,MATCH($A1383,Mots!$A:$A,0)):INDEX(Mots!$P:$P,MATCH($A1383,Mots!$A:$A,0))),0)</f>
        <v/>
      </c>
      <c r="E1383" s="30">
        <f>IF(COUNTIF(Classement!$A:$A,$A1383)&gt;0,"ok","à faire")</f>
        <v/>
      </c>
      <c r="F1383" s="30">
        <f>IF(COUNTIF(Tags!$A:$A,$A1383)&gt;0,"ok","à faire")</f>
        <v/>
      </c>
      <c r="G1383" s="30">
        <f>IF(COUNTIF(Phrases!$A:$A,$A1383)&gt;0,"ok","à faire")</f>
        <v/>
      </c>
      <c r="H1383" s="30">
        <f>IF(COUNTIFS(Phrases!$A:$A,$A1383,Phrases!$I:$I,"&lt;&gt;")&gt;0,"ok","à faire")</f>
        <v/>
      </c>
      <c r="I1383" s="30">
        <f>IF(COUNTIF(Synonymes!$A:$A,$A1383)&gt;0,"ok","")</f>
        <v/>
      </c>
      <c r="J1383" s="30">
        <f>COUNTIF(E1383:H1383,"à faire")</f>
        <v/>
      </c>
    </row>
    <row r="1384">
      <c r="A1384" s="30" t="inlineStr">
        <is>
          <t>v_tousser</t>
        </is>
      </c>
      <c r="B1384" s="30">
        <f>IFERROR(INDEX(Mots!$B:$B,MATCH($A1384,Mots!$A:$A,0)),"introuvable")</f>
        <v/>
      </c>
      <c r="C1384" s="30">
        <f>IFERROR(INDEX(Mots!$S:$S,MATCH($A1384,Mots!$A:$A,0)),"")</f>
        <v/>
      </c>
      <c r="D1384" s="30">
        <f>IFERROR(COUNTA(INDEX(Mots!$J:$J,MATCH($A1384,Mots!$A:$A,0)):INDEX(Mots!$P:$P,MATCH($A1384,Mots!$A:$A,0))),0)</f>
        <v/>
      </c>
      <c r="E1384" s="30">
        <f>IF(COUNTIF(Classement!$A:$A,$A1384)&gt;0,"ok","à faire")</f>
        <v/>
      </c>
      <c r="F1384" s="30">
        <f>IF(COUNTIF(Tags!$A:$A,$A1384)&gt;0,"ok","à faire")</f>
        <v/>
      </c>
      <c r="G1384" s="30">
        <f>IF(COUNTIF(Phrases!$A:$A,$A1384)&gt;0,"ok","à faire")</f>
        <v/>
      </c>
      <c r="H1384" s="30">
        <f>IF(COUNTIFS(Phrases!$A:$A,$A1384,Phrases!$I:$I,"&lt;&gt;")&gt;0,"ok","à faire")</f>
        <v/>
      </c>
      <c r="I1384" s="30">
        <f>IF(COUNTIF(Synonymes!$A:$A,$A1384)&gt;0,"ok","")</f>
        <v/>
      </c>
      <c r="J1384" s="30">
        <f>COUNTIF(E1384:H1384,"à faire")</f>
        <v/>
      </c>
    </row>
    <row r="1385">
      <c r="A1385" s="30" t="inlineStr">
        <is>
          <t>jambon</t>
        </is>
      </c>
      <c r="B1385" s="30">
        <f>IFERROR(INDEX(Mots!$B:$B,MATCH($A1385,Mots!$A:$A,0)),"introuvable")</f>
        <v/>
      </c>
      <c r="C1385" s="30">
        <f>IFERROR(INDEX(Mots!$S:$S,MATCH($A1385,Mots!$A:$A,0)),"")</f>
        <v/>
      </c>
      <c r="D1385" s="30">
        <f>IFERROR(COUNTA(INDEX(Mots!$J:$J,MATCH($A1385,Mots!$A:$A,0)):INDEX(Mots!$P:$P,MATCH($A1385,Mots!$A:$A,0))),0)</f>
        <v/>
      </c>
      <c r="E1385" s="30">
        <f>IF(COUNTIF(Classement!$A:$A,$A1385)&gt;0,"ok","à faire")</f>
        <v/>
      </c>
      <c r="F1385" s="30">
        <f>IF(COUNTIF(Tags!$A:$A,$A1385)&gt;0,"ok","à faire")</f>
        <v/>
      </c>
      <c r="G1385" s="30">
        <f>IF(COUNTIF(Phrases!$A:$A,$A1385)&gt;0,"ok","à faire")</f>
        <v/>
      </c>
      <c r="H1385" s="30">
        <f>IF(COUNTIFS(Phrases!$A:$A,$A1385,Phrases!$I:$I,"&lt;&gt;")&gt;0,"ok","à faire")</f>
        <v/>
      </c>
      <c r="I1385" s="30">
        <f>IF(COUNTIF(Synonymes!$A:$A,$A1385)&gt;0,"ok","")</f>
        <v/>
      </c>
      <c r="J1385" s="30">
        <f>COUNTIF(E1385:H1385,"à faire")</f>
        <v/>
      </c>
    </row>
    <row r="1386">
      <c r="A1386" s="30" t="inlineStr">
        <is>
          <t>grand_maman_emma</t>
        </is>
      </c>
      <c r="B1386" s="30">
        <f>IFERROR(INDEX(Mots!$B:$B,MATCH($A1386,Mots!$A:$A,0)),"introuvable")</f>
        <v/>
      </c>
      <c r="C1386" s="30">
        <f>IFERROR(INDEX(Mots!$S:$S,MATCH($A1386,Mots!$A:$A,0)),"")</f>
        <v/>
      </c>
      <c r="D1386" s="30">
        <f>IFERROR(COUNTA(INDEX(Mots!$J:$J,MATCH($A1386,Mots!$A:$A,0)):INDEX(Mots!$P:$P,MATCH($A1386,Mots!$A:$A,0))),0)</f>
        <v/>
      </c>
      <c r="E1386" s="30">
        <f>IF(COUNTIF(Classement!$A:$A,$A1386)&gt;0,"ok","à faire")</f>
        <v/>
      </c>
      <c r="F1386" s="30">
        <f>IF(COUNTIF(Tags!$A:$A,$A1386)&gt;0,"ok","à faire")</f>
        <v/>
      </c>
      <c r="G1386" s="30">
        <f>IF(COUNTIF(Phrases!$A:$A,$A1386)&gt;0,"ok","à faire")</f>
        <v/>
      </c>
      <c r="H1386" s="30">
        <f>IF(COUNTIFS(Phrases!$A:$A,$A1386,Phrases!$I:$I,"&lt;&gt;")&gt;0,"ok","à faire")</f>
        <v/>
      </c>
      <c r="I1386" s="30">
        <f>IF(COUNTIF(Synonymes!$A:$A,$A1386)&gt;0,"ok","")</f>
        <v/>
      </c>
      <c r="J1386" s="30">
        <f>COUNTIF(E1386:H1386,"à faire")</f>
        <v/>
      </c>
    </row>
    <row r="1387">
      <c r="A1387" s="30" t="inlineStr">
        <is>
          <t>grand_papa_maurice</t>
        </is>
      </c>
      <c r="B1387" s="30">
        <f>IFERROR(INDEX(Mots!$B:$B,MATCH($A1387,Mots!$A:$A,0)),"introuvable")</f>
        <v/>
      </c>
      <c r="C1387" s="30">
        <f>IFERROR(INDEX(Mots!$S:$S,MATCH($A1387,Mots!$A:$A,0)),"")</f>
        <v/>
      </c>
      <c r="D1387" s="30">
        <f>IFERROR(COUNTA(INDEX(Mots!$J:$J,MATCH($A1387,Mots!$A:$A,0)):INDEX(Mots!$P:$P,MATCH($A1387,Mots!$A:$A,0))),0)</f>
        <v/>
      </c>
      <c r="E1387" s="30">
        <f>IF(COUNTIF(Classement!$A:$A,$A1387)&gt;0,"ok","à faire")</f>
        <v/>
      </c>
      <c r="F1387" s="30">
        <f>IF(COUNTIF(Tags!$A:$A,$A1387)&gt;0,"ok","à faire")</f>
        <v/>
      </c>
      <c r="G1387" s="30">
        <f>IF(COUNTIF(Phrases!$A:$A,$A1387)&gt;0,"ok","à faire")</f>
        <v/>
      </c>
      <c r="H1387" s="30">
        <f>IF(COUNTIFS(Phrases!$A:$A,$A1387,Phrases!$I:$I,"&lt;&gt;")&gt;0,"ok","à faire")</f>
        <v/>
      </c>
      <c r="I1387" s="30">
        <f>IF(COUNTIF(Synonymes!$A:$A,$A1387)&gt;0,"ok","")</f>
        <v/>
      </c>
      <c r="J1387" s="30">
        <f>COUNTIF(E1387:H1387,"à faire")</f>
        <v/>
      </c>
    </row>
    <row r="1388">
      <c r="A1388" s="30" t="inlineStr">
        <is>
          <t>oncle_bernard</t>
        </is>
      </c>
      <c r="B1388" s="30">
        <f>IFERROR(INDEX(Mots!$B:$B,MATCH($A1388,Mots!$A:$A,0)),"introuvable")</f>
        <v/>
      </c>
      <c r="C1388" s="30">
        <f>IFERROR(INDEX(Mots!$S:$S,MATCH($A1388,Mots!$A:$A,0)),"")</f>
        <v/>
      </c>
      <c r="D1388" s="30">
        <f>IFERROR(COUNTA(INDEX(Mots!$J:$J,MATCH($A1388,Mots!$A:$A,0)):INDEX(Mots!$P:$P,MATCH($A1388,Mots!$A:$A,0))),0)</f>
        <v/>
      </c>
      <c r="E1388" s="30">
        <f>IF(COUNTIF(Classement!$A:$A,$A1388)&gt;0,"ok","à faire")</f>
        <v/>
      </c>
      <c r="F1388" s="30">
        <f>IF(COUNTIF(Tags!$A:$A,$A1388)&gt;0,"ok","à faire")</f>
        <v/>
      </c>
      <c r="G1388" s="30">
        <f>IF(COUNTIF(Phrases!$A:$A,$A1388)&gt;0,"ok","à faire")</f>
        <v/>
      </c>
      <c r="H1388" s="30">
        <f>IF(COUNTIFS(Phrases!$A:$A,$A1388,Phrases!$I:$I,"&lt;&gt;")&gt;0,"ok","à faire")</f>
        <v/>
      </c>
      <c r="I1388" s="30">
        <f>IF(COUNTIF(Synonymes!$A:$A,$A1388)&gt;0,"ok","")</f>
        <v/>
      </c>
      <c r="J1388" s="30">
        <f>COUNTIF(E1388:H1388,"à faire")</f>
        <v/>
      </c>
    </row>
    <row r="1389">
      <c r="A1389" s="30" t="inlineStr">
        <is>
          <t>oncle_marcel</t>
        </is>
      </c>
      <c r="B1389" s="30">
        <f>IFERROR(INDEX(Mots!$B:$B,MATCH($A1389,Mots!$A:$A,0)),"introuvable")</f>
        <v/>
      </c>
      <c r="C1389" s="30">
        <f>IFERROR(INDEX(Mots!$S:$S,MATCH($A1389,Mots!$A:$A,0)),"")</f>
        <v/>
      </c>
      <c r="D1389" s="30">
        <f>IFERROR(COUNTA(INDEX(Mots!$J:$J,MATCH($A1389,Mots!$A:$A,0)):INDEX(Mots!$P:$P,MATCH($A1389,Mots!$A:$A,0))),0)</f>
        <v/>
      </c>
      <c r="E1389" s="30">
        <f>IF(COUNTIF(Classement!$A:$A,$A1389)&gt;0,"ok","à faire")</f>
        <v/>
      </c>
      <c r="F1389" s="30">
        <f>IF(COUNTIF(Tags!$A:$A,$A1389)&gt;0,"ok","à faire")</f>
        <v/>
      </c>
      <c r="G1389" s="30">
        <f>IF(COUNTIF(Phrases!$A:$A,$A1389)&gt;0,"ok","à faire")</f>
        <v/>
      </c>
      <c r="H1389" s="30">
        <f>IF(COUNTIFS(Phrases!$A:$A,$A1389,Phrases!$I:$I,"&lt;&gt;")&gt;0,"ok","à faire")</f>
        <v/>
      </c>
      <c r="I1389" s="30">
        <f>IF(COUNTIF(Synonymes!$A:$A,$A1389)&gt;0,"ok","")</f>
        <v/>
      </c>
      <c r="J1389" s="30">
        <f>COUNTIF(E1389:H1389,"à faire")</f>
        <v/>
      </c>
    </row>
    <row r="1390">
      <c r="A1390" s="30" t="inlineStr">
        <is>
          <t>tante_lucienne</t>
        </is>
      </c>
      <c r="B1390" s="30">
        <f>IFERROR(INDEX(Mots!$B:$B,MATCH($A1390,Mots!$A:$A,0)),"introuvable")</f>
        <v/>
      </c>
      <c r="C1390" s="30">
        <f>IFERROR(INDEX(Mots!$S:$S,MATCH($A1390,Mots!$A:$A,0)),"")</f>
        <v/>
      </c>
      <c r="D1390" s="30">
        <f>IFERROR(COUNTA(INDEX(Mots!$J:$J,MATCH($A1390,Mots!$A:$A,0)):INDEX(Mots!$P:$P,MATCH($A1390,Mots!$A:$A,0))),0)</f>
        <v/>
      </c>
      <c r="E1390" s="30">
        <f>IF(COUNTIF(Classement!$A:$A,$A1390)&gt;0,"ok","à faire")</f>
        <v/>
      </c>
      <c r="F1390" s="30">
        <f>IF(COUNTIF(Tags!$A:$A,$A1390)&gt;0,"ok","à faire")</f>
        <v/>
      </c>
      <c r="G1390" s="30">
        <f>IF(COUNTIF(Phrases!$A:$A,$A1390)&gt;0,"ok","à faire")</f>
        <v/>
      </c>
      <c r="H1390" s="30">
        <f>IF(COUNTIFS(Phrases!$A:$A,$A1390,Phrases!$I:$I,"&lt;&gt;")&gt;0,"ok","à faire")</f>
        <v/>
      </c>
      <c r="I1390" s="30">
        <f>IF(COUNTIF(Synonymes!$A:$A,$A1390)&gt;0,"ok","")</f>
        <v/>
      </c>
      <c r="J1390" s="30">
        <f>COUNTIF(E1390:H1390,"à faire")</f>
        <v/>
      </c>
    </row>
    <row r="1391">
      <c r="A1391" s="30" t="inlineStr">
        <is>
          <t>tante_edith</t>
        </is>
      </c>
      <c r="B1391" s="30">
        <f>IFERROR(INDEX(Mots!$B:$B,MATCH($A1391,Mots!$A:$A,0)),"introuvable")</f>
        <v/>
      </c>
      <c r="C1391" s="30">
        <f>IFERROR(INDEX(Mots!$S:$S,MATCH($A1391,Mots!$A:$A,0)),"")</f>
        <v/>
      </c>
      <c r="D1391" s="30">
        <f>IFERROR(COUNTA(INDEX(Mots!$J:$J,MATCH($A1391,Mots!$A:$A,0)):INDEX(Mots!$P:$P,MATCH($A1391,Mots!$A:$A,0))),0)</f>
        <v/>
      </c>
      <c r="E1391" s="30">
        <f>IF(COUNTIF(Classement!$A:$A,$A1391)&gt;0,"ok","à faire")</f>
        <v/>
      </c>
      <c r="F1391" s="30">
        <f>IF(COUNTIF(Tags!$A:$A,$A1391)&gt;0,"ok","à faire")</f>
        <v/>
      </c>
      <c r="G1391" s="30">
        <f>IF(COUNTIF(Phrases!$A:$A,$A1391)&gt;0,"ok","à faire")</f>
        <v/>
      </c>
      <c r="H1391" s="30">
        <f>IF(COUNTIFS(Phrases!$A:$A,$A1391,Phrases!$I:$I,"&lt;&gt;")&gt;0,"ok","à faire")</f>
        <v/>
      </c>
      <c r="I1391" s="30">
        <f>IF(COUNTIF(Synonymes!$A:$A,$A1391)&gt;0,"ok","")</f>
        <v/>
      </c>
      <c r="J1391" s="30">
        <f>COUNTIF(E1391:H1391,"à faire")</f>
        <v/>
      </c>
    </row>
    <row r="1392">
      <c r="A1392" s="30" t="inlineStr">
        <is>
          <t>prix_coupe</t>
        </is>
      </c>
      <c r="B1392" s="30">
        <f>IFERROR(INDEX(Mots!$B:$B,MATCH($A1392,Mots!$A:$A,0)),"introuvable")</f>
        <v/>
      </c>
      <c r="C1392" s="30">
        <f>IFERROR(INDEX(Mots!$S:$S,MATCH($A1392,Mots!$A:$A,0)),"")</f>
        <v/>
      </c>
      <c r="D1392" s="30">
        <f>IFERROR(COUNTA(INDEX(Mots!$J:$J,MATCH($A1392,Mots!$A:$A,0)):INDEX(Mots!$P:$P,MATCH($A1392,Mots!$A:$A,0))),0)</f>
        <v/>
      </c>
      <c r="E1392" s="30">
        <f>IF(COUNTIF(Classement!$A:$A,$A1392)&gt;0,"ok","à faire")</f>
        <v/>
      </c>
      <c r="F1392" s="30">
        <f>IF(COUNTIF(Tags!$A:$A,$A1392)&gt;0,"ok","à faire")</f>
        <v/>
      </c>
      <c r="G1392" s="30">
        <f>IF(COUNTIF(Phrases!$A:$A,$A1392)&gt;0,"ok","à faire")</f>
        <v/>
      </c>
      <c r="H1392" s="30">
        <f>IF(COUNTIFS(Phrases!$A:$A,$A1392,Phrases!$I:$I,"&lt;&gt;")&gt;0,"ok","à faire")</f>
        <v/>
      </c>
      <c r="I1392" s="30">
        <f>IF(COUNTIF(Synonymes!$A:$A,$A1392)&gt;0,"ok","")</f>
        <v/>
      </c>
      <c r="J1392" s="30">
        <f>COUNTIF(E1392:H1392,"à faire")</f>
        <v/>
      </c>
    </row>
    <row r="1393">
      <c r="A1393" s="30" t="inlineStr">
        <is>
          <t>v_quitter</t>
        </is>
      </c>
      <c r="B1393" s="30">
        <f>IFERROR(INDEX(Mots!$B:$B,MATCH($A1393,Mots!$A:$A,0)),"introuvable")</f>
        <v/>
      </c>
      <c r="C1393" s="30">
        <f>IFERROR(INDEX(Mots!$S:$S,MATCH($A1393,Mots!$A:$A,0)),"")</f>
        <v/>
      </c>
      <c r="D1393" s="30">
        <f>IFERROR(COUNTA(INDEX(Mots!$J:$J,MATCH($A1393,Mots!$A:$A,0)):INDEX(Mots!$P:$P,MATCH($A1393,Mots!$A:$A,0))),0)</f>
        <v/>
      </c>
      <c r="E1393" s="30">
        <f>IF(COUNTIF(Classement!$A:$A,$A1393)&gt;0,"ok","à faire")</f>
        <v/>
      </c>
      <c r="F1393" s="30">
        <f>IF(COUNTIF(Tags!$A:$A,$A1393)&gt;0,"ok","à faire")</f>
        <v/>
      </c>
      <c r="G1393" s="30">
        <f>IF(COUNTIF(Phrases!$A:$A,$A1393)&gt;0,"ok","à faire")</f>
        <v/>
      </c>
      <c r="H1393" s="30">
        <f>IF(COUNTIFS(Phrases!$A:$A,$A1393,Phrases!$I:$I,"&lt;&gt;")&gt;0,"ok","à faire")</f>
        <v/>
      </c>
      <c r="I1393" s="30">
        <f>IF(COUNTIF(Synonymes!$A:$A,$A1393)&gt;0,"ok","")</f>
        <v/>
      </c>
      <c r="J1393" s="30">
        <f>COUNTIF(E1393:H1393,"à faire")</f>
        <v/>
      </c>
    </row>
    <row r="1394">
      <c r="A1394" s="30" t="inlineStr">
        <is>
          <t>v_interdire</t>
        </is>
      </c>
      <c r="B1394" s="30">
        <f>IFERROR(INDEX(Mots!$B:$B,MATCH($A1394,Mots!$A:$A,0)),"introuvable")</f>
        <v/>
      </c>
      <c r="C1394" s="30">
        <f>IFERROR(INDEX(Mots!$S:$S,MATCH($A1394,Mots!$A:$A,0)),"")</f>
        <v/>
      </c>
      <c r="D1394" s="30">
        <f>IFERROR(COUNTA(INDEX(Mots!$J:$J,MATCH($A1394,Mots!$A:$A,0)):INDEX(Mots!$P:$P,MATCH($A1394,Mots!$A:$A,0))),0)</f>
        <v/>
      </c>
      <c r="E1394" s="30">
        <f>IF(COUNTIF(Classement!$A:$A,$A1394)&gt;0,"ok","à faire")</f>
        <v/>
      </c>
      <c r="F1394" s="30">
        <f>IF(COUNTIF(Tags!$A:$A,$A1394)&gt;0,"ok","à faire")</f>
        <v/>
      </c>
      <c r="G1394" s="30">
        <f>IF(COUNTIF(Phrases!$A:$A,$A1394)&gt;0,"ok","à faire")</f>
        <v/>
      </c>
      <c r="H1394" s="30">
        <f>IF(COUNTIFS(Phrases!$A:$A,$A1394,Phrases!$I:$I,"&lt;&gt;")&gt;0,"ok","à faire")</f>
        <v/>
      </c>
      <c r="I1394" s="30">
        <f>IF(COUNTIF(Synonymes!$A:$A,$A1394)&gt;0,"ok","")</f>
        <v/>
      </c>
      <c r="J1394" s="30">
        <f>COUNTIF(E1394:H1394,"à faire")</f>
        <v/>
      </c>
    </row>
    <row r="1395">
      <c r="A1395" s="30" t="inlineStr">
        <is>
          <t>v_arriver</t>
        </is>
      </c>
      <c r="B1395" s="30">
        <f>IFERROR(INDEX(Mots!$B:$B,MATCH($A1395,Mots!$A:$A,0)),"introuvable")</f>
        <v/>
      </c>
      <c r="C1395" s="30">
        <f>IFERROR(INDEX(Mots!$S:$S,MATCH($A1395,Mots!$A:$A,0)),"")</f>
        <v/>
      </c>
      <c r="D1395" s="30">
        <f>IFERROR(COUNTA(INDEX(Mots!$J:$J,MATCH($A1395,Mots!$A:$A,0)):INDEX(Mots!$P:$P,MATCH($A1395,Mots!$A:$A,0))),0)</f>
        <v/>
      </c>
      <c r="E1395" s="30">
        <f>IF(COUNTIF(Classement!$A:$A,$A1395)&gt;0,"ok","à faire")</f>
        <v/>
      </c>
      <c r="F1395" s="30">
        <f>IF(COUNTIF(Tags!$A:$A,$A1395)&gt;0,"ok","à faire")</f>
        <v/>
      </c>
      <c r="G1395" s="30">
        <f>IF(COUNTIF(Phrases!$A:$A,$A1395)&gt;0,"ok","à faire")</f>
        <v/>
      </c>
      <c r="H1395" s="30">
        <f>IF(COUNTIFS(Phrases!$A:$A,$A1395,Phrases!$I:$I,"&lt;&gt;")&gt;0,"ok","à faire")</f>
        <v/>
      </c>
      <c r="I1395" s="30">
        <f>IF(COUNTIF(Synonymes!$A:$A,$A1395)&gt;0,"ok","")</f>
        <v/>
      </c>
      <c r="J1395" s="30">
        <f>COUNTIF(E1395:H1395,"à faire")</f>
        <v/>
      </c>
    </row>
    <row r="1396">
      <c r="A1396" s="30" t="inlineStr">
        <is>
          <t>capsule_nespresso</t>
        </is>
      </c>
      <c r="B1396" s="30">
        <f>IFERROR(INDEX(Mots!$B:$B,MATCH($A1396,Mots!$A:$A,0)),"introuvable")</f>
        <v/>
      </c>
      <c r="C1396" s="30">
        <f>IFERROR(INDEX(Mots!$S:$S,MATCH($A1396,Mots!$A:$A,0)),"")</f>
        <v/>
      </c>
      <c r="D1396" s="30">
        <f>IFERROR(COUNTA(INDEX(Mots!$J:$J,MATCH($A1396,Mots!$A:$A,0)):INDEX(Mots!$P:$P,MATCH($A1396,Mots!$A:$A,0))),0)</f>
        <v/>
      </c>
      <c r="E1396" s="30">
        <f>IF(COUNTIF(Classement!$A:$A,$A1396)&gt;0,"ok","à faire")</f>
        <v/>
      </c>
      <c r="F1396" s="30">
        <f>IF(COUNTIF(Tags!$A:$A,$A1396)&gt;0,"ok","à faire")</f>
        <v/>
      </c>
      <c r="G1396" s="30">
        <f>IF(COUNTIF(Phrases!$A:$A,$A1396)&gt;0,"ok","à faire")</f>
        <v/>
      </c>
      <c r="H1396" s="30">
        <f>IF(COUNTIFS(Phrases!$A:$A,$A1396,Phrases!$I:$I,"&lt;&gt;")&gt;0,"ok","à faire")</f>
        <v/>
      </c>
      <c r="I1396" s="30">
        <f>IF(COUNTIF(Synonymes!$A:$A,$A1396)&gt;0,"ok","")</f>
        <v/>
      </c>
      <c r="J1396" s="30">
        <f>COUNTIF(E1396:H1396,"à faire")</f>
        <v/>
      </c>
    </row>
    <row r="1397">
      <c r="A1397" s="30" t="inlineStr">
        <is>
          <t>emotion</t>
        </is>
      </c>
      <c r="B1397" s="30">
        <f>IFERROR(INDEX(Mots!$B:$B,MATCH($A1397,Mots!$A:$A,0)),"introuvable")</f>
        <v/>
      </c>
      <c r="C1397" s="30">
        <f>IFERROR(INDEX(Mots!$S:$S,MATCH($A1397,Mots!$A:$A,0)),"")</f>
        <v/>
      </c>
      <c r="D1397" s="30">
        <f>IFERROR(COUNTA(INDEX(Mots!$J:$J,MATCH($A1397,Mots!$A:$A,0)):INDEX(Mots!$P:$P,MATCH($A1397,Mots!$A:$A,0))),0)</f>
        <v/>
      </c>
      <c r="E1397" s="30">
        <f>IF(COUNTIF(Classement!$A:$A,$A1397)&gt;0,"ok","à faire")</f>
        <v/>
      </c>
      <c r="F1397" s="30">
        <f>IF(COUNTIF(Tags!$A:$A,$A1397)&gt;0,"ok","à faire")</f>
        <v/>
      </c>
      <c r="G1397" s="30">
        <f>IF(COUNTIF(Phrases!$A:$A,$A1397)&gt;0,"ok","à faire")</f>
        <v/>
      </c>
      <c r="H1397" s="30">
        <f>IF(COUNTIFS(Phrases!$A:$A,$A1397,Phrases!$I:$I,"&lt;&gt;")&gt;0,"ok","à faire")</f>
        <v/>
      </c>
      <c r="I1397" s="30">
        <f>IF(COUNTIF(Synonymes!$A:$A,$A1397)&gt;0,"ok","")</f>
        <v/>
      </c>
      <c r="J1397" s="30">
        <f>COUNTIF(E1397:H1397,"à faire")</f>
        <v/>
      </c>
    </row>
    <row r="1398">
      <c r="A1398" s="30" t="inlineStr">
        <is>
          <t>nourriture</t>
        </is>
      </c>
      <c r="B1398" s="30">
        <f>IFERROR(INDEX(Mots!$B:$B,MATCH($A1398,Mots!$A:$A,0)),"introuvable")</f>
        <v/>
      </c>
      <c r="C1398" s="30">
        <f>IFERROR(INDEX(Mots!$S:$S,MATCH($A1398,Mots!$A:$A,0)),"")</f>
        <v/>
      </c>
      <c r="D1398" s="30">
        <f>IFERROR(COUNTA(INDEX(Mots!$J:$J,MATCH($A1398,Mots!$A:$A,0)):INDEX(Mots!$P:$P,MATCH($A1398,Mots!$A:$A,0))),0)</f>
        <v/>
      </c>
      <c r="E1398" s="30">
        <f>IF(COUNTIF(Classement!$A:$A,$A1398)&gt;0,"ok","à faire")</f>
        <v/>
      </c>
      <c r="F1398" s="30">
        <f>IF(COUNTIF(Tags!$A:$A,$A1398)&gt;0,"ok","à faire")</f>
        <v/>
      </c>
      <c r="G1398" s="30">
        <f>IF(COUNTIF(Phrases!$A:$A,$A1398)&gt;0,"ok","à faire")</f>
        <v/>
      </c>
      <c r="H1398" s="30">
        <f>IF(COUNTIFS(Phrases!$A:$A,$A1398,Phrases!$I:$I,"&lt;&gt;")&gt;0,"ok","à faire")</f>
        <v/>
      </c>
      <c r="I1398" s="30">
        <f>IF(COUNTIF(Synonymes!$A:$A,$A1398)&gt;0,"ok","")</f>
        <v/>
      </c>
      <c r="J1398" s="30">
        <f>COUNTIF(E1398:H1398,"à faire")</f>
        <v/>
      </c>
    </row>
    <row r="1399">
      <c r="A1399" s="30" t="inlineStr">
        <is>
          <t>corps_humain</t>
        </is>
      </c>
      <c r="B1399" s="30">
        <f>IFERROR(INDEX(Mots!$B:$B,MATCH($A1399,Mots!$A:$A,0)),"introuvable")</f>
        <v/>
      </c>
      <c r="C1399" s="30">
        <f>IFERROR(INDEX(Mots!$S:$S,MATCH($A1399,Mots!$A:$A,0)),"")</f>
        <v/>
      </c>
      <c r="D1399" s="30">
        <f>IFERROR(COUNTA(INDEX(Mots!$J:$J,MATCH($A1399,Mots!$A:$A,0)):INDEX(Mots!$P:$P,MATCH($A1399,Mots!$A:$A,0))),0)</f>
        <v/>
      </c>
      <c r="E1399" s="30">
        <f>IF(COUNTIF(Classement!$A:$A,$A1399)&gt;0,"ok","à faire")</f>
        <v/>
      </c>
      <c r="F1399" s="30">
        <f>IF(COUNTIF(Tags!$A:$A,$A1399)&gt;0,"ok","à faire")</f>
        <v/>
      </c>
      <c r="G1399" s="30">
        <f>IF(COUNTIF(Phrases!$A:$A,$A1399)&gt;0,"ok","à faire")</f>
        <v/>
      </c>
      <c r="H1399" s="30">
        <f>IF(COUNTIFS(Phrases!$A:$A,$A1399,Phrases!$I:$I,"&lt;&gt;")&gt;0,"ok","à faire")</f>
        <v/>
      </c>
      <c r="I1399" s="30">
        <f>IF(COUNTIF(Synonymes!$A:$A,$A1399)&gt;0,"ok","")</f>
        <v/>
      </c>
      <c r="J1399" s="30">
        <f>COUNTIF(E1399:H1399,"à faire")</f>
        <v/>
      </c>
    </row>
    <row r="1400">
      <c r="A1400" s="30" t="inlineStr">
        <is>
          <t>v_habiter</t>
        </is>
      </c>
      <c r="B1400" s="30">
        <f>IFERROR(INDEX(Mots!$B:$B,MATCH($A1400,Mots!$A:$A,0)),"introuvable")</f>
        <v/>
      </c>
      <c r="C1400" s="30">
        <f>IFERROR(INDEX(Mots!$S:$S,MATCH($A1400,Mots!$A:$A,0)),"")</f>
        <v/>
      </c>
      <c r="D1400" s="30">
        <f>IFERROR(COUNTA(INDEX(Mots!$J:$J,MATCH($A1400,Mots!$A:$A,0)):INDEX(Mots!$P:$P,MATCH($A1400,Mots!$A:$A,0))),0)</f>
        <v/>
      </c>
      <c r="E1400" s="30">
        <f>IF(COUNTIF(Classement!$A:$A,$A1400)&gt;0,"ok","à faire")</f>
        <v/>
      </c>
      <c r="F1400" s="30">
        <f>IF(COUNTIF(Tags!$A:$A,$A1400)&gt;0,"ok","à faire")</f>
        <v/>
      </c>
      <c r="G1400" s="30">
        <f>IF(COUNTIF(Phrases!$A:$A,$A1400)&gt;0,"ok","à faire")</f>
        <v/>
      </c>
      <c r="H1400" s="30">
        <f>IF(COUNTIFS(Phrases!$A:$A,$A1400,Phrases!$I:$I,"&lt;&gt;")&gt;0,"ok","à faire")</f>
        <v/>
      </c>
      <c r="I1400" s="30">
        <f>IF(COUNTIF(Synonymes!$A:$A,$A1400)&gt;0,"ok","")</f>
        <v/>
      </c>
      <c r="J1400" s="30">
        <f>COUNTIF(E1400:H1400,"à faire")</f>
        <v/>
      </c>
    </row>
    <row r="1401">
      <c r="A1401" s="30" t="inlineStr">
        <is>
          <t>v_eclairer</t>
        </is>
      </c>
      <c r="B1401" s="30">
        <f>IFERROR(INDEX(Mots!$B:$B,MATCH($A1401,Mots!$A:$A,0)),"introuvable")</f>
        <v/>
      </c>
      <c r="C1401" s="30">
        <f>IFERROR(INDEX(Mots!$S:$S,MATCH($A1401,Mots!$A:$A,0)),"")</f>
        <v/>
      </c>
      <c r="D1401" s="30">
        <f>IFERROR(COUNTA(INDEX(Mots!$J:$J,MATCH($A1401,Mots!$A:$A,0)):INDEX(Mots!$P:$P,MATCH($A1401,Mots!$A:$A,0))),0)</f>
        <v/>
      </c>
      <c r="E1401" s="30">
        <f>IF(COUNTIF(Classement!$A:$A,$A1401)&gt;0,"ok","à faire")</f>
        <v/>
      </c>
      <c r="F1401" s="30">
        <f>IF(COUNTIF(Tags!$A:$A,$A1401)&gt;0,"ok","à faire")</f>
        <v/>
      </c>
      <c r="G1401" s="30">
        <f>IF(COUNTIF(Phrases!$A:$A,$A1401)&gt;0,"ok","à faire")</f>
        <v/>
      </c>
      <c r="H1401" s="30">
        <f>IF(COUNTIFS(Phrases!$A:$A,$A1401,Phrases!$I:$I,"&lt;&gt;")&gt;0,"ok","à faire")</f>
        <v/>
      </c>
      <c r="I1401" s="30">
        <f>IF(COUNTIF(Synonymes!$A:$A,$A1401)&gt;0,"ok","")</f>
        <v/>
      </c>
      <c r="J1401" s="30">
        <f>COUNTIF(E1401:H1401,"à faire")</f>
        <v/>
      </c>
    </row>
    <row r="1402">
      <c r="A1402" s="30" t="inlineStr">
        <is>
          <t>souper</t>
        </is>
      </c>
      <c r="B1402" s="30">
        <f>IFERROR(INDEX(Mots!$B:$B,MATCH($A1402,Mots!$A:$A,0)),"introuvable")</f>
        <v/>
      </c>
      <c r="C1402" s="30">
        <f>IFERROR(INDEX(Mots!$S:$S,MATCH($A1402,Mots!$A:$A,0)),"")</f>
        <v/>
      </c>
      <c r="D1402" s="30">
        <f>IFERROR(COUNTA(INDEX(Mots!$J:$J,MATCH($A1402,Mots!$A:$A,0)):INDEX(Mots!$P:$P,MATCH($A1402,Mots!$A:$A,0))),0)</f>
        <v/>
      </c>
      <c r="E1402" s="30">
        <f>IF(COUNTIF(Classement!$A:$A,$A1402)&gt;0,"ok","à faire")</f>
        <v/>
      </c>
      <c r="F1402" s="30">
        <f>IF(COUNTIF(Tags!$A:$A,$A1402)&gt;0,"ok","à faire")</f>
        <v/>
      </c>
      <c r="G1402" s="30">
        <f>IF(COUNTIF(Phrases!$A:$A,$A1402)&gt;0,"ok","à faire")</f>
        <v/>
      </c>
      <c r="H1402" s="30">
        <f>IF(COUNTIFS(Phrases!$A:$A,$A1402,Phrases!$I:$I,"&lt;&gt;")&gt;0,"ok","à faire")</f>
        <v/>
      </c>
      <c r="I1402" s="30">
        <f>IF(COUNTIF(Synonymes!$A:$A,$A1402)&gt;0,"ok","")</f>
        <v/>
      </c>
      <c r="J1402" s="30">
        <f>COUNTIF(E1402:H1402,"à faire")</f>
        <v/>
      </c>
    </row>
    <row r="1403">
      <c r="A1403" s="30" t="inlineStr">
        <is>
          <t>pommier</t>
        </is>
      </c>
      <c r="B1403" s="30">
        <f>IFERROR(INDEX(Mots!$B:$B,MATCH($A1403,Mots!$A:$A,0)),"introuvable")</f>
        <v/>
      </c>
      <c r="C1403" s="30">
        <f>IFERROR(INDEX(Mots!$S:$S,MATCH($A1403,Mots!$A:$A,0)),"")</f>
        <v/>
      </c>
      <c r="D1403" s="30">
        <f>IFERROR(COUNTA(INDEX(Mots!$J:$J,MATCH($A1403,Mots!$A:$A,0)):INDEX(Mots!$P:$P,MATCH($A1403,Mots!$A:$A,0))),0)</f>
        <v/>
      </c>
      <c r="E1403" s="30">
        <f>IF(COUNTIF(Classement!$A:$A,$A1403)&gt;0,"ok","à faire")</f>
        <v/>
      </c>
      <c r="F1403" s="30">
        <f>IF(COUNTIF(Tags!$A:$A,$A1403)&gt;0,"ok","à faire")</f>
        <v/>
      </c>
      <c r="G1403" s="30">
        <f>IF(COUNTIF(Phrases!$A:$A,$A1403)&gt;0,"ok","à faire")</f>
        <v/>
      </c>
      <c r="H1403" s="30">
        <f>IF(COUNTIFS(Phrases!$A:$A,$A1403,Phrases!$I:$I,"&lt;&gt;")&gt;0,"ok","à faire")</f>
        <v/>
      </c>
      <c r="I1403" s="30">
        <f>IF(COUNTIF(Synonymes!$A:$A,$A1403)&gt;0,"ok","")</f>
        <v/>
      </c>
      <c r="J1403" s="30">
        <f>COUNTIF(E1403:H1403,"à faire")</f>
        <v/>
      </c>
    </row>
    <row r="1404">
      <c r="A1404" s="30" t="inlineStr">
        <is>
          <t>v_griller</t>
        </is>
      </c>
      <c r="B1404" s="30">
        <f>IFERROR(INDEX(Mots!$B:$B,MATCH($A1404,Mots!$A:$A,0)),"introuvable")</f>
        <v/>
      </c>
      <c r="C1404" s="30">
        <f>IFERROR(INDEX(Mots!$S:$S,MATCH($A1404,Mots!$A:$A,0)),"")</f>
        <v/>
      </c>
      <c r="D1404" s="30">
        <f>IFERROR(COUNTA(INDEX(Mots!$J:$J,MATCH($A1404,Mots!$A:$A,0)):INDEX(Mots!$P:$P,MATCH($A1404,Mots!$A:$A,0))),0)</f>
        <v/>
      </c>
      <c r="E1404" s="30">
        <f>IF(COUNTIF(Classement!$A:$A,$A1404)&gt;0,"ok","à faire")</f>
        <v/>
      </c>
      <c r="F1404" s="30">
        <f>IF(COUNTIF(Tags!$A:$A,$A1404)&gt;0,"ok","à faire")</f>
        <v/>
      </c>
      <c r="G1404" s="30">
        <f>IF(COUNTIF(Phrases!$A:$A,$A1404)&gt;0,"ok","à faire")</f>
        <v/>
      </c>
      <c r="H1404" s="30">
        <f>IF(COUNTIFS(Phrases!$A:$A,$A1404,Phrases!$I:$I,"&lt;&gt;")&gt;0,"ok","à faire")</f>
        <v/>
      </c>
      <c r="I1404" s="30">
        <f>IF(COUNTIF(Synonymes!$A:$A,$A1404)&gt;0,"ok","")</f>
        <v/>
      </c>
      <c r="J1404" s="30">
        <f>COUNTIF(E1404:H1404,"à faire")</f>
        <v/>
      </c>
    </row>
    <row r="1405">
      <c r="A1405" s="30" t="inlineStr">
        <is>
          <t>animal</t>
        </is>
      </c>
      <c r="B1405" s="30">
        <f>IFERROR(INDEX(Mots!$B:$B,MATCH($A1405,Mots!$A:$A,0)),"introuvable")</f>
        <v/>
      </c>
      <c r="C1405" s="30">
        <f>IFERROR(INDEX(Mots!$S:$S,MATCH($A1405,Mots!$A:$A,0)),"")</f>
        <v/>
      </c>
      <c r="D1405" s="30">
        <f>IFERROR(COUNTA(INDEX(Mots!$J:$J,MATCH($A1405,Mots!$A:$A,0)):INDEX(Mots!$P:$P,MATCH($A1405,Mots!$A:$A,0))),0)</f>
        <v/>
      </c>
      <c r="E1405" s="30">
        <f>IF(COUNTIF(Classement!$A:$A,$A1405)&gt;0,"ok","à faire")</f>
        <v/>
      </c>
      <c r="F1405" s="30">
        <f>IF(COUNTIF(Tags!$A:$A,$A1405)&gt;0,"ok","à faire")</f>
        <v/>
      </c>
      <c r="G1405" s="30">
        <f>IF(COUNTIF(Phrases!$A:$A,$A1405)&gt;0,"ok","à faire")</f>
        <v/>
      </c>
      <c r="H1405" s="30">
        <f>IF(COUNTIFS(Phrases!$A:$A,$A1405,Phrases!$I:$I,"&lt;&gt;")&gt;0,"ok","à faire")</f>
        <v/>
      </c>
      <c r="I1405" s="30">
        <f>IF(COUNTIF(Synonymes!$A:$A,$A1405)&gt;0,"ok","")</f>
        <v/>
      </c>
      <c r="J1405" s="30">
        <f>COUNTIF(E1405:H1405,"à faire")</f>
        <v/>
      </c>
    </row>
    <row r="1406">
      <c r="A1406" s="30" t="inlineStr">
        <is>
          <t>assaisonnement</t>
        </is>
      </c>
      <c r="B1406" s="30">
        <f>IFERROR(INDEX(Mots!$B:$B,MATCH($A1406,Mots!$A:$A,0)),"introuvable")</f>
        <v/>
      </c>
      <c r="C1406" s="30">
        <f>IFERROR(INDEX(Mots!$S:$S,MATCH($A1406,Mots!$A:$A,0)),"")</f>
        <v/>
      </c>
      <c r="D1406" s="30">
        <f>IFERROR(COUNTA(INDEX(Mots!$J:$J,MATCH($A1406,Mots!$A:$A,0)):INDEX(Mots!$P:$P,MATCH($A1406,Mots!$A:$A,0))),0)</f>
        <v/>
      </c>
      <c r="E1406" s="30">
        <f>IF(COUNTIF(Classement!$A:$A,$A1406)&gt;0,"ok","à faire")</f>
        <v/>
      </c>
      <c r="F1406" s="30">
        <f>IF(COUNTIF(Tags!$A:$A,$A1406)&gt;0,"ok","à faire")</f>
        <v/>
      </c>
      <c r="G1406" s="30">
        <f>IF(COUNTIF(Phrases!$A:$A,$A1406)&gt;0,"ok","à faire")</f>
        <v/>
      </c>
      <c r="H1406" s="30">
        <f>IF(COUNTIFS(Phrases!$A:$A,$A1406,Phrases!$I:$I,"&lt;&gt;")&gt;0,"ok","à faire")</f>
        <v/>
      </c>
      <c r="I1406" s="30">
        <f>IF(COUNTIF(Synonymes!$A:$A,$A1406)&gt;0,"ok","")</f>
        <v/>
      </c>
      <c r="J1406" s="30">
        <f>COUNTIF(E1406:H1406,"à faire")</f>
        <v/>
      </c>
    </row>
    <row r="1407">
      <c r="A1407" s="30" t="inlineStr">
        <is>
          <t>v_conduire</t>
        </is>
      </c>
      <c r="B1407" s="30">
        <f>IFERROR(INDEX(Mots!$B:$B,MATCH($A1407,Mots!$A:$A,0)),"introuvable")</f>
        <v/>
      </c>
      <c r="C1407" s="30">
        <f>IFERROR(INDEX(Mots!$S:$S,MATCH($A1407,Mots!$A:$A,0)),"")</f>
        <v/>
      </c>
      <c r="D1407" s="30">
        <f>IFERROR(COUNTA(INDEX(Mots!$J:$J,MATCH($A1407,Mots!$A:$A,0)):INDEX(Mots!$P:$P,MATCH($A1407,Mots!$A:$A,0))),0)</f>
        <v/>
      </c>
      <c r="E1407" s="30">
        <f>IF(COUNTIF(Classement!$A:$A,$A1407)&gt;0,"ok","à faire")</f>
        <v/>
      </c>
      <c r="F1407" s="30">
        <f>IF(COUNTIF(Tags!$A:$A,$A1407)&gt;0,"ok","à faire")</f>
        <v/>
      </c>
      <c r="G1407" s="30">
        <f>IF(COUNTIF(Phrases!$A:$A,$A1407)&gt;0,"ok","à faire")</f>
        <v/>
      </c>
      <c r="H1407" s="30">
        <f>IF(COUNTIFS(Phrases!$A:$A,$A1407,Phrases!$I:$I,"&lt;&gt;")&gt;0,"ok","à faire")</f>
        <v/>
      </c>
      <c r="I1407" s="30">
        <f>IF(COUNTIF(Synonymes!$A:$A,$A1407)&gt;0,"ok","")</f>
        <v/>
      </c>
      <c r="J1407" s="30">
        <f>COUNTIF(E1407:H1407,"à faire")</f>
        <v/>
      </c>
    </row>
    <row r="1408">
      <c r="A1408" s="30" t="inlineStr">
        <is>
          <t>habit</t>
        </is>
      </c>
      <c r="B1408" s="30">
        <f>IFERROR(INDEX(Mots!$B:$B,MATCH($A1408,Mots!$A:$A,0)),"introuvable")</f>
        <v/>
      </c>
      <c r="C1408" s="30">
        <f>IFERROR(INDEX(Mots!$S:$S,MATCH($A1408,Mots!$A:$A,0)),"")</f>
        <v/>
      </c>
      <c r="D1408" s="30">
        <f>IFERROR(COUNTA(INDEX(Mots!$J:$J,MATCH($A1408,Mots!$A:$A,0)):INDEX(Mots!$P:$P,MATCH($A1408,Mots!$A:$A,0))),0)</f>
        <v/>
      </c>
      <c r="E1408" s="30">
        <f>IF(COUNTIF(Classement!$A:$A,$A1408)&gt;0,"ok","à faire")</f>
        <v/>
      </c>
      <c r="F1408" s="30">
        <f>IF(COUNTIF(Tags!$A:$A,$A1408)&gt;0,"ok","à faire")</f>
        <v/>
      </c>
      <c r="G1408" s="30">
        <f>IF(COUNTIF(Phrases!$A:$A,$A1408)&gt;0,"ok","à faire")</f>
        <v/>
      </c>
      <c r="H1408" s="30">
        <f>IF(COUNTIFS(Phrases!$A:$A,$A1408,Phrases!$I:$I,"&lt;&gt;")&gt;0,"ok","à faire")</f>
        <v/>
      </c>
      <c r="I1408" s="30">
        <f>IF(COUNTIF(Synonymes!$A:$A,$A1408)&gt;0,"ok","")</f>
        <v/>
      </c>
      <c r="J1408" s="30">
        <f>COUNTIF(E1408:H1408,"à faire")</f>
        <v/>
      </c>
    </row>
    <row r="1409">
      <c r="A1409" s="30" t="inlineStr">
        <is>
          <t>v_traverser</t>
        </is>
      </c>
      <c r="B1409" s="30">
        <f>IFERROR(INDEX(Mots!$B:$B,MATCH($A1409,Mots!$A:$A,0)),"introuvable")</f>
        <v/>
      </c>
      <c r="C1409" s="30">
        <f>IFERROR(INDEX(Mots!$S:$S,MATCH($A1409,Mots!$A:$A,0)),"")</f>
        <v/>
      </c>
      <c r="D1409" s="30">
        <f>IFERROR(COUNTA(INDEX(Mots!$J:$J,MATCH($A1409,Mots!$A:$A,0)):INDEX(Mots!$P:$P,MATCH($A1409,Mots!$A:$A,0))),0)</f>
        <v/>
      </c>
      <c r="E1409" s="30">
        <f>IF(COUNTIF(Classement!$A:$A,$A1409)&gt;0,"ok","à faire")</f>
        <v/>
      </c>
      <c r="F1409" s="30">
        <f>IF(COUNTIF(Tags!$A:$A,$A1409)&gt;0,"ok","à faire")</f>
        <v/>
      </c>
      <c r="G1409" s="30">
        <f>IF(COUNTIF(Phrases!$A:$A,$A1409)&gt;0,"ok","à faire")</f>
        <v/>
      </c>
      <c r="H1409" s="30">
        <f>IF(COUNTIFS(Phrases!$A:$A,$A1409,Phrases!$I:$I,"&lt;&gt;")&gt;0,"ok","à faire")</f>
        <v/>
      </c>
      <c r="I1409" s="30">
        <f>IF(COUNTIF(Synonymes!$A:$A,$A1409)&gt;0,"ok","")</f>
        <v/>
      </c>
      <c r="J1409" s="30">
        <f>COUNTIF(E1409:H1409,"à faire")</f>
        <v/>
      </c>
    </row>
    <row r="1410">
      <c r="A1410" s="30" t="inlineStr">
        <is>
          <t>v_avaler</t>
        </is>
      </c>
      <c r="B1410" s="30">
        <f>IFERROR(INDEX(Mots!$B:$B,MATCH($A1410,Mots!$A:$A,0)),"introuvable")</f>
        <v/>
      </c>
      <c r="C1410" s="30">
        <f>IFERROR(INDEX(Mots!$S:$S,MATCH($A1410,Mots!$A:$A,0)),"")</f>
        <v/>
      </c>
      <c r="D1410" s="30">
        <f>IFERROR(COUNTA(INDEX(Mots!$J:$J,MATCH($A1410,Mots!$A:$A,0)):INDEX(Mots!$P:$P,MATCH($A1410,Mots!$A:$A,0))),0)</f>
        <v/>
      </c>
      <c r="E1410" s="30">
        <f>IF(COUNTIF(Classement!$A:$A,$A1410)&gt;0,"ok","à faire")</f>
        <v/>
      </c>
      <c r="F1410" s="30">
        <f>IF(COUNTIF(Tags!$A:$A,$A1410)&gt;0,"ok","à faire")</f>
        <v/>
      </c>
      <c r="G1410" s="30">
        <f>IF(COUNTIF(Phrases!$A:$A,$A1410)&gt;0,"ok","à faire")</f>
        <v/>
      </c>
      <c r="H1410" s="30">
        <f>IF(COUNTIFS(Phrases!$A:$A,$A1410,Phrases!$I:$I,"&lt;&gt;")&gt;0,"ok","à faire")</f>
        <v/>
      </c>
      <c r="I1410" s="30">
        <f>IF(COUNTIF(Synonymes!$A:$A,$A1410)&gt;0,"ok","")</f>
        <v/>
      </c>
      <c r="J1410" s="30">
        <f>COUNTIF(E1410:H1410,"à faire")</f>
        <v/>
      </c>
    </row>
    <row r="1411">
      <c r="A1411" s="30" t="inlineStr">
        <is>
          <t>e_verre</t>
        </is>
      </c>
      <c r="B1411" s="30">
        <f>IFERROR(INDEX(Mots!$B:$B,MATCH($A1411,Mots!$A:$A,0)),"introuvable")</f>
        <v/>
      </c>
      <c r="C1411" s="30">
        <f>IFERROR(INDEX(Mots!$S:$S,MATCH($A1411,Mots!$A:$A,0)),"")</f>
        <v/>
      </c>
      <c r="D1411" s="30">
        <f>IFERROR(COUNTA(INDEX(Mots!$J:$J,MATCH($A1411,Mots!$A:$A,0)):INDEX(Mots!$P:$P,MATCH($A1411,Mots!$A:$A,0))),0)</f>
        <v/>
      </c>
      <c r="E1411" s="30">
        <f>IF(COUNTIF(Classement!$A:$A,$A1411)&gt;0,"ok","à faire")</f>
        <v/>
      </c>
      <c r="F1411" s="30">
        <f>IF(COUNTIF(Tags!$A:$A,$A1411)&gt;0,"ok","à faire")</f>
        <v/>
      </c>
      <c r="G1411" s="30">
        <f>IF(COUNTIF(Phrases!$A:$A,$A1411)&gt;0,"ok","à faire")</f>
        <v/>
      </c>
      <c r="H1411" s="30">
        <f>IF(COUNTIFS(Phrases!$A:$A,$A1411,Phrases!$I:$I,"&lt;&gt;")&gt;0,"ok","à faire")</f>
        <v/>
      </c>
      <c r="I1411" s="30">
        <f>IF(COUNTIF(Synonymes!$A:$A,$A1411)&gt;0,"ok","")</f>
        <v/>
      </c>
      <c r="J1411" s="30">
        <f>COUNTIF(E1411:H1411,"à faire")</f>
        <v/>
      </c>
    </row>
    <row r="1412">
      <c r="A1412" s="30" t="inlineStr">
        <is>
          <t>yvan_lagger</t>
        </is>
      </c>
      <c r="B1412" s="30">
        <f>IFERROR(INDEX(Mots!$B:$B,MATCH($A1412,Mots!$A:$A,0)),"introuvable")</f>
        <v/>
      </c>
      <c r="C1412" s="30">
        <f>IFERROR(INDEX(Mots!$S:$S,MATCH($A1412,Mots!$A:$A,0)),"")</f>
        <v/>
      </c>
      <c r="D1412" s="30">
        <f>IFERROR(COUNTA(INDEX(Mots!$J:$J,MATCH($A1412,Mots!$A:$A,0)):INDEX(Mots!$P:$P,MATCH($A1412,Mots!$A:$A,0))),0)</f>
        <v/>
      </c>
      <c r="E1412" s="30">
        <f>IF(COUNTIF(Classement!$A:$A,$A1412)&gt;0,"ok","à faire")</f>
        <v/>
      </c>
      <c r="F1412" s="30">
        <f>IF(COUNTIF(Tags!$A:$A,$A1412)&gt;0,"ok","à faire")</f>
        <v/>
      </c>
      <c r="G1412" s="30">
        <f>IF(COUNTIF(Phrases!$A:$A,$A1412)&gt;0,"ok","à faire")</f>
        <v/>
      </c>
      <c r="H1412" s="30">
        <f>IF(COUNTIFS(Phrases!$A:$A,$A1412,Phrases!$I:$I,"&lt;&gt;")&gt;0,"ok","à faire")</f>
        <v/>
      </c>
      <c r="I1412" s="30">
        <f>IF(COUNTIF(Synonymes!$A:$A,$A1412)&gt;0,"ok","")</f>
        <v/>
      </c>
      <c r="J1412" s="30">
        <f>COUNTIF(E1412:H1412,"à faire")</f>
        <v/>
      </c>
    </row>
    <row r="1413">
      <c r="A1413" s="30" t="inlineStr">
        <is>
          <t>v_chauffer</t>
        </is>
      </c>
      <c r="B1413" s="30">
        <f>IFERROR(INDEX(Mots!$B:$B,MATCH($A1413,Mots!$A:$A,0)),"introuvable")</f>
        <v/>
      </c>
      <c r="C1413" s="30">
        <f>IFERROR(INDEX(Mots!$S:$S,MATCH($A1413,Mots!$A:$A,0)),"")</f>
        <v/>
      </c>
      <c r="D1413" s="30">
        <f>IFERROR(COUNTA(INDEX(Mots!$J:$J,MATCH($A1413,Mots!$A:$A,0)):INDEX(Mots!$P:$P,MATCH($A1413,Mots!$A:$A,0))),0)</f>
        <v/>
      </c>
      <c r="E1413" s="30">
        <f>IF(COUNTIF(Classement!$A:$A,$A1413)&gt;0,"ok","à faire")</f>
        <v/>
      </c>
      <c r="F1413" s="30">
        <f>IF(COUNTIF(Tags!$A:$A,$A1413)&gt;0,"ok","à faire")</f>
        <v/>
      </c>
      <c r="G1413" s="30">
        <f>IF(COUNTIF(Phrases!$A:$A,$A1413)&gt;0,"ok","à faire")</f>
        <v/>
      </c>
      <c r="H1413" s="30">
        <f>IF(COUNTIFS(Phrases!$A:$A,$A1413,Phrases!$I:$I,"&lt;&gt;")&gt;0,"ok","à faire")</f>
        <v/>
      </c>
      <c r="I1413" s="30">
        <f>IF(COUNTIF(Synonymes!$A:$A,$A1413)&gt;0,"ok","")</f>
        <v/>
      </c>
      <c r="J1413" s="30">
        <f>COUNTIF(E1413:H1413,"à faire")</f>
        <v/>
      </c>
    </row>
    <row r="1414">
      <c r="A1414" s="30" t="inlineStr">
        <is>
          <t>v_transporter</t>
        </is>
      </c>
      <c r="B1414" s="30">
        <f>IFERROR(INDEX(Mots!$B:$B,MATCH($A1414,Mots!$A:$A,0)),"introuvable")</f>
        <v/>
      </c>
      <c r="C1414" s="30">
        <f>IFERROR(INDEX(Mots!$S:$S,MATCH($A1414,Mots!$A:$A,0)),"")</f>
        <v/>
      </c>
      <c r="D1414" s="30">
        <f>IFERROR(COUNTA(INDEX(Mots!$J:$J,MATCH($A1414,Mots!$A:$A,0)):INDEX(Mots!$P:$P,MATCH($A1414,Mots!$A:$A,0))),0)</f>
        <v/>
      </c>
      <c r="E1414" s="30">
        <f>IF(COUNTIF(Classement!$A:$A,$A1414)&gt;0,"ok","à faire")</f>
        <v/>
      </c>
      <c r="F1414" s="30">
        <f>IF(COUNTIF(Tags!$A:$A,$A1414)&gt;0,"ok","à faire")</f>
        <v/>
      </c>
      <c r="G1414" s="30">
        <f>IF(COUNTIF(Phrases!$A:$A,$A1414)&gt;0,"ok","à faire")</f>
        <v/>
      </c>
      <c r="H1414" s="30">
        <f>IF(COUNTIFS(Phrases!$A:$A,$A1414,Phrases!$I:$I,"&lt;&gt;")&gt;0,"ok","à faire")</f>
        <v/>
      </c>
      <c r="I1414" s="30">
        <f>IF(COUNTIF(Synonymes!$A:$A,$A1414)&gt;0,"ok","")</f>
        <v/>
      </c>
      <c r="J1414" s="30">
        <f>COUNTIF(E1414:H1414,"à faire")</f>
        <v/>
      </c>
    </row>
    <row r="1415">
      <c r="A1415" s="30" t="inlineStr">
        <is>
          <t>parquet</t>
        </is>
      </c>
      <c r="B1415" s="30">
        <f>IFERROR(INDEX(Mots!$B:$B,MATCH($A1415,Mots!$A:$A,0)),"introuvable")</f>
        <v/>
      </c>
      <c r="C1415" s="30">
        <f>IFERROR(INDEX(Mots!$S:$S,MATCH($A1415,Mots!$A:$A,0)),"")</f>
        <v/>
      </c>
      <c r="D1415" s="30">
        <f>IFERROR(COUNTA(INDEX(Mots!$J:$J,MATCH($A1415,Mots!$A:$A,0)):INDEX(Mots!$P:$P,MATCH($A1415,Mots!$A:$A,0))),0)</f>
        <v/>
      </c>
      <c r="E1415" s="30">
        <f>IF(COUNTIF(Classement!$A:$A,$A1415)&gt;0,"ok","à faire")</f>
        <v/>
      </c>
      <c r="F1415" s="30">
        <f>IF(COUNTIF(Tags!$A:$A,$A1415)&gt;0,"ok","à faire")</f>
        <v/>
      </c>
      <c r="G1415" s="30">
        <f>IF(COUNTIF(Phrases!$A:$A,$A1415)&gt;0,"ok","à faire")</f>
        <v/>
      </c>
      <c r="H1415" s="30">
        <f>IF(COUNTIFS(Phrases!$A:$A,$A1415,Phrases!$I:$I,"&lt;&gt;")&gt;0,"ok","à faire")</f>
        <v/>
      </c>
      <c r="I1415" s="30">
        <f>IF(COUNTIF(Synonymes!$A:$A,$A1415)&gt;0,"ok","")</f>
        <v/>
      </c>
      <c r="J1415" s="30">
        <f>COUNTIF(E1415:H1415,"à faire")</f>
        <v/>
      </c>
    </row>
    <row r="1416">
      <c r="A1416" s="30" t="inlineStr">
        <is>
          <t>v_ramper</t>
        </is>
      </c>
      <c r="B1416" s="30">
        <f>IFERROR(INDEX(Mots!$B:$B,MATCH($A1416,Mots!$A:$A,0)),"introuvable")</f>
        <v/>
      </c>
      <c r="C1416" s="30">
        <f>IFERROR(INDEX(Mots!$S:$S,MATCH($A1416,Mots!$A:$A,0)),"")</f>
        <v/>
      </c>
      <c r="D1416" s="30">
        <f>IFERROR(COUNTA(INDEX(Mots!$J:$J,MATCH($A1416,Mots!$A:$A,0)):INDEX(Mots!$P:$P,MATCH($A1416,Mots!$A:$A,0))),0)</f>
        <v/>
      </c>
      <c r="E1416" s="30">
        <f>IF(COUNTIF(Classement!$A:$A,$A1416)&gt;0,"ok","à faire")</f>
        <v/>
      </c>
      <c r="F1416" s="30">
        <f>IF(COUNTIF(Tags!$A:$A,$A1416)&gt;0,"ok","à faire")</f>
        <v/>
      </c>
      <c r="G1416" s="30">
        <f>IF(COUNTIF(Phrases!$A:$A,$A1416)&gt;0,"ok","à faire")</f>
        <v/>
      </c>
      <c r="H1416" s="30">
        <f>IF(COUNTIFS(Phrases!$A:$A,$A1416,Phrases!$I:$I,"&lt;&gt;")&gt;0,"ok","à faire")</f>
        <v/>
      </c>
      <c r="I1416" s="30">
        <f>IF(COUNTIF(Synonymes!$A:$A,$A1416)&gt;0,"ok","")</f>
        <v/>
      </c>
      <c r="J1416" s="30">
        <f>COUNTIF(E1416:H1416,"à faire")</f>
        <v/>
      </c>
    </row>
    <row r="1417">
      <c r="A1417" s="30" t="inlineStr">
        <is>
          <t>produit_de_douche</t>
        </is>
      </c>
      <c r="B1417" s="30">
        <f>IFERROR(INDEX(Mots!$B:$B,MATCH($A1417,Mots!$A:$A,0)),"introuvable")</f>
        <v/>
      </c>
      <c r="C1417" s="30">
        <f>IFERROR(INDEX(Mots!$S:$S,MATCH($A1417,Mots!$A:$A,0)),"")</f>
        <v/>
      </c>
      <c r="D1417" s="30">
        <f>IFERROR(COUNTA(INDEX(Mots!$J:$J,MATCH($A1417,Mots!$A:$A,0)):INDEX(Mots!$P:$P,MATCH($A1417,Mots!$A:$A,0))),0)</f>
        <v/>
      </c>
      <c r="E1417" s="30">
        <f>IF(COUNTIF(Classement!$A:$A,$A1417)&gt;0,"ok","à faire")</f>
        <v/>
      </c>
      <c r="F1417" s="30">
        <f>IF(COUNTIF(Tags!$A:$A,$A1417)&gt;0,"ok","à faire")</f>
        <v/>
      </c>
      <c r="G1417" s="30">
        <f>IF(COUNTIF(Phrases!$A:$A,$A1417)&gt;0,"ok","à faire")</f>
        <v/>
      </c>
      <c r="H1417" s="30">
        <f>IF(COUNTIFS(Phrases!$A:$A,$A1417,Phrases!$I:$I,"&lt;&gt;")&gt;0,"ok","à faire")</f>
        <v/>
      </c>
      <c r="I1417" s="30">
        <f>IF(COUNTIF(Synonymes!$A:$A,$A1417)&gt;0,"ok","")</f>
        <v/>
      </c>
      <c r="J1417" s="30">
        <f>COUNTIF(E1417:H1417,"à faire")</f>
        <v/>
      </c>
    </row>
    <row r="1418">
      <c r="A1418" s="30" t="inlineStr">
        <is>
          <t>aile_animal</t>
        </is>
      </c>
      <c r="B1418" s="30">
        <f>IFERROR(INDEX(Mots!$B:$B,MATCH($A1418,Mots!$A:$A,0)),"introuvable")</f>
        <v/>
      </c>
      <c r="C1418" s="30">
        <f>IFERROR(INDEX(Mots!$S:$S,MATCH($A1418,Mots!$A:$A,0)),"")</f>
        <v/>
      </c>
      <c r="D1418" s="30">
        <f>IFERROR(COUNTA(INDEX(Mots!$J:$J,MATCH($A1418,Mots!$A:$A,0)):INDEX(Mots!$P:$P,MATCH($A1418,Mots!$A:$A,0))),0)</f>
        <v/>
      </c>
      <c r="E1418" s="30">
        <f>IF(COUNTIF(Classement!$A:$A,$A1418)&gt;0,"ok","à faire")</f>
        <v/>
      </c>
      <c r="F1418" s="30">
        <f>IF(COUNTIF(Tags!$A:$A,$A1418)&gt;0,"ok","à faire")</f>
        <v/>
      </c>
      <c r="G1418" s="30">
        <f>IF(COUNTIF(Phrases!$A:$A,$A1418)&gt;0,"ok","à faire")</f>
        <v/>
      </c>
      <c r="H1418" s="30">
        <f>IF(COUNTIFS(Phrases!$A:$A,$A1418,Phrases!$I:$I,"&lt;&gt;")&gt;0,"ok","à faire")</f>
        <v/>
      </c>
      <c r="I1418" s="30">
        <f>IF(COUNTIF(Synonymes!$A:$A,$A1418)&gt;0,"ok","")</f>
        <v/>
      </c>
      <c r="J1418" s="30">
        <f>COUNTIF(E1418:H1418,"à faire")</f>
        <v/>
      </c>
    </row>
    <row r="1419">
      <c r="A1419" s="30" t="inlineStr">
        <is>
          <t>aile_avion</t>
        </is>
      </c>
      <c r="B1419" s="30">
        <f>IFERROR(INDEX(Mots!$B:$B,MATCH($A1419,Mots!$A:$A,0)),"introuvable")</f>
        <v/>
      </c>
      <c r="C1419" s="30">
        <f>IFERROR(INDEX(Mots!$S:$S,MATCH($A1419,Mots!$A:$A,0)),"")</f>
        <v/>
      </c>
      <c r="D1419" s="30">
        <f>IFERROR(COUNTA(INDEX(Mots!$J:$J,MATCH($A1419,Mots!$A:$A,0)):INDEX(Mots!$P:$P,MATCH($A1419,Mots!$A:$A,0))),0)</f>
        <v/>
      </c>
      <c r="E1419" s="30">
        <f>IF(COUNTIF(Classement!$A:$A,$A1419)&gt;0,"ok","à faire")</f>
        <v/>
      </c>
      <c r="F1419" s="30">
        <f>IF(COUNTIF(Tags!$A:$A,$A1419)&gt;0,"ok","à faire")</f>
        <v/>
      </c>
      <c r="G1419" s="30">
        <f>IF(COUNTIF(Phrases!$A:$A,$A1419)&gt;0,"ok","à faire")</f>
        <v/>
      </c>
      <c r="H1419" s="30">
        <f>IF(COUNTIFS(Phrases!$A:$A,$A1419,Phrases!$I:$I,"&lt;&gt;")&gt;0,"ok","à faire")</f>
        <v/>
      </c>
      <c r="I1419" s="30">
        <f>IF(COUNTIF(Synonymes!$A:$A,$A1419)&gt;0,"ok","")</f>
        <v/>
      </c>
      <c r="J1419" s="30">
        <f>COUNTIF(E1419:H1419,"à faire")</f>
        <v/>
      </c>
    </row>
    <row r="1420">
      <c r="A1420" s="30" t="inlineStr">
        <is>
          <t>virage</t>
        </is>
      </c>
      <c r="B1420" s="30">
        <f>IFERROR(INDEX(Mots!$B:$B,MATCH($A1420,Mots!$A:$A,0)),"introuvable")</f>
        <v/>
      </c>
      <c r="C1420" s="30">
        <f>IFERROR(INDEX(Mots!$S:$S,MATCH($A1420,Mots!$A:$A,0)),"")</f>
        <v/>
      </c>
      <c r="D1420" s="30">
        <f>IFERROR(COUNTA(INDEX(Mots!$J:$J,MATCH($A1420,Mots!$A:$A,0)):INDEX(Mots!$P:$P,MATCH($A1420,Mots!$A:$A,0))),0)</f>
        <v/>
      </c>
      <c r="E1420" s="30">
        <f>IF(COUNTIF(Classement!$A:$A,$A1420)&gt;0,"ok","à faire")</f>
        <v/>
      </c>
      <c r="F1420" s="30">
        <f>IF(COUNTIF(Tags!$A:$A,$A1420)&gt;0,"ok","à faire")</f>
        <v/>
      </c>
      <c r="G1420" s="30">
        <f>IF(COUNTIF(Phrases!$A:$A,$A1420)&gt;0,"ok","à faire")</f>
        <v/>
      </c>
      <c r="H1420" s="30">
        <f>IF(COUNTIFS(Phrases!$A:$A,$A1420,Phrases!$I:$I,"&lt;&gt;")&gt;0,"ok","à faire")</f>
        <v/>
      </c>
      <c r="I1420" s="30">
        <f>IF(COUNTIF(Synonymes!$A:$A,$A1420)&gt;0,"ok","")</f>
        <v/>
      </c>
      <c r="J1420" s="30">
        <f>COUNTIF(E1420:H1420,"à faire")</f>
        <v/>
      </c>
    </row>
  </sheetData>
  <autoFilter ref="A1:J1420"/>
  <conditionalFormatting sqref="E2:H1420">
    <cfRule type="cellIs" priority="1" operator="equal" dxfId="4">
      <formula>"à faire"</formula>
    </cfRule>
    <cfRule type="cellIs" priority="2" operator="equal" dxfId="5">
      <formula>"ok"</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9"/>
  <sheetViews>
    <sheetView workbookViewId="0">
      <pane ySplit="1" topLeftCell="A2" activePane="bottomLeft" state="frozen"/>
      <selection pane="bottomLeft" activeCell="A1" sqref="A1"/>
    </sheetView>
  </sheetViews>
  <sheetFormatPr baseColWidth="8" defaultRowHeight="15"/>
  <cols>
    <col width="14" customWidth="1" style="22" min="1" max="1"/>
    <col width="18" customWidth="1" style="22" min="2" max="2"/>
    <col width="28" customWidth="1" style="22" min="3" max="3"/>
    <col width="7" customWidth="1" style="22" min="4" max="4"/>
    <col width="30" customWidth="1" style="22" min="5" max="5"/>
    <col width="16" customWidth="1" style="22" min="6" max="6"/>
    <col width="140" customWidth="1" style="22" min="7" max="7"/>
  </cols>
  <sheetData>
    <row r="1">
      <c r="A1" s="27" t="inlineStr">
        <is>
          <t>famille</t>
        </is>
      </c>
      <c r="B1" s="27" t="inlineStr">
        <is>
          <t>tag</t>
        </is>
      </c>
      <c r="C1" s="27" t="inlineStr">
        <is>
          <t>libellé</t>
        </is>
      </c>
      <c r="D1" s="27" t="inlineStr">
        <is>
          <t>mots</t>
        </is>
      </c>
      <c r="E1" s="27" t="inlineStr">
        <is>
          <t>natures</t>
        </is>
      </c>
      <c r="F1" s="27" t="inlineStr">
        <is>
          <t>alerte</t>
        </is>
      </c>
      <c r="G1" s="27" t="inlineStr">
        <is>
          <t>les mots</t>
        </is>
      </c>
    </row>
    <row r="2">
      <c r="A2" s="30" t="inlineStr">
        <is>
          <t>action</t>
        </is>
      </c>
      <c r="B2" s="30" t="inlineStr">
        <is>
          <t>manger_boire</t>
        </is>
      </c>
      <c r="C2" s="30" t="inlineStr">
        <is>
          <t>pour manger et boire</t>
        </is>
      </c>
      <c r="D2" s="30" t="n">
        <v>118</v>
      </c>
      <c r="E2" s="30" t="inlineStr">
        <is>
          <t>chose 109, action 9</t>
        </is>
      </c>
      <c r="F2" s="30" t="inlineStr"/>
      <c r="G2" s="33" t="inlineStr">
        <is>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is>
      </c>
    </row>
    <row r="3">
      <c r="A3" s="30" t="inlineStr">
        <is>
          <t>action</t>
        </is>
      </c>
      <c r="B3" s="30" t="inlineStr">
        <is>
          <t>travailler</t>
        </is>
      </c>
      <c r="C3" s="30" t="inlineStr">
        <is>
          <t>pour travailler et payer</t>
        </is>
      </c>
      <c r="D3" s="30" t="n">
        <v>66</v>
      </c>
      <c r="E3" s="30" t="inlineStr">
        <is>
          <t>chose 36, personne 25, action 5</t>
        </is>
      </c>
      <c r="F3" s="30" t="inlineStr"/>
      <c r="G3" s="33" t="inlineStr">
        <is>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is>
      </c>
    </row>
    <row r="4">
      <c r="A4" s="30" t="inlineStr">
        <is>
          <t>action</t>
        </is>
      </c>
      <c r="B4" s="30" t="inlineStr">
        <is>
          <t>jouer_musique</t>
        </is>
      </c>
      <c r="C4" s="30" t="inlineStr">
        <is>
          <t>pour la musique</t>
        </is>
      </c>
      <c r="D4" s="30" t="n">
        <v>64</v>
      </c>
      <c r="E4" s="30" t="inlineStr">
        <is>
          <t>chose 61, action 2, personne 1</t>
        </is>
      </c>
      <c r="F4" s="30" t="inlineStr"/>
      <c r="G4" s="33" t="inlineStr">
        <is>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is>
      </c>
    </row>
    <row r="5">
      <c r="A5" s="30" t="inlineStr">
        <is>
          <t>action</t>
        </is>
      </c>
      <c r="B5" s="30" t="inlineStr">
        <is>
          <t>se_soigner</t>
        </is>
      </c>
      <c r="C5" s="30" t="inlineStr">
        <is>
          <t>pour se soigner</t>
        </is>
      </c>
      <c r="D5" s="30" t="n">
        <v>61</v>
      </c>
      <c r="E5" s="30" t="inlineStr">
        <is>
          <t>chose 57, personne 2, action 2</t>
        </is>
      </c>
      <c r="F5" s="30" t="inlineStr"/>
      <c r="G5" s="33" t="inlineStr">
        <is>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is>
      </c>
    </row>
    <row r="6">
      <c r="A6" s="30" t="inlineStr">
        <is>
          <t>action</t>
        </is>
      </c>
      <c r="B6" s="30" t="inlineStr">
        <is>
          <t>se_deplacer</t>
        </is>
      </c>
      <c r="C6" s="30" t="inlineStr">
        <is>
          <t>pour se déplacer</t>
        </is>
      </c>
      <c r="D6" s="30" t="n">
        <v>55</v>
      </c>
      <c r="E6" s="30" t="inlineStr">
        <is>
          <t>chose 44, action 11</t>
        </is>
      </c>
      <c r="F6" s="30" t="inlineStr"/>
      <c r="G6" s="33" t="inlineStr">
        <is>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is>
      </c>
    </row>
    <row r="7">
      <c r="A7" s="30" t="inlineStr">
        <is>
          <t>action</t>
        </is>
      </c>
      <c r="B7" s="30" t="inlineStr">
        <is>
          <t>cuisiner</t>
        </is>
      </c>
      <c r="C7" s="30" t="inlineStr">
        <is>
          <t>pour cuisiner</t>
        </is>
      </c>
      <c r="D7" s="30" t="n">
        <v>52</v>
      </c>
      <c r="E7" s="30" t="inlineStr">
        <is>
          <t>chose 50, action 2</t>
        </is>
      </c>
      <c r="F7" s="30" t="inlineStr"/>
      <c r="G7" s="33" t="inlineStr">
        <is>
          <t>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is>
      </c>
    </row>
    <row r="8">
      <c r="A8" s="30" t="inlineStr">
        <is>
          <t>action</t>
        </is>
      </c>
      <c r="B8" s="30" t="inlineStr">
        <is>
          <t>communiquer</t>
        </is>
      </c>
      <c r="C8" s="30" t="inlineStr">
        <is>
          <t>pour parler et écouter</t>
        </is>
      </c>
      <c r="D8" s="30" t="n">
        <v>47</v>
      </c>
      <c r="E8" s="30" t="inlineStr">
        <is>
          <t>action 33, chose 14</t>
        </is>
      </c>
      <c r="F8" s="30" t="inlineStr"/>
      <c r="G8" s="33" t="inlineStr">
        <is>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is>
      </c>
    </row>
    <row r="9">
      <c r="A9" s="30" t="inlineStr">
        <is>
          <t>action</t>
        </is>
      </c>
      <c r="B9" s="30" t="inlineStr">
        <is>
          <t>s_habiller</t>
        </is>
      </c>
      <c r="C9" s="30" t="inlineStr">
        <is>
          <t>pour s'habiller</t>
        </is>
      </c>
      <c r="D9" s="30" t="n">
        <v>41</v>
      </c>
      <c r="E9" s="30" t="inlineStr">
        <is>
          <t>chose 40, action 1</t>
        </is>
      </c>
      <c r="F9" s="30" t="inlineStr"/>
      <c r="G9" s="33" t="inlineStr">
        <is>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is>
      </c>
    </row>
    <row r="10">
      <c r="A10" s="30" t="inlineStr">
        <is>
          <t>action</t>
        </is>
      </c>
      <c r="B10" s="30" t="inlineStr">
        <is>
          <t>se_promener</t>
        </is>
      </c>
      <c r="C10" s="30" t="inlineStr">
        <is>
          <t>pour se promener</t>
        </is>
      </c>
      <c r="D10" s="30" t="n">
        <v>38</v>
      </c>
      <c r="E10" s="30" t="inlineStr">
        <is>
          <t>chose 24, lieu 12, action 2</t>
        </is>
      </c>
      <c r="F10" s="30" t="inlineStr"/>
      <c r="G10" s="33" t="inlineStr">
        <is>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is>
      </c>
    </row>
    <row r="11">
      <c r="A11" s="30" t="inlineStr">
        <is>
          <t>action</t>
        </is>
      </c>
      <c r="B11" s="30" t="inlineStr">
        <is>
          <t>donner_recevoir</t>
        </is>
      </c>
      <c r="C11" s="30" t="inlineStr">
        <is>
          <t>pour donner et recevoir</t>
        </is>
      </c>
      <c r="D11" s="30" t="n">
        <v>37</v>
      </c>
      <c r="E11" s="30" t="inlineStr">
        <is>
          <t>action 26, chose 11</t>
        </is>
      </c>
      <c r="F11" s="30" t="inlineStr"/>
      <c r="G11" s="33" t="inlineStr">
        <is>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is>
      </c>
    </row>
    <row r="12">
      <c r="A12" s="30" t="inlineStr">
        <is>
          <t>action</t>
        </is>
      </c>
      <c r="B12" s="30" t="inlineStr">
        <is>
          <t>penser</t>
        </is>
      </c>
      <c r="C12" s="30" t="inlineStr">
        <is>
          <t>pour penser et se souvenir</t>
        </is>
      </c>
      <c r="D12" s="30" t="n">
        <v>27</v>
      </c>
      <c r="E12" s="30" t="inlineStr">
        <is>
          <t>action 20, chose 7</t>
        </is>
      </c>
      <c r="F12" s="30" t="inlineStr"/>
      <c r="G12" s="33" t="inlineStr">
        <is>
          <t>annoncer, apprendre, comprendre, compter, connaître, croire, décider, deviner, douter, expliquer, féliciter, imaginer, la curiosité, dépenser, la mémoire, le nombre, l'élève, l'exemple, l'idée, l'information, lire, oublier, penser, perdre, réfléchir, savoir, se souvenir</t>
        </is>
      </c>
    </row>
    <row r="13">
      <c r="A13" s="30" t="inlineStr">
        <is>
          <t>action</t>
        </is>
      </c>
      <c r="B13" s="30" t="inlineStr">
        <is>
          <t>se_reposer</t>
        </is>
      </c>
      <c r="C13" s="30" t="inlineStr">
        <is>
          <t>pour se reposer</t>
        </is>
      </c>
      <c r="D13" s="30" t="n">
        <v>23</v>
      </c>
      <c r="E13" s="30" t="inlineStr">
        <is>
          <t>chose 20, action 3</t>
        </is>
      </c>
      <c r="F13" s="30" t="inlineStr"/>
      <c r="G13" s="33" t="inlineStr">
        <is>
          <t>le salon, le canapé, le fauteuil, le meuble, la télévision, la lampe, la chambre, le lit, le matelas, l'oreiller, le duvet, le réveil, l'armoire, le fourneau à bois, le fourneau à pellets, dormir, se détendre, la tente, le calme, le rideau, le sommeil, les vacances, s'asseoir</t>
        </is>
      </c>
    </row>
    <row r="14">
      <c r="A14" s="30" t="inlineStr">
        <is>
          <t>action</t>
        </is>
      </c>
      <c r="B14" s="30" t="inlineStr">
        <is>
          <t>nettoyer</t>
        </is>
      </c>
      <c r="C14" s="30" t="inlineStr">
        <is>
          <t>pour nettoyer</t>
        </is>
      </c>
      <c r="D14" s="30" t="n">
        <v>22</v>
      </c>
      <c r="E14" s="30" t="inlineStr">
        <is>
          <t>chose 19, action 3</t>
        </is>
      </c>
      <c r="F14" s="30" t="inlineStr"/>
      <c r="G14" s="33" t="inlineStr">
        <is>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is>
      </c>
    </row>
    <row r="15">
      <c r="A15" s="30" t="inlineStr">
        <is>
          <t>action</t>
        </is>
      </c>
      <c r="B15" s="30" t="inlineStr">
        <is>
          <t>bricoler</t>
        </is>
      </c>
      <c r="C15" s="30" t="inlineStr">
        <is>
          <t>pour bricoler et réparer</t>
        </is>
      </c>
      <c r="D15" s="30" t="n">
        <v>15</v>
      </c>
      <c r="E15" s="30" t="inlineStr">
        <is>
          <t>chose 12, action 3</t>
        </is>
      </c>
      <c r="F15" s="30" t="inlineStr"/>
      <c r="G15" s="33" t="inlineStr">
        <is>
          <t>la vitesse, l'essence, la jauge d'huile, l'huile moteur, le liquide lave-glace, l'entonnoir, faire, la garantie, la pince, le bricolage, le clou, le marteau, le tournevis, préparer, réparer</t>
        </is>
      </c>
    </row>
    <row r="16">
      <c r="A16" s="30" t="inlineStr">
        <is>
          <t>action</t>
        </is>
      </c>
      <c r="B16" s="30" t="inlineStr">
        <is>
          <t>aider</t>
        </is>
      </c>
      <c r="C16" s="30" t="inlineStr">
        <is>
          <t>pour aider</t>
        </is>
      </c>
      <c r="D16" s="30" t="n">
        <v>8</v>
      </c>
      <c r="E16" s="30" t="inlineStr">
        <is>
          <t>chose 6, action 2</t>
        </is>
      </c>
      <c r="F16" s="30" t="inlineStr"/>
      <c r="G16" s="33" t="inlineStr">
        <is>
          <t>aider, attendre, l'aide, le jardinage, le parapluie, le vêtement, l'entraide, l'exemple</t>
        </is>
      </c>
    </row>
    <row r="17">
      <c r="A17" s="30" t="inlineStr">
        <is>
          <t>action</t>
        </is>
      </c>
      <c r="B17" s="30" t="inlineStr">
        <is>
          <t>aimer_ressentir</t>
        </is>
      </c>
      <c r="C17" s="30" t="inlineStr">
        <is>
          <t>pour ressentir</t>
        </is>
      </c>
      <c r="D17" s="30" t="n">
        <v>3</v>
      </c>
      <c r="E17" s="30" t="inlineStr">
        <is>
          <t>action 3</t>
        </is>
      </c>
      <c r="F17" s="30" t="inlineStr"/>
      <c r="G17" s="33" t="inlineStr">
        <is>
          <t>aimer, sentir, vouloir</t>
        </is>
      </c>
    </row>
    <row r="18">
      <c r="A18" s="30" t="inlineStr">
        <is>
          <t>lieu</t>
        </is>
      </c>
      <c r="B18" s="30" t="inlineStr">
        <is>
          <t>cuisine</t>
        </is>
      </c>
      <c r="C18" s="30" t="inlineStr">
        <is>
          <t>à la cuisine</t>
        </is>
      </c>
      <c r="D18" s="30" t="n">
        <v>175</v>
      </c>
      <c r="E18" s="30" t="inlineStr">
        <is>
          <t>chose 166, action 9</t>
        </is>
      </c>
      <c r="F18" s="32" t="inlineStr">
        <is>
          <t>à vérifier</t>
        </is>
      </c>
      <c r="G18" s="33" t="inlineStr">
        <is>
          <t>le sandwich, 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is>
      </c>
    </row>
    <row r="19">
      <c r="A19" s="30" t="inlineStr">
        <is>
          <t>lieu</t>
        </is>
      </c>
      <c r="B19" s="30" t="inlineStr">
        <is>
          <t>dehors</t>
        </is>
      </c>
      <c r="C19" s="30" t="inlineStr">
        <is>
          <t>dehors, dans la nature</t>
        </is>
      </c>
      <c r="D19" s="30" t="n">
        <v>174</v>
      </c>
      <c r="E19" s="30" t="inlineStr">
        <is>
          <t>chose 97, animal 48, lieu 16, action 13</t>
        </is>
      </c>
      <c r="F19" s="32" t="inlineStr">
        <is>
          <t>à vérifier</t>
        </is>
      </c>
      <c r="G19" s="33" t="inlineStr">
        <is>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is>
      </c>
    </row>
    <row r="20">
      <c r="A20" s="30" t="inlineStr">
        <is>
          <t>lieu</t>
        </is>
      </c>
      <c r="B20" s="30" t="inlineStr">
        <is>
          <t>maison</t>
        </is>
      </c>
      <c r="C20" s="30" t="inlineStr">
        <is>
          <t>dans la maison</t>
        </is>
      </c>
      <c r="D20" s="30" t="n">
        <v>79</v>
      </c>
      <c r="E20" s="30" t="inlineStr">
        <is>
          <t>chose 65, animal 5, action 5, lieu 4</t>
        </is>
      </c>
      <c r="F20" s="32" t="inlineStr">
        <is>
          <t>à vérifier</t>
        </is>
      </c>
      <c r="G20" s="33" t="inlineStr">
        <is>
          <t>Bagheera, le chat d'Emma, Naya, la chienne de Sandrine, le chat, le chien, le lapin, la clé, le porte-monnaie, faire les vitres, la serpillière, l'aspirateur, le chiffon, le matériel pour récurrer, le meister proper, l'éponge, la maison, le chalet, le garage, la porte, la fenêtre, les stores,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is>
      </c>
    </row>
    <row r="21">
      <c r="A21" s="30" t="inlineStr">
        <is>
          <t>lieu</t>
        </is>
      </c>
      <c r="B21" s="30" t="inlineStr">
        <is>
          <t>ville</t>
        </is>
      </c>
      <c r="C21" s="30" t="inlineStr">
        <is>
          <t>en ville, au village</t>
        </is>
      </c>
      <c r="D21" s="30" t="n">
        <v>77</v>
      </c>
      <c r="E21" s="30" t="inlineStr">
        <is>
          <t>lieu 42, chose 31, action 4</t>
        </is>
      </c>
      <c r="F21" s="32" t="inlineStr">
        <is>
          <t>à vérifier</t>
        </is>
      </c>
      <c r="G21" s="33" t="inlineStr">
        <is>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is>
      </c>
    </row>
    <row r="22">
      <c r="A22" s="30" t="inlineStr">
        <is>
          <t>lieu</t>
        </is>
      </c>
      <c r="B22" s="30" t="inlineStr">
        <is>
          <t>musique</t>
        </is>
      </c>
      <c r="C22" s="30" t="inlineStr">
        <is>
          <t>à la fanfare</t>
        </is>
      </c>
      <c r="D22" s="30" t="n">
        <v>64</v>
      </c>
      <c r="E22" s="30" t="inlineStr">
        <is>
          <t>chose 61, action 2, personne 1</t>
        </is>
      </c>
      <c r="F22" s="32" t="inlineStr">
        <is>
          <t>à vérifier</t>
        </is>
      </c>
      <c r="G22" s="33" t="inlineStr">
        <is>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is>
      </c>
    </row>
    <row r="23">
      <c r="A23" s="30" t="inlineStr">
        <is>
          <t>lieu</t>
        </is>
      </c>
      <c r="B23" s="30" t="inlineStr">
        <is>
          <t>travail</t>
        </is>
      </c>
      <c r="C23" s="30" t="inlineStr">
        <is>
          <t>au travail, au bureau</t>
        </is>
      </c>
      <c r="D23" s="30" t="n">
        <v>60</v>
      </c>
      <c r="E23" s="30" t="inlineStr">
        <is>
          <t>chose 26, personne 25, action 9</t>
        </is>
      </c>
      <c r="F23" s="32" t="inlineStr">
        <is>
          <t>à vérifier</t>
        </is>
      </c>
      <c r="G23" s="33" t="inlineStr">
        <is>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is>
      </c>
    </row>
    <row r="24">
      <c r="A24" s="30" t="inlineStr">
        <is>
          <t>lieu</t>
        </is>
      </c>
      <c r="B24" s="30" t="inlineStr">
        <is>
          <t>voiture</t>
        </is>
      </c>
      <c r="C24" s="30" t="inlineStr">
        <is>
          <t>en voiture, sur la route</t>
        </is>
      </c>
      <c r="D24" s="30" t="n">
        <v>50</v>
      </c>
      <c r="E24" s="30" t="inlineStr">
        <is>
          <t>chose 47, action 2, lieu 1</t>
        </is>
      </c>
      <c r="F24" s="32" t="inlineStr">
        <is>
          <t>à vérifier</t>
        </is>
      </c>
      <c r="G24" s="33" t="inlineStr">
        <is>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is>
      </c>
    </row>
    <row r="25">
      <c r="A25" s="30" t="inlineStr">
        <is>
          <t>lieu</t>
        </is>
      </c>
      <c r="B25" s="30" t="inlineStr">
        <is>
          <t>salle_de_bain</t>
        </is>
      </c>
      <c r="C25" s="30" t="inlineStr">
        <is>
          <t>à la salle de bain</t>
        </is>
      </c>
      <c r="D25" s="30" t="n">
        <v>27</v>
      </c>
      <c r="E25" s="30" t="inlineStr">
        <is>
          <t>chose 27</t>
        </is>
      </c>
      <c r="F25" s="30" t="inlineStr"/>
      <c r="G25" s="33" t="inlineStr">
        <is>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is>
      </c>
    </row>
    <row r="26">
      <c r="A26" s="30" t="inlineStr">
        <is>
          <t>lieu</t>
        </is>
      </c>
      <c r="B26" s="30" t="inlineStr">
        <is>
          <t>sante</t>
        </is>
      </c>
      <c r="C26" s="30" t="inlineStr">
        <is>
          <t>chez le médecin</t>
        </is>
      </c>
      <c r="D26" s="30" t="n">
        <v>18</v>
      </c>
      <c r="E26" s="30" t="inlineStr">
        <is>
          <t>chose 12, personne 2, lieu 2, action 2</t>
        </is>
      </c>
      <c r="F26" s="32" t="inlineStr">
        <is>
          <t>à vérifier</t>
        </is>
      </c>
      <c r="G26" s="33" t="inlineStr">
        <is>
          <t>Docteur Nicole Ducrey Crettenand, Professeur Joseph-André Ghika, neurologue, la blessure, la douleur, la fièvre, la maladie, la pharmacie, la pommade, le bandage, le comprimé, le médicament, le pansement, le remède, le rhume, soigner, le vaccin, l'ordonnance, tousser</t>
        </is>
      </c>
    </row>
    <row r="27">
      <c r="A27" s="30" t="inlineStr">
        <is>
          <t>lieu</t>
        </is>
      </c>
      <c r="B27" s="30" t="inlineStr">
        <is>
          <t>chambre</t>
        </is>
      </c>
      <c r="C27" s="30" t="inlineStr">
        <is>
          <t>dans la chambre</t>
        </is>
      </c>
      <c r="D27" s="30" t="n">
        <v>13</v>
      </c>
      <c r="E27" s="30" t="inlineStr">
        <is>
          <t>chose 12, action 1</t>
        </is>
      </c>
      <c r="F27" s="32" t="inlineStr">
        <is>
          <t>à vérifier</t>
        </is>
      </c>
      <c r="G27" s="33" t="inlineStr">
        <is>
          <t>la chambre, le lit, le matelas, l'oreiller, le duvet, le réveil, l'armoire, dormir, la couverture, la tente, le coussin, le rideau, le sommeil</t>
        </is>
      </c>
    </row>
    <row r="28">
      <c r="A28" s="30" t="inlineStr">
        <is>
          <t>lieu</t>
        </is>
      </c>
      <c r="B28" s="30" t="inlineStr">
        <is>
          <t>salon</t>
        </is>
      </c>
      <c r="C28" s="30" t="inlineStr">
        <is>
          <t>au salon</t>
        </is>
      </c>
      <c r="D28" s="30" t="n">
        <v>10</v>
      </c>
      <c r="E28" s="30" t="inlineStr">
        <is>
          <t>chose 9, action 1</t>
        </is>
      </c>
      <c r="F28" s="32" t="inlineStr">
        <is>
          <t>à vérifier</t>
        </is>
      </c>
      <c r="G28" s="33" t="inlineStr">
        <is>
          <t>le salon, le canapé, le fauteuil, le meuble, la télévision, la lampe, le fourneau à bois, le fourneau à pellets, le coussin, éclairer</t>
        </is>
      </c>
    </row>
    <row r="29">
      <c r="A29" s="30" t="inlineStr">
        <is>
          <t>mesure</t>
        </is>
      </c>
      <c r="B29" s="30" t="inlineStr">
        <is>
          <t>temps</t>
        </is>
      </c>
      <c r="C29" s="30" t="inlineStr">
        <is>
          <t>le temps</t>
        </is>
      </c>
      <c r="D29" s="30" t="n">
        <v>49</v>
      </c>
      <c r="E29" s="30" t="inlineStr">
        <is>
          <t>mot utile 47, chose 2</t>
        </is>
      </c>
      <c r="F29" s="30" t="inlineStr"/>
      <c r="G29" s="33" t="inlineStr">
        <is>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is>
      </c>
    </row>
    <row r="30">
      <c r="A30" s="30" t="inlineStr">
        <is>
          <t>mesure</t>
        </is>
      </c>
      <c r="B30" s="30" t="inlineStr">
        <is>
          <t>liaison</t>
        </is>
      </c>
      <c r="C30" s="30" t="inlineStr">
        <is>
          <t>un petit mot de liaison</t>
        </is>
      </c>
      <c r="D30" s="30" t="n">
        <v>17</v>
      </c>
      <c r="E30" s="30" t="inlineStr">
        <is>
          <t>mot utile 17</t>
        </is>
      </c>
      <c r="F30" s="30" t="inlineStr"/>
      <c r="G30" s="33" t="inlineStr">
        <is>
          <t>la centaine, ailleurs, aussi, autour, bien, coupant, d'abord, dedans, dehors, doucement, ensemble, gentiment, ici, mal, pourtant, surtout, tiède</t>
        </is>
      </c>
    </row>
    <row r="31">
      <c r="A31" s="30" t="inlineStr">
        <is>
          <t>mesure</t>
        </is>
      </c>
      <c r="B31" s="30" t="inlineStr">
        <is>
          <t>distance</t>
        </is>
      </c>
      <c r="C31" s="30" t="inlineStr">
        <is>
          <t>la distance</t>
        </is>
      </c>
      <c r="D31" s="30" t="n">
        <v>8</v>
      </c>
      <c r="E31" s="30" t="inlineStr">
        <is>
          <t>mot utile 8</t>
        </is>
      </c>
      <c r="F31" s="30" t="inlineStr"/>
      <c r="G31" s="33" t="inlineStr">
        <is>
          <t>enfin, ensuite, environ, exprès, là, loin, près (proche), presque</t>
        </is>
      </c>
    </row>
    <row r="32">
      <c r="A32" s="30" t="inlineStr">
        <is>
          <t>mesure</t>
        </is>
      </c>
      <c r="B32" s="30" t="inlineStr">
        <is>
          <t>nombre</t>
        </is>
      </c>
      <c r="C32" s="30" t="inlineStr">
        <is>
          <t>les nombres</t>
        </is>
      </c>
      <c r="D32" s="30" t="n">
        <v>6</v>
      </c>
      <c r="E32" s="30" t="inlineStr">
        <is>
          <t>mot utile 6</t>
        </is>
      </c>
      <c r="F32" s="30" t="inlineStr"/>
      <c r="G32" s="33" t="inlineStr">
        <is>
          <t>la paire, la douzaine, la foule, la quantité, le calcul, zéro</t>
        </is>
      </c>
    </row>
    <row r="33">
      <c r="A33" s="30" t="inlineStr">
        <is>
          <t>mesure</t>
        </is>
      </c>
      <c r="B33" s="30" t="inlineStr">
        <is>
          <t>quantite</t>
        </is>
      </c>
      <c r="C33" s="30" t="inlineStr">
        <is>
          <t>la quantité</t>
        </is>
      </c>
      <c r="D33" s="30" t="n">
        <v>5</v>
      </c>
      <c r="E33" s="30" t="inlineStr">
        <is>
          <t>mot utile 5</t>
        </is>
      </c>
      <c r="F33" s="30" t="inlineStr"/>
      <c r="G33" s="33" t="inlineStr">
        <is>
          <t>assez, autant, beaucoup, peu, trop</t>
        </is>
      </c>
    </row>
    <row r="34">
      <c r="A34" s="30" t="inlineStr">
        <is>
          <t>mesure</t>
        </is>
      </c>
      <c r="B34" s="30" t="inlineStr">
        <is>
          <t>temperature</t>
        </is>
      </c>
      <c r="C34" s="30" t="inlineStr">
        <is>
          <t>la température</t>
        </is>
      </c>
      <c r="D34" s="30" t="n">
        <v>2</v>
      </c>
      <c r="E34" s="30" t="inlineStr">
        <is>
          <t>chose 1, mot utile 1</t>
        </is>
      </c>
      <c r="F34" s="30" t="inlineStr"/>
      <c r="G34" s="33" t="inlineStr">
        <is>
          <t>le thermomètre, très</t>
        </is>
      </c>
    </row>
    <row r="35">
      <c r="A35" s="30" t="inlineStr">
        <is>
          <t>mesure</t>
        </is>
      </c>
      <c r="B35" s="30" t="inlineStr">
        <is>
          <t>poids</t>
        </is>
      </c>
      <c r="C35" s="30" t="inlineStr">
        <is>
          <t>le poids</t>
        </is>
      </c>
      <c r="D35" s="30" t="n">
        <v>1</v>
      </c>
      <c r="E35" s="30" t="inlineStr">
        <is>
          <t>chose 1</t>
        </is>
      </c>
      <c r="F35" s="30" t="inlineStr"/>
      <c r="G35" s="33" t="inlineStr">
        <is>
          <t>la balance</t>
        </is>
      </c>
    </row>
    <row r="36">
      <c r="A36" s="30" t="inlineStr">
        <is>
          <t>mesure</t>
        </is>
      </c>
      <c r="B36" s="30" t="inlineStr">
        <is>
          <t>vitesse</t>
        </is>
      </c>
      <c r="C36" s="30" t="inlineStr">
        <is>
          <t>la vitesse</t>
        </is>
      </c>
      <c r="D36" s="30" t="n">
        <v>1</v>
      </c>
      <c r="E36" s="30" t="inlineStr">
        <is>
          <t>mot utile 1</t>
        </is>
      </c>
      <c r="F36" s="30" t="inlineStr"/>
      <c r="G36" s="33" t="inlineStr">
        <is>
          <t>vite</t>
        </is>
      </c>
    </row>
    <row r="37">
      <c r="A37" s="30" t="inlineStr">
        <is>
          <t>partie_de</t>
        </is>
      </c>
      <c r="B37" s="30" t="inlineStr">
        <is>
          <t>corps</t>
        </is>
      </c>
      <c r="C37" s="30" t="inlineStr">
        <is>
          <t>une partie du corps</t>
        </is>
      </c>
      <c r="D37" s="30" t="n">
        <v>36</v>
      </c>
      <c r="E37" s="30" t="inlineStr">
        <is>
          <t>chose 36</t>
        </is>
      </c>
      <c r="F37" s="30" t="inlineStr"/>
      <c r="G37" s="33" t="inlineStr">
        <is>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is>
      </c>
    </row>
    <row r="38">
      <c r="A38" s="30" t="inlineStr">
        <is>
          <t>partie_de</t>
        </is>
      </c>
      <c r="B38" s="30" t="inlineStr">
        <is>
          <t>voiture</t>
        </is>
      </c>
      <c r="C38" s="30" t="inlineStr">
        <is>
          <t>une partie de la voiture</t>
        </is>
      </c>
      <c r="D38" s="30" t="n">
        <v>21</v>
      </c>
      <c r="E38" s="30" t="inlineStr">
        <is>
          <t>chose 21</t>
        </is>
      </c>
      <c r="F38" s="30" t="inlineStr"/>
      <c r="G38" s="33" t="inlineStr">
        <is>
          <t>Dacia Duster, le pare-brise, les essuie glace, le capot, l'aile, le pare-chocs, les jantes, les pneus, la portière, le clignotant, le klaxon, le phare, le rétroviseur, le siège, le volant, le tableau de bord, le coffre, l'essence, l'huile moteur, le liquide lave-glace, le levier de vitesse</t>
        </is>
      </c>
    </row>
    <row r="39">
      <c r="A39" s="30" t="inlineStr">
        <is>
          <t>partie_de</t>
        </is>
      </c>
      <c r="B39" s="30" t="inlineStr">
        <is>
          <t>plante</t>
        </is>
      </c>
      <c r="C39" s="30" t="inlineStr">
        <is>
          <t>une partie d'une plante</t>
        </is>
      </c>
      <c r="D39" s="30" t="n">
        <v>4</v>
      </c>
      <c r="E39" s="30" t="inlineStr">
        <is>
          <t>chose 4</t>
        </is>
      </c>
      <c r="F39" s="30" t="inlineStr"/>
      <c r="G39" s="33" t="inlineStr">
        <is>
          <t>la branche d'un arbre, la racine, le tronc, l'écorce</t>
        </is>
      </c>
    </row>
    <row r="40">
      <c r="A40" s="30" t="inlineStr">
        <is>
          <t>partie_de</t>
        </is>
      </c>
      <c r="B40" s="30" t="inlineStr">
        <is>
          <t>instrument</t>
        </is>
      </c>
      <c r="C40" s="30" t="inlineStr">
        <is>
          <t>une partie d'un instrument</t>
        </is>
      </c>
      <c r="D40" s="30" t="n">
        <v>4</v>
      </c>
      <c r="E40" s="30" t="inlineStr">
        <is>
          <t>personne 4</t>
        </is>
      </c>
      <c r="F40" s="32" t="inlineStr">
        <is>
          <t>à vérifier</t>
        </is>
      </c>
      <c r="G40" s="33" t="inlineStr">
        <is>
          <t>Mathilde, Julien, Eva, la copine de Julien, Olivier</t>
        </is>
      </c>
    </row>
    <row r="41">
      <c r="A41" s="30" t="inlineStr">
        <is>
          <t>partie_de</t>
        </is>
      </c>
      <c r="B41" s="30" t="inlineStr">
        <is>
          <t>maison</t>
        </is>
      </c>
      <c r="C41" s="30" t="inlineStr">
        <is>
          <t>une partie de la maison</t>
        </is>
      </c>
      <c r="D41" s="30" t="n">
        <v>2</v>
      </c>
      <c r="E41" s="30" t="inlineStr">
        <is>
          <t>chose 2</t>
        </is>
      </c>
      <c r="F41" s="30" t="inlineStr"/>
      <c r="G41" s="33" t="inlineStr">
        <is>
          <t>la cuisine, le garage</t>
        </is>
      </c>
    </row>
    <row r="42">
      <c r="A42" s="30" t="inlineStr">
        <is>
          <t>partie_de</t>
        </is>
      </c>
      <c r="B42" s="30" t="inlineStr">
        <is>
          <t>animal</t>
        </is>
      </c>
      <c r="C42" s="30" t="inlineStr">
        <is>
          <t>une partie d'un animal</t>
        </is>
      </c>
      <c r="D42" s="30" t="n">
        <v>1</v>
      </c>
      <c r="E42" s="30" t="inlineStr">
        <is>
          <t>chose 1</t>
        </is>
      </c>
      <c r="F42" s="30" t="inlineStr"/>
      <c r="G42" s="33" t="inlineStr">
        <is>
          <t>l'aile</t>
        </is>
      </c>
    </row>
    <row r="43">
      <c r="A43" s="30" t="inlineStr">
        <is>
          <t>partie_de</t>
        </is>
      </c>
      <c r="B43" s="30" t="inlineStr">
        <is>
          <t>vehicule</t>
        </is>
      </c>
      <c r="C43" s="30" t="inlineStr"/>
      <c r="D43" s="30" t="n">
        <v>1</v>
      </c>
      <c r="E43" s="30" t="inlineStr">
        <is>
          <t>chose 1</t>
        </is>
      </c>
      <c r="F43" s="30" t="inlineStr"/>
      <c r="G43" s="33" t="inlineStr">
        <is>
          <t>l'aile</t>
        </is>
      </c>
    </row>
    <row r="44">
      <c r="A44" s="30" t="inlineStr">
        <is>
          <t>personne</t>
        </is>
      </c>
      <c r="B44" s="30" t="inlineStr">
        <is>
          <t>famille</t>
        </is>
      </c>
      <c r="C44" s="30" t="inlineStr">
        <is>
          <t>dans la famille</t>
        </is>
      </c>
      <c r="D44" s="30" t="n">
        <v>38</v>
      </c>
      <c r="E44" s="30" t="inlineStr">
        <is>
          <t>personne 38</t>
        </is>
      </c>
      <c r="F44" s="30" t="inlineStr"/>
      <c r="G44" s="33" t="inlineStr">
        <is>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is>
      </c>
    </row>
    <row r="45">
      <c r="A45" s="30" t="inlineStr">
        <is>
          <t>personne</t>
        </is>
      </c>
      <c r="B45" s="30" t="inlineStr">
        <is>
          <t>metier</t>
        </is>
      </c>
      <c r="C45" s="30" t="inlineStr">
        <is>
          <t>un métier</t>
        </is>
      </c>
      <c r="D45" s="30" t="n">
        <v>14</v>
      </c>
      <c r="E45" s="30" t="inlineStr">
        <is>
          <t>personne 14</t>
        </is>
      </c>
      <c r="F45" s="30" t="inlineStr"/>
      <c r="G45" s="33" t="inlineStr">
        <is>
          <t>Mathilde, Julien, Emma, Loïc, Emile, le copain de Mathilde, Paul, le copain d'Emma, Olivier, Sandrine, Jason, Christophe Germanier, Claudine Fumeaux, Philippe Germanier, Régis Evéquoz, Stéphanie Germanier</t>
        </is>
      </c>
    </row>
    <row r="46">
      <c r="A46" s="30" t="inlineStr">
        <is>
          <t>personne</t>
        </is>
      </c>
      <c r="B46" s="30" t="inlineStr">
        <is>
          <t>connaissance</t>
        </is>
      </c>
      <c r="C46" s="30" t="inlineStr">
        <is>
          <t>une connaissance</t>
        </is>
      </c>
      <c r="D46" s="30" t="n">
        <v>6</v>
      </c>
      <c r="E46" s="30" t="inlineStr">
        <is>
          <t>personne 6</t>
        </is>
      </c>
      <c r="F46" s="30" t="inlineStr"/>
      <c r="G46" s="33" t="inlineStr">
        <is>
          <t>la famille, Emile, le copain de Mathilde, Eva, la copine de Julien, Paul, le copain d'Emma, Damien Lagger, le voisin</t>
        </is>
      </c>
    </row>
    <row r="47">
      <c r="A47" s="30" t="inlineStr">
        <is>
          <t>personne</t>
        </is>
      </c>
      <c r="B47" s="30" t="inlineStr">
        <is>
          <t>sante</t>
        </is>
      </c>
      <c r="C47" s="30" t="inlineStr">
        <is>
          <t>pour la santé</t>
        </is>
      </c>
      <c r="D47" s="30" t="n">
        <v>1</v>
      </c>
      <c r="E47" s="30" t="inlineStr">
        <is>
          <t>personne 1</t>
        </is>
      </c>
      <c r="F47" s="30" t="inlineStr"/>
      <c r="G47" s="33" t="inlineStr">
        <is>
          <t>le pharmacien</t>
        </is>
      </c>
    </row>
    <row r="48">
      <c r="A48" s="30" t="inlineStr">
        <is>
          <t>qualite</t>
        </is>
      </c>
      <c r="B48" s="30" t="inlineStr">
        <is>
          <t>taille</t>
        </is>
      </c>
      <c r="C48" s="30" t="inlineStr">
        <is>
          <t>une taille</t>
        </is>
      </c>
      <c r="D48" s="30" t="n">
        <v>18</v>
      </c>
      <c r="E48" s="30" t="inlineStr">
        <is>
          <t>qualité 18</t>
        </is>
      </c>
      <c r="F48" s="30" t="inlineStr"/>
      <c r="G48" s="33" t="inlineStr">
        <is>
          <t>dessus  ↔  dessous, épais  ↔  fin, fort  ↔  faible, grand  ↔  petit, gros  ↔  mince, haut  ↔  bas, jeune  ↔  vieux, large  ↔  étroit, long  ↔  court, la hauteur, la largeur, la longueur, le rectangle, l'épaisseur, adulte, élevé, nombreux, profond</t>
        </is>
      </c>
    </row>
    <row r="49">
      <c r="A49" s="30" t="inlineStr">
        <is>
          <t>qualite</t>
        </is>
      </c>
      <c r="B49" s="30" t="inlineStr">
        <is>
          <t>etat</t>
        </is>
      </c>
      <c r="C49" s="30" t="inlineStr">
        <is>
          <t>un état</t>
        </is>
      </c>
      <c r="D49" s="30" t="n">
        <v>18</v>
      </c>
      <c r="E49" s="30" t="inlineStr">
        <is>
          <t>qualité 18</t>
        </is>
      </c>
      <c r="F49" s="30" t="inlineStr"/>
      <c r="G49" s="33" t="inlineStr">
        <is>
          <t>jeune  ↔  vieux, neuf  ↔  usé, nouveau  ↔  ancien, propre  ↔  sale, sucré  ↔  salé, vide  ↔  plein, cassé, creux, dangereux, électrique, enflammé, joyeux, malin, prêt, résistant, rusé, souple, vif - vive</t>
        </is>
      </c>
    </row>
    <row r="50">
      <c r="A50" s="30" t="inlineStr">
        <is>
          <t>qualite</t>
        </is>
      </c>
      <c r="B50" s="30" t="inlineStr">
        <is>
          <t>couleur</t>
        </is>
      </c>
      <c r="C50" s="30" t="inlineStr">
        <is>
          <t>une couleur</t>
        </is>
      </c>
      <c r="D50" s="30" t="n">
        <v>14</v>
      </c>
      <c r="E50" s="30" t="inlineStr">
        <is>
          <t>qualité 14</t>
        </is>
      </c>
      <c r="F50" s="30" t="inlineStr"/>
      <c r="G50" s="33" t="inlineStr">
        <is>
          <t>blanc, bleu, gris, jaune, la couleur, marron, noir, orange, rose, rouge, vert, brun, colorée, roux</t>
        </is>
      </c>
    </row>
    <row r="51">
      <c r="A51" s="30" t="inlineStr">
        <is>
          <t>qualite</t>
        </is>
      </c>
      <c r="B51" s="30" t="inlineStr">
        <is>
          <t>position</t>
        </is>
      </c>
      <c r="C51" s="30" t="inlineStr">
        <is>
          <t>la position</t>
        </is>
      </c>
      <c r="D51" s="30" t="n">
        <v>14</v>
      </c>
      <c r="E51" s="30" t="inlineStr">
        <is>
          <t>qualité 14</t>
        </is>
      </c>
      <c r="F51" s="30" t="inlineStr"/>
      <c r="G51" s="33" t="inlineStr">
        <is>
          <t>courageux  ↔  peureux, dessus  ↔  dessous, devant  ↔  derrière, fermé  ↔  ouvert, gentil  ↔  méchant, haut  ↔  bas, sec  ↔  mouillé, vide  ↔  plein, la hauteur, élevé, extérieur, intérieur, profond, sauvage</t>
        </is>
      </c>
    </row>
    <row r="52">
      <c r="A52" s="30" t="inlineStr">
        <is>
          <t>qualite</t>
        </is>
      </c>
      <c r="B52" s="30" t="inlineStr">
        <is>
          <t>apparence</t>
        </is>
      </c>
      <c r="C52" s="30" t="inlineStr">
        <is>
          <t>l'apparence</t>
        </is>
      </c>
      <c r="D52" s="30" t="n">
        <v>11</v>
      </c>
      <c r="E52" s="30" t="inlineStr">
        <is>
          <t>qualité 11</t>
        </is>
      </c>
      <c r="F52" s="30" t="inlineStr"/>
      <c r="G52" s="33" t="inlineStr">
        <is>
          <t>noir, rose, beau  ↔  laid, brillant  ↔  terne, clair  ↔  sombre, lourd  ↔  léger, riche  ↔  pauvre, colorée, important, merveilleux, touffu</t>
        </is>
      </c>
    </row>
    <row r="53">
      <c r="A53" s="30" t="inlineStr">
        <is>
          <t>qualite</t>
        </is>
      </c>
      <c r="B53" s="30" t="inlineStr">
        <is>
          <t>forme</t>
        </is>
      </c>
      <c r="C53" s="30" t="inlineStr">
        <is>
          <t>une forme</t>
        </is>
      </c>
      <c r="D53" s="30" t="n">
        <v>11</v>
      </c>
      <c r="E53" s="30" t="inlineStr">
        <is>
          <t>qualité 11</t>
        </is>
      </c>
      <c r="F53" s="30" t="inlineStr"/>
      <c r="G53" s="33" t="inlineStr">
        <is>
          <t>dur  ↔  mou, carré, triangle, courbe, droit, le cercle, le rectangle, pointu, rond, arrondi, partout</t>
        </is>
      </c>
    </row>
    <row r="54">
      <c r="A54" s="30" t="inlineStr">
        <is>
          <t>qualite</t>
        </is>
      </c>
      <c r="B54" s="30" t="inlineStr">
        <is>
          <t>toucher</t>
        </is>
      </c>
      <c r="C54" s="30" t="inlineStr">
        <is>
          <t>au toucher</t>
        </is>
      </c>
      <c r="D54" s="30" t="n">
        <v>9</v>
      </c>
      <c r="E54" s="30" t="inlineStr">
        <is>
          <t>qualité 9</t>
        </is>
      </c>
      <c r="F54" s="30" t="inlineStr"/>
      <c r="G54" s="33" t="inlineStr">
        <is>
          <t>amer  ↔  acide, dur  ↔  mou, sec  ↔  mouillé, collant, doux - douce, piquant, rude, souple, velouté</t>
        </is>
      </c>
    </row>
    <row r="55">
      <c r="A55" s="30" t="inlineStr">
        <is>
          <t>qualite</t>
        </is>
      </c>
      <c r="B55" s="30" t="inlineStr">
        <is>
          <t>gout</t>
        </is>
      </c>
      <c r="C55" s="30" t="inlineStr">
        <is>
          <t>un goût</t>
        </is>
      </c>
      <c r="D55" s="30" t="n">
        <v>6</v>
      </c>
      <c r="E55" s="30" t="inlineStr">
        <is>
          <t>qualité 6</t>
        </is>
      </c>
      <c r="F55" s="30" t="inlineStr"/>
      <c r="G55" s="33" t="inlineStr">
        <is>
          <t>amer  ↔  acide, bon  ↔  mauvais, propre  ↔  sale, sucré  ↔  salé, doux - douce, piquant</t>
        </is>
      </c>
    </row>
    <row r="56">
      <c r="A56" s="30" t="inlineStr">
        <is>
          <t>qualite</t>
        </is>
      </c>
      <c r="B56" s="30" t="inlineStr">
        <is>
          <t>humeur</t>
        </is>
      </c>
      <c r="C56" s="30" t="inlineStr">
        <is>
          <t>l'humeur</t>
        </is>
      </c>
      <c r="D56" s="30" t="n">
        <v>6</v>
      </c>
      <c r="E56" s="30" t="inlineStr">
        <is>
          <t>qualité 6</t>
        </is>
      </c>
      <c r="F56" s="30" t="inlineStr"/>
      <c r="G56" s="33" t="inlineStr">
        <is>
          <t>calme  ↔  agité (énervé), content  ↔  triste, drôle  ↔  sérieux, heureux, joyeux, tranquille</t>
        </is>
      </c>
    </row>
    <row r="57">
      <c r="A57" s="30" t="inlineStr">
        <is>
          <t>qualite</t>
        </is>
      </c>
      <c r="B57" s="30" t="inlineStr">
        <is>
          <t>prix</t>
        </is>
      </c>
      <c r="C57" s="30" t="inlineStr">
        <is>
          <t>le prix</t>
        </is>
      </c>
      <c r="D57" s="30" t="n">
        <v>6</v>
      </c>
      <c r="E57" s="30" t="inlineStr">
        <is>
          <t>qualité 6</t>
        </is>
      </c>
      <c r="F57" s="30" t="inlineStr"/>
      <c r="G57" s="33" t="inlineStr">
        <is>
          <t>cher  ↔  bon marché, libre  ↔  occupé, doux - douce, gratuit, rude, velouté</t>
        </is>
      </c>
    </row>
    <row r="58">
      <c r="A58" s="30" t="inlineStr">
        <is>
          <t>qualite</t>
        </is>
      </c>
      <c r="B58" s="30" t="inlineStr">
        <is>
          <t>difficulte</t>
        </is>
      </c>
      <c r="C58" s="30" t="inlineStr">
        <is>
          <t>facile ou difficile</t>
        </is>
      </c>
      <c r="D58" s="30" t="n">
        <v>5</v>
      </c>
      <c r="E58" s="30" t="inlineStr">
        <is>
          <t>qualité 5</t>
        </is>
      </c>
      <c r="F58" s="30" t="inlineStr"/>
      <c r="G58" s="33" t="inlineStr">
        <is>
          <t>dur  ↔  mou, facile  ↔  difficile, triangle, pratique, souple</t>
        </is>
      </c>
    </row>
    <row r="59">
      <c r="A59" s="30" t="inlineStr">
        <is>
          <t>qualite</t>
        </is>
      </c>
      <c r="B59" s="30" t="inlineStr">
        <is>
          <t>temperature</t>
        </is>
      </c>
      <c r="C59" s="30" t="inlineStr">
        <is>
          <t>chaud ou froid</t>
        </is>
      </c>
      <c r="D59" s="30" t="n">
        <v>3</v>
      </c>
      <c r="E59" s="30" t="inlineStr">
        <is>
          <t>qualité 3</t>
        </is>
      </c>
      <c r="F59" s="30" t="inlineStr"/>
      <c r="G59" s="33" t="inlineStr">
        <is>
          <t>chaud  ↔  froid, enflammé, frais - fraîche</t>
        </is>
      </c>
    </row>
    <row r="60">
      <c r="A60" s="30" t="inlineStr">
        <is>
          <t>qualite</t>
        </is>
      </c>
      <c r="B60" s="30" t="inlineStr">
        <is>
          <t>caractere</t>
        </is>
      </c>
      <c r="C60" s="30" t="inlineStr">
        <is>
          <t>un caractère</t>
        </is>
      </c>
      <c r="D60" s="30" t="n">
        <v>3</v>
      </c>
      <c r="E60" s="30" t="inlineStr">
        <is>
          <t>qualité 3</t>
        </is>
      </c>
      <c r="F60" s="30" t="inlineStr"/>
      <c r="G60" s="33" t="inlineStr">
        <is>
          <t>courageux  ↔  peureux, gentil  ↔  méchant, aimable</t>
        </is>
      </c>
    </row>
    <row r="61">
      <c r="A61" s="30" t="inlineStr">
        <is>
          <t>qualite</t>
        </is>
      </c>
      <c r="B61" s="30" t="inlineStr">
        <is>
          <t>vitesse</t>
        </is>
      </c>
      <c r="C61" s="30" t="inlineStr">
        <is>
          <t>vite ou lentement</t>
        </is>
      </c>
      <c r="D61" s="30" t="n">
        <v>3</v>
      </c>
      <c r="E61" s="30" t="inlineStr">
        <is>
          <t>qualité 3</t>
        </is>
      </c>
      <c r="F61" s="30" t="inlineStr"/>
      <c r="G61" s="33" t="inlineStr">
        <is>
          <t>intelligent  ↔  bête, rapide  ↔  lent, vif - vive</t>
        </is>
      </c>
    </row>
    <row r="62">
      <c r="A62" s="30" t="inlineStr">
        <is>
          <t>ressenti</t>
        </is>
      </c>
      <c r="B62" s="30" t="inlineStr">
        <is>
          <t>desagreable</t>
        </is>
      </c>
      <c r="C62" s="30" t="inlineStr">
        <is>
          <t>désagréable</t>
        </is>
      </c>
      <c r="D62" s="30" t="n">
        <v>13</v>
      </c>
      <c r="E62" s="30" t="inlineStr">
        <is>
          <t>sentiment 13</t>
        </is>
      </c>
      <c r="F62" s="30" t="inlineStr"/>
      <c r="G62" s="33" t="inlineStr">
        <is>
          <t>la colère, la peur, la solitude, la tristesse, le courage, la honte, la jalousie, la peine, la timidité, le chagrin, le visage, l'ennui, l'inquiétude</t>
        </is>
      </c>
    </row>
    <row r="63">
      <c r="A63" s="30" t="inlineStr">
        <is>
          <t>ressenti</t>
        </is>
      </c>
      <c r="B63" s="30" t="inlineStr">
        <is>
          <t>agreable</t>
        </is>
      </c>
      <c r="C63" s="30" t="inlineStr">
        <is>
          <t>agréable</t>
        </is>
      </c>
      <c r="D63" s="30" t="n">
        <v>12</v>
      </c>
      <c r="E63" s="30" t="inlineStr">
        <is>
          <t>sentiment 12</t>
        </is>
      </c>
      <c r="F63" s="30" t="inlineStr"/>
      <c r="G63" s="33" t="inlineStr">
        <is>
          <t>la confiance, la fierté, la gratitude, la joie, la surprise, l'amour, le bonheur, le courage, l'espoir, l'ami, le plaisir, le visage</t>
        </is>
      </c>
    </row>
    <row r="64">
      <c r="A64" s="30" t="inlineStr">
        <is>
          <t>sorte</t>
        </is>
      </c>
      <c r="B64" s="30" t="inlineStr">
        <is>
          <t>aliment</t>
        </is>
      </c>
      <c r="C64" s="30" t="inlineStr">
        <is>
          <t>un aliment</t>
        </is>
      </c>
      <c r="D64" s="30" t="n">
        <v>91</v>
      </c>
      <c r="E64" s="30" t="inlineStr">
        <is>
          <t>chose 89, animal 2</t>
        </is>
      </c>
      <c r="F64" s="30" t="inlineStr"/>
      <c r="G64" s="33" t="inlineStr">
        <is>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is>
      </c>
    </row>
    <row r="65">
      <c r="A65" s="30" t="inlineStr">
        <is>
          <t>sorte</t>
        </is>
      </c>
      <c r="B65" s="30" t="inlineStr">
        <is>
          <t>animal</t>
        </is>
      </c>
      <c r="C65" s="30" t="inlineStr">
        <is>
          <t>un animal</t>
        </is>
      </c>
      <c r="D65" s="30" t="n">
        <v>42</v>
      </c>
      <c r="E65" s="30" t="inlineStr">
        <is>
          <t>animal 39, chose 3</t>
        </is>
      </c>
      <c r="F65" s="30" t="inlineStr"/>
      <c r="G65" s="33" t="inlineStr">
        <is>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is>
      </c>
    </row>
    <row r="66">
      <c r="A66" s="30" t="inlineStr">
        <is>
          <t>sorte</t>
        </is>
      </c>
      <c r="B66" s="30" t="inlineStr">
        <is>
          <t>matiere</t>
        </is>
      </c>
      <c r="C66" s="30" t="inlineStr">
        <is>
          <t>une matière</t>
        </is>
      </c>
      <c r="D66" s="30" t="n">
        <v>40</v>
      </c>
      <c r="E66" s="30" t="inlineStr">
        <is>
          <t>chose 39, animal 1</t>
        </is>
      </c>
      <c r="F66" s="30" t="inlineStr"/>
      <c r="G66" s="33" t="inlineStr">
        <is>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is>
      </c>
    </row>
    <row r="67">
      <c r="A67" s="30" t="inlineStr">
        <is>
          <t>sorte</t>
        </is>
      </c>
      <c r="B67" s="30" t="inlineStr">
        <is>
          <t>objet</t>
        </is>
      </c>
      <c r="C67" s="30" t="inlineStr">
        <is>
          <t>un objet</t>
        </is>
      </c>
      <c r="D67" s="30" t="n">
        <v>31</v>
      </c>
      <c r="E67" s="30" t="inlineStr">
        <is>
          <t>chose 31</t>
        </is>
      </c>
      <c r="F67" s="30" t="inlineStr"/>
      <c r="G67" s="33" t="inlineStr">
        <is>
          <t>le klaxon, l'éponge, l'entonnoir, les stores,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is>
      </c>
    </row>
    <row r="68">
      <c r="A68" s="30" t="inlineStr">
        <is>
          <t>sorte</t>
        </is>
      </c>
      <c r="B68" s="30" t="inlineStr">
        <is>
          <t>appareil</t>
        </is>
      </c>
      <c r="C68" s="30" t="inlineStr">
        <is>
          <t>un appareil</t>
        </is>
      </c>
      <c r="D68" s="30" t="n">
        <v>29</v>
      </c>
      <c r="E68" s="30" t="inlineStr">
        <is>
          <t>chose 29</t>
        </is>
      </c>
      <c r="F68" s="30" t="inlineStr"/>
      <c r="G68" s="33" t="inlineStr">
        <is>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is>
      </c>
    </row>
    <row r="69">
      <c r="A69" s="30" t="inlineStr">
        <is>
          <t>sorte</t>
        </is>
      </c>
      <c r="B69" s="30" t="inlineStr">
        <is>
          <t>vetement</t>
        </is>
      </c>
      <c r="C69" s="30" t="inlineStr">
        <is>
          <t>un vêtement</t>
        </is>
      </c>
      <c r="D69" s="30" t="n">
        <v>25</v>
      </c>
      <c r="E69" s="30" t="inlineStr">
        <is>
          <t>chose 25</t>
        </is>
      </c>
      <c r="F69" s="30" t="inlineStr"/>
      <c r="G69" s="33" t="inlineStr">
        <is>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is>
      </c>
    </row>
    <row r="70">
      <c r="A70" s="30" t="inlineStr">
        <is>
          <t>sorte</t>
        </is>
      </c>
      <c r="B70" s="30" t="inlineStr">
        <is>
          <t>plante</t>
        </is>
      </c>
      <c r="C70" s="30" t="inlineStr">
        <is>
          <t>une plante</t>
        </is>
      </c>
      <c r="D70" s="30" t="n">
        <v>23</v>
      </c>
      <c r="E70" s="30" t="inlineStr">
        <is>
          <t>chose 22, animal 1</t>
        </is>
      </c>
      <c r="F70" s="30" t="inlineStr"/>
      <c r="G70" s="33" t="inlineStr">
        <is>
          <t>la haie de thujas, le poivre, la forêt, l'avocat, la fleur, la plante, l'arbre, la feuille, la graine, la mousse, la nature, la racine, la récolte, le blé, le bois, le bourgeon, le buisson, le champignon, le jardinage, le tronc, l'écorce, le léopard, le pommier</t>
        </is>
      </c>
    </row>
    <row r="71">
      <c r="A71" s="30" t="inlineStr">
        <is>
          <t>sorte</t>
        </is>
      </c>
      <c r="B71" s="30" t="inlineStr">
        <is>
          <t>vehicule</t>
        </is>
      </c>
      <c r="C71" s="30" t="inlineStr">
        <is>
          <t>un véhicule</t>
        </is>
      </c>
      <c r="D71" s="30" t="n">
        <v>17</v>
      </c>
      <c r="E71" s="30" t="inlineStr">
        <is>
          <t>chose 17</t>
        </is>
      </c>
      <c r="F71" s="30" t="inlineStr"/>
      <c r="G71" s="33" t="inlineStr">
        <is>
          <t>le vélo, la moto, la voiture, le pickup, le  car postal, le camion, le tracteur, le train, la route, le bateau, Dacia Duster, le pare-brise, le capot, le pare-chocs, le tableau de bord, la roue, le moteur</t>
        </is>
      </c>
    </row>
    <row r="72">
      <c r="A72" s="30" t="inlineStr">
        <is>
          <t>sorte</t>
        </is>
      </c>
      <c r="B72" s="30" t="inlineStr">
        <is>
          <t>partie_corps</t>
        </is>
      </c>
      <c r="C72" s="30" t="inlineStr">
        <is>
          <t>une partie du corps</t>
        </is>
      </c>
      <c r="D72" s="30" t="n">
        <v>16</v>
      </c>
      <c r="E72" s="30" t="inlineStr">
        <is>
          <t>chose 16</t>
        </is>
      </c>
      <c r="F72" s="30" t="inlineStr"/>
      <c r="G72" s="33" t="inlineStr">
        <is>
          <t>le dos, le coeur, l'épaule, l'oeil, l'oreille, le cou, Banque Migros, des filets de perche, un filet de truite, le cerveau, le muscle, le squelette, l'os, le geste, le sac à dos, les vacances</t>
        </is>
      </c>
    </row>
    <row r="73">
      <c r="A73" s="30" t="inlineStr">
        <is>
          <t>sorte</t>
        </is>
      </c>
      <c r="B73" s="30" t="inlineStr">
        <is>
          <t>instrument</t>
        </is>
      </c>
      <c r="C73" s="30" t="inlineStr">
        <is>
          <t>un instrument de musique</t>
        </is>
      </c>
      <c r="D73" s="30" t="n">
        <v>16</v>
      </c>
      <c r="E73" s="30" t="inlineStr">
        <is>
          <t>chose 16</t>
        </is>
      </c>
      <c r="F73" s="30" t="inlineStr"/>
      <c r="G73" s="33" t="inlineStr">
        <is>
          <t>le coffre, la guitare, le piano, la batterie, la grosse caisse, les cymbales, les timbales, le xylophone, le cornet, le bugle, l'alto, le baryton, l'euphonium, la basse, le trombone, les cornettes</t>
        </is>
      </c>
    </row>
    <row r="74">
      <c r="A74" s="30" t="inlineStr">
        <is>
          <t>sorte</t>
        </is>
      </c>
      <c r="B74" s="30" t="inlineStr">
        <is>
          <t>meuble</t>
        </is>
      </c>
      <c r="C74" s="30" t="inlineStr">
        <is>
          <t>un meuble</t>
        </is>
      </c>
      <c r="D74" s="30" t="n">
        <v>15</v>
      </c>
      <c r="E74" s="30" t="inlineStr">
        <is>
          <t>chose 15</t>
        </is>
      </c>
      <c r="F74" s="30" t="inlineStr"/>
      <c r="G74" s="33" t="inlineStr">
        <is>
          <t>le bureau (meuble), la table de jardin, la table, le buffet, le meuble, le siège, le lit, l'armoire, le classeur, la boîte, la poche, la valise, l'appartement, le portefeuille, le tiroir</t>
        </is>
      </c>
    </row>
    <row r="75">
      <c r="A75" s="30" t="inlineStr">
        <is>
          <t>sorte</t>
        </is>
      </c>
      <c r="B75" s="30" t="inlineStr">
        <is>
          <t>recipient</t>
        </is>
      </c>
      <c r="C75" s="30" t="inlineStr">
        <is>
          <t>un récipient</t>
        </is>
      </c>
      <c r="D75" s="30" t="n">
        <v>13</v>
      </c>
      <c r="E75" s="30" t="inlineStr">
        <is>
          <t>chose 13</t>
        </is>
      </c>
      <c r="F75" s="30" t="inlineStr"/>
      <c r="G75" s="33" t="inlineStr">
        <is>
          <t>le verre, la tasse, le pot ou la mesure, l'assiette, la casserole, la marmitte, la poêle, le caquelon et le réchaud, le porte-monnaie, la corbeille à linge, la poubelle, le récipient, le seau</t>
        </is>
      </c>
    </row>
    <row r="76">
      <c r="A76" s="30" t="inlineStr">
        <is>
          <t>sorte</t>
        </is>
      </c>
      <c r="B76" s="30" t="inlineStr">
        <is>
          <t>outil</t>
        </is>
      </c>
      <c r="C76" s="30" t="inlineStr">
        <is>
          <t>un outil</t>
        </is>
      </c>
      <c r="D76" s="30" t="n">
        <v>10</v>
      </c>
      <c r="E76" s="30" t="inlineStr">
        <is>
          <t>chose 10</t>
        </is>
      </c>
      <c r="F76" s="30" t="inlineStr"/>
      <c r="G76" s="33" t="inlineStr">
        <is>
          <t>la débroussailleuse, les brosses, le rasoir, la pince, l'appareil, le marteau, le tournevis, l'engin, les ciseaux, l'outil</t>
        </is>
      </c>
    </row>
    <row r="77">
      <c r="A77" s="30" t="inlineStr">
        <is>
          <t>sorte</t>
        </is>
      </c>
      <c r="B77" s="30" t="inlineStr">
        <is>
          <t>boisson</t>
        </is>
      </c>
      <c r="C77" s="30" t="inlineStr">
        <is>
          <t>une boisson</t>
        </is>
      </c>
      <c r="D77" s="30" t="n">
        <v>8</v>
      </c>
      <c r="E77" s="30" t="inlineStr">
        <is>
          <t>chose 8</t>
        </is>
      </c>
      <c r="F77" s="30" t="inlineStr"/>
      <c r="G77" s="33" t="inlineStr">
        <is>
          <t>une bière limonade, un verre de vin rouge, un verre de vin blanc, le thé, un Coca Cola, un jus de pomme, un jus d'orange, le café</t>
        </is>
      </c>
    </row>
    <row r="78">
      <c r="A78" s="30" t="inlineStr">
        <is>
          <t>sorte</t>
        </is>
      </c>
      <c r="B78" s="30" t="inlineStr">
        <is>
          <t>batiment</t>
        </is>
      </c>
      <c r="C78" s="30" t="inlineStr">
        <is>
          <t>un bâtiment</t>
        </is>
      </c>
      <c r="D78" s="30" t="n">
        <v>4</v>
      </c>
      <c r="E78" s="30" t="inlineStr">
        <is>
          <t>chose 4</t>
        </is>
      </c>
      <c r="F78" s="30" t="inlineStr"/>
      <c r="G78" s="33" t="inlineStr">
        <is>
          <t>la maison, le chalet, le toit, le bâtiment</t>
        </is>
      </c>
    </row>
    <row r="79">
      <c r="A79" s="30" t="inlineStr">
        <is>
          <t>sorte</t>
        </is>
      </c>
      <c r="B79" s="30" t="inlineStr">
        <is>
          <t>document</t>
        </is>
      </c>
      <c r="C79" s="30" t="inlineStr">
        <is>
          <t>un document</t>
        </is>
      </c>
      <c r="D79" s="30" t="n">
        <v>1</v>
      </c>
      <c r="E79" s="30" t="inlineStr">
        <is>
          <t>chose 1</t>
        </is>
      </c>
      <c r="F79" s="30" t="inlineStr"/>
      <c r="G79" s="33" t="inlineStr">
        <is>
          <t>le document</t>
        </is>
      </c>
    </row>
  </sheetData>
  <autoFilter ref="A1:G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2026-07-28T15:40:42Z</dcterms:modified>
  <cp:lastModifiedBy>o. roh</cp:lastModifiedBy>
</cp:coreProperties>
</file>